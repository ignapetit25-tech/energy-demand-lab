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c2d87b4a3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e" sheetId="1" r:id="Ra68250e2499e485c"/>
    <x:sheet xmlns:r="http://schemas.openxmlformats.org/officeDocument/2006/relationships" name="Datos" sheetId="2" r:id="R0dbcef775a794882"/>
    <x:sheet xmlns:r="http://schemas.openxmlformats.org/officeDocument/2006/relationships" name="IA y energía" sheetId="3" r:id="R7deaaae8e4f6422d"/>
    <x:sheet xmlns:r="http://schemas.openxmlformats.org/officeDocument/2006/relationships" name="Concentración" sheetId="4" r:id="Raf0b6d1559c34a99"/>
    <x:sheet xmlns:r="http://schemas.openxmlformats.org/officeDocument/2006/relationships" name="Aluar" sheetId="5" r:id="R9138684e0e0e4633"/>
    <x:sheet xmlns:r="http://schemas.openxmlformats.org/officeDocument/2006/relationships" name="Actividades" sheetId="6" r:id="R351939d2967d48c8"/>
    <x:sheet xmlns:r="http://schemas.openxmlformats.org/officeDocument/2006/relationships" name="Alertas" sheetId="7" r:id="R95d8aecd11714728"/>
    <x:sheet xmlns:r="http://schemas.openxmlformats.org/officeDocument/2006/relationships" name="Producción" sheetId="8" r:id="Rcd09508cf752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mmm yyyy"/>
    <x:numFmt numFmtId="201" formatCode="#,##0.0;[Red](#,##0.0);0.0"/>
    <x:numFmt numFmtId="202" formatCode="+0.0%;[Red]-0.0%;0.0%"/>
    <x:numFmt numFmtId="203" formatCode="0.0%"/>
    <x:numFmt numFmtId="204" formatCode="+0.00;[Red]-0.00;0.00"/>
    <x:numFmt numFmtId="205" formatCode="0.000000"/>
    <x:numFmt numFmtId="206" formatCode="#,##0.000"/>
    <x:numFmt numFmtId="207" formatCode="0"/>
    <x:numFmt numFmtId="208" formatCode="#,##0"/>
    <x:numFmt numFmtId="209" formatCode="0%"/>
    <x:numFmt numFmtId="210" formatCode="#,##0.0"/>
    <x:numFmt numFmtId="211" formatCode="mmm yyyy&quot;  &quot;"/>
    <x:numFmt numFmtId="212" formatCode="0&quot;  &quot;"/>
  </x:numFmts>
  <x:fonts count="5">
    <x:font>
      <x:sz val="11"/>
      <x:name val="Carlito"/>
    </x:font>
    <x:font>
      <x:sz val="11"/>
      <x:color rgb="FF203B35"/>
      <x:name val="Arial"/>
    </x:font>
    <x:font>
      <x:b/>
      <x:sz val="17"/>
      <x:color rgb="FF175E4B"/>
      <x:name val="Arial"/>
    </x:font>
    <x:font>
      <x:b/>
      <x:sz val="11"/>
      <x:color rgb="FFFFFFFF"/>
      <x:name val="Arial"/>
    </x:font>
    <x:font>
      <x:b/>
      <x:sz val="11"/>
      <x:color rgb="FF203B35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0BF"/>
      </x:patternFill>
    </x:fill>
    <x:fill>
      <x:patternFill patternType="solid">
        <x:fgColor rgb="FF175E4B"/>
      </x:patternFill>
    </x:fill>
    <x:fill>
      <x:patternFill patternType="solid">
        <x:fgColor rgb="FFE8EDDF"/>
      </x:patternFill>
    </x:fill>
    <x:fill>
      <x:patternFill patternType="solid">
        <x:fgColor rgb="FF175E4B"/>
      </x:patternFill>
    </x:fill>
    <x:fill>
      <x:patternFill patternType="solid">
        <x:fgColor rgb="FF175E4B"/>
      </x:patternFill>
    </x:fill>
    <x:fill>
      <x:patternFill patternType="solid">
        <x:fgColor rgb="FF175E4B"/>
      </x:patternFill>
    </x:fill>
    <x:fill>
      <x:patternFill patternType="solid">
        <x:fgColor rgb="FF175E4B"/>
      </x:patternFill>
    </x:fill>
    <x:fill>
      <x:patternFill patternType="solid">
        <x:fgColor rgb="FF175E4B"/>
      </x:patternFill>
    </x:fill>
    <x:fill>
      <x:patternFill patternType="solid">
        <x:fgColor rgb="FF175E4B"/>
      </x:patternFill>
    </x:fill>
  </x:fills>
  <x:borders count="2">
    <x:border/>
    <x:border>
      <x:top style="thin">
        <x:color rgb="FF9CAF9F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4" fontId="4" fillId="4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  <x:xf numFmtId="202" fontId="4" fillId="4" borderId="1" xfId="0" applyNumberFormat="1" applyFont="1" applyFill="1" applyBorder="1" applyAlignment="1">
      <x:alignment vertical="center"/>
    </x:xf>
    <x:xf numFmtId="204" fontId="4" fillId="4" borderId="1" xfId="0" applyNumberFormat="1" applyFont="1" applyFill="1" applyBorder="1" applyAlignment="1">
      <x:alignment vertical="center"/>
    </x:xf>
    <x:xf numFmtId="203" fontId="4" fillId="4" borderId="1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7" fontId="1" fillId="2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8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11" fontId="1" fillId="0" borderId="0" xfId="0" applyNumberFormat="1" applyFont="1" applyFill="1" applyBorder="1" applyAlignment="1">
      <x:alignment vertical="center"/>
    </x:xf>
    <x:xf numFmtId="212" fontId="1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</x:font>
      <x:fill>
        <x:patternFill>
          <x:bgColor rgb="FFFFF0BF"/>
        </x:patternFill>
      </x:fill>
    </x:dxf>
    <x:dxf>
      <x:font>
        <x:b/>
      </x:font>
      <x:fill>
        <x:patternFill>
          <x:bgColor rgb="FFFFF0BF"/>
        </x:patternFill>
      </x:fill>
    </x:dxf>
    <x:dxf>
      <x:font>
        <x:b/>
      </x:font>
      <x:fill>
        <x:patternFill patternType="solid">
          <x:bgColor rgb="FFFFF0B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92ed1e312405f" /><Relationship Type="http://schemas.openxmlformats.org/officeDocument/2006/relationships/theme" Target="/xl/theme/theme1.xml" Id="R19901488cb394a91" /><Relationship Type="http://schemas.openxmlformats.org/officeDocument/2006/relationships/sharedStrings" Target="/xl/sharedStrings.xml" Id="Rfc663f5ea9664415" /><Relationship Type="http://schemas.openxmlformats.org/officeDocument/2006/relationships/worksheet" Target="/xl/worksheets/sheet1.xml" Id="Ra68250e2499e485c" /><Relationship Type="http://schemas.openxmlformats.org/officeDocument/2006/relationships/worksheet" Target="/xl/worksheets/sheet2.xml" Id="R0dbcef775a794882" /><Relationship Type="http://schemas.openxmlformats.org/officeDocument/2006/relationships/worksheet" Target="/xl/worksheets/sheet3.xml" Id="R7deaaae8e4f6422d" /><Relationship Type="http://schemas.openxmlformats.org/officeDocument/2006/relationships/worksheet" Target="/xl/worksheets/sheet4.xml" Id="Raf0b6d1559c34a99" /><Relationship Type="http://schemas.openxmlformats.org/officeDocument/2006/relationships/worksheet" Target="/xl/worksheets/sheet5.xml" Id="R9138684e0e0e4633" /><Relationship Type="http://schemas.openxmlformats.org/officeDocument/2006/relationships/worksheet" Target="/xl/worksheets/sheet6.xml" Id="R351939d2967d48c8" /><Relationship Type="http://schemas.openxmlformats.org/officeDocument/2006/relationships/worksheet" Target="/xl/worksheets/sheet7.xml" Id="R95d8aecd11714728" /><Relationship Type="http://schemas.openxmlformats.org/officeDocument/2006/relationships/worksheet" Target="/xl/worksheets/sheet8.xml" Id="Rcd09508cf75241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bc174b96cd40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Demanda por sector: mes actual y año anterior (GWh)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Actual GWh</c:v>
          </c:tx>
          <c:spPr>
            <a:solidFill xmlns:a="http://schemas.openxmlformats.org/drawingml/2006/main">
              <a:srgbClr val="175E4B"/>
            </a:solidFill>
          </c:spPr>
          <c:cat>
            <c:strRef>
              <c:f>'Informe'!$A$10:$A$12</c:f>
              <c:strCache>
                <c:ptCount val="0"/>
              </c:strCache>
            </c:strRef>
          </c:cat>
          <c:val>
            <c:numRef>
              <c:f>'Informe'!$B$10:$B$12</c:f>
              <c:numCache>
                <c:formatCode>#,##0.0;[Red](#,##0.0);0.0</c:formatCode>
                <c:ptCount val="0"/>
              </c:numCache>
            </c:numRef>
          </c:val>
        </c:ser>
        <c:ser>
          <c:idx val="1"/>
          <c:order val="1"/>
          <c:tx>
            <c:v>Anterior GWh</c:v>
          </c:tx>
          <c:spPr>
            <a:solidFill xmlns:a="http://schemas.openxmlformats.org/drawingml/2006/main">
              <a:srgbClr val="98ABA0"/>
            </a:solidFill>
          </c:spPr>
          <c:cat>
            <c:strRef>
              <c:f>'Informe'!$A$10:$A$12</c:f>
              <c:strCache>
                <c:ptCount val="0"/>
              </c:strCache>
            </c:strRef>
          </c:cat>
          <c:val>
            <c:numRef>
              <c:f>'Informe'!$C$10:$C$12</c:f>
              <c:numCache>
                <c:formatCode>#,##0.0;[Red](#,##0.0);0.0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bc174b96cd40b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mandaMensual" displayName="DemandaMensual" ref="A9:E269" headerRowCount="1" totalsRowCount="0" totalsRowShown="0">
  <x:autoFilter ref="A9:E269"/>
  <x:tableColumns count="5">
    <x:tableColumn id="1" name="Mes"/>
    <x:tableColumn id="2" name="Total GWh"/>
    <x:tableColumn id="3" name="Residencial GWh"/>
    <x:tableColumn id="4" name="Comercio e industria GWh"/>
    <x:tableColumn id="5" name="Grandes usuarios GW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storiaActividades" displayName="HistoriaActividades" ref="A9:J807" headerRowCount="1" totalsRowCount="0" totalsRowShown="0">
  <x:autoFilter ref="A9:J807"/>
  <x:tableColumns count="10">
    <x:tableColumn id="1" name="Mes"/>
    <x:tableColumn id="2" name="Actividad"/>
    <x:tableColumn id="3" name="Rama"/>
    <x:tableColumn id="4" name="Días"/>
    <x:tableColumn id="5" name="Período"/>
    <x:tableColumn id="6" name="MW medios"/>
    <x:tableColumn id="7" name="MW año anterior"/>
    <x:tableColumn id="8" name="Interanual"/>
    <x:tableColumn id="9" name="% de rama"/>
    <x:tableColumn id="10" name="Rama MW medio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alculoAlertas" displayName="CalculoAlertas" ref="A40:M656" headerRowCount="1" totalsRowCount="0" totalsRowShown="0">
  <x:tableColumns count="13">
    <x:tableColumn id="1" name="Mes"/>
    <x:tableColumn id="2" name="Actividad"/>
    <x:tableColumn id="3" name="MW actual"/>
    <x:tableColumn id="4" name="MW año anterior"/>
    <x:tableColumn id="5" name="Cambio MW"/>
    <x:tableColumn id="6" name="Interanual"/>
    <x:tableColumn id="7" name="Observación"/>
    <x:tableColumn id="8" name="Signo"/>
    <x:tableColumn id="9" name="Racha meses"/>
    <x:tableColumn id="10" name="Magnitud alta"/>
    <x:tableColumn id="11" name="Estado"/>
    <x:tableColumn id="12" name="Motivo"/>
    <x:tableColumn id="13" name="Clave de búsqueda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ContrasteProduccion" displayName="ContrasteProduccion" ref="A16:L145" headerRowCount="1" totalsRowCount="0" totalsRowShown="0">
  <x:tableColumns count="12">
    <x:tableColumn id="1" name="Mes"/>
    <x:tableColumn id="2" name="Indicador"/>
    <x:tableColumn id="3" name="MW actual"/>
    <x:tableColumn id="4" name="MW año anterior"/>
    <x:tableColumn id="5" name="Electricidad %"/>
    <x:tableColumn id="6" name="Índice IPI"/>
    <x:tableColumn id="7" name="Índice año anterior"/>
    <x:tableColumn id="8" name="IPI publicado %"/>
    <x:tableColumn id="9" name="IPI calculado %"/>
    <x:tableColumn id="10" name="Igual signo 1/0"/>
    <x:tableColumn id="11" name="Celda índice"/>
    <x:tableColumn id="12" name="Celda tasa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236ac5684147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022b696ea040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64501dd096b341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ebc0feb7ce854d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d7ba8cc3ede741ef" /></Relationships>
</file>

<file path=xl/worksheets/sheet1.xml><?xml version="1.0" encoding="utf-8"?>
<x:worksheet xmlns:x="http://schemas.openxmlformats.org/spreadsheetml/2006/main">
  <x:sheetPr>
    <x:tabColor rgb="FF175E4B"/>
  </x:sheetPr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Demanda eléctrica argentina</x:v>
      </x:c>
      <x:c r="B2" s="2"/>
      <x:c r="C2" s="2"/>
      <x:c r="D2" s="2"/>
      <x:c r="E2" s="2"/>
      <x:c r="F2" s="2"/>
      <x:c r="G2" s="2"/>
    </x:row>
    <x:row r="3" ht="23" customHeight="1">
      <x:c r="A3" s="2" t="str">
        <x:v>Diagnóstico mensual por sector · GWh</x:v>
      </x:c>
      <x:c r="B3" s="2"/>
      <x:c r="C3" s="2"/>
      <x:c r="D3" s="2"/>
      <x:c r="E3" s="2"/>
      <x:c r="F3" s="2"/>
      <x:c r="G3" s="2"/>
    </x:row>
    <x:row r="4" ht="23" customHeight="1">
      <x:c r="A4" s="2" t="str">
        <x:v>Mes editable (amarillo)</x:v>
      </x:c>
      <x:c r="B4" s="5" t="n">
        <x:v>46235</x:v>
      </x:c>
      <x:c r="C4" s="2"/>
      <x:c r="D4" s="2" t="str">
        <x:v>Mes de comparación</x:v>
      </x:c>
      <x:c r="E4" s="4" t="n">
        <x:f>DATE(YEAR(B4)-1,MONTH(B4),1)</x:f>
        <x:v>45870</x:v>
      </x:c>
      <x:c r="F4" s="2"/>
      <x:c r="G4" s="2"/>
    </x:row>
    <x:row r="5" ht="23" customHeight="1">
      <x:c r="A5" s="2" t="str">
        <x:v>Elegí un mes desde ene 2006 hasta ago 2026. Los cálculos y el gráfico se actualizan.</x:v>
      </x:c>
      <x:c r="B5" s="2"/>
      <x:c r="C5" s="2"/>
      <x:c r="D5" s="2"/>
      <x:c r="E5" s="2"/>
      <x:c r="F5" s="2"/>
      <x:c r="G5" s="2"/>
    </x:row>
    <x:row r="6" ht="23" customHeight="1">
      <x:c r="A6" s="2" t="str">
        <x:v>Cobertura mensual</x:v>
      </x:c>
      <x:c r="B6" s="2" t="str">
        <x:f>IF(AND(COUNTIFS('Datos'!$A$10:$A$269,B4)=1,COUNTIFS('Datos'!$A$10:$A$269,E4)=1),"Disponible","Mes sin cobertura")</x:f>
        <x:v>Disponible</x:v>
      </x:c>
      <x:c r="C6" s="2"/>
      <x:c r="D6" s="2"/>
      <x:c r="E6" s="2"/>
      <x:c r="F6" s="2"/>
      <x:c r="G6" s="2"/>
    </x:row>
    <x:row r="7" ht="23" customHeight="1">
      <x:c r="A7" s="2"/>
      <x:c r="B7" s="2"/>
      <x:c r="C7" s="2"/>
      <x:c r="D7" s="2"/>
      <x:c r="E7" s="2"/>
      <x:c r="F7" s="2"/>
      <x:c r="G7" s="2"/>
    </x:row>
    <x:row r="8" ht="23" customHeight="1">
      <x:c r="A8" s="2"/>
      <x:c r="B8" s="2"/>
      <x:c r="C8" s="2"/>
      <x:c r="D8" s="2"/>
      <x:c r="E8" s="2"/>
      <x:c r="F8" s="2"/>
      <x:c r="G8" s="2"/>
    </x:row>
    <x:row r="9" ht="38" customHeight="1">
      <x:c r="A9" s="9" t="str">
        <x:v>Sector</x:v>
      </x:c>
      <x:c r="B9" s="9" t="str">
        <x:v>Actual GWh</x:v>
      </x:c>
      <x:c r="C9" s="9" t="str">
        <x:v>Anterior GWh</x:v>
      </x:c>
      <x:c r="D9" s="9" t="str">
        <x:v>Cambio GWh</x:v>
      </x:c>
      <x:c r="E9" s="9" t="str">
        <x:v>Interanual %</x:v>
      </x:c>
      <x:c r="F9" s="9" t="str">
        <x:v>Aporte (pp)</x:v>
      </x:c>
      <x:c r="G9" s="9" t="str">
        <x:v>Peso actual %</x:v>
      </x:c>
    </x:row>
    <x:row r="10" ht="23" customHeight="1">
      <x:c r="A10" s="2" t="str">
        <x:v>Residencial</x:v>
      </x:c>
      <x:c r="B10" s="10" t="n">
        <x:f>IF($B$6="Disponible",SUMIFS('Datos'!$C$10:$C$269,'Datos'!$A$10:$A$269,$B$4),"n.a.")</x:f>
        <x:v>6093.065132</x:v>
      </x:c>
      <x:c r="C10" s="10" t="n">
        <x:f>IF($B$6="Disponible",SUMIFS('Datos'!$C$10:$C$269,'Datos'!$A$10:$A$269,$E$4),"n.a.")</x:f>
        <x:v>5598.129769</x:v>
      </x:c>
      <x:c r="D10" s="10" t="n">
        <x:f>IF($B$6="Disponible",B10-C10,"n.a.")</x:f>
        <x:v>494.9353629999996</x:v>
      </x:c>
      <x:c r="E10" s="11" t="n">
        <x:f>IF($B$6="Disponible",IF(C10=0,"n.a.",D10/C10),"n.a.")</x:f>
        <x:v>0.08841084137433464</x:v>
      </x:c>
      <x:c r="F10" s="13" t="n">
        <x:f>IF($B$6="Disponible",D10/$C$13*100,"n.a.")</x:f>
        <x:v>4.223446146353052</x:v>
      </x:c>
      <x:c r="G10" s="12" t="n">
        <x:f>IF($B$6="Disponible",B10/$B$13,"n.a.")</x:f>
        <x:v>0.4901103240502227</x:v>
      </x:c>
    </x:row>
    <x:row r="11" ht="23" customHeight="1">
      <x:c r="A11" s="2" t="str">
        <x:v>Comercio e industria</x:v>
      </x:c>
      <x:c r="B11" s="10" t="n">
        <x:f>IF($B$6="Disponible",SUMIFS('Datos'!$D$10:$D$269,'Datos'!$A$10:$A$269,$B$4),"n.a.")</x:f>
        <x:v>4100.504724</x:v>
      </x:c>
      <x:c r="C11" s="10" t="n">
        <x:f>IF($B$6="Disponible",SUMIFS('Datos'!$D$10:$D$269,'Datos'!$A$10:$A$269,$E$4),"n.a.")</x:f>
        <x:v>4122.105814</x:v>
      </x:c>
      <x:c r="D11" s="10" t="n">
        <x:f>IF($B$6="Disponible",B11-C11,"n.a.")</x:f>
        <x:v>-21.601089999999203</x:v>
      </x:c>
      <x:c r="E11" s="11" t="n">
        <x:f>IF($B$6="Disponible",IF(C11=0,"n.a.",D11/C11),"n.a.")</x:f>
        <x:v>-0.00524030458573745</x:v>
      </x:c>
      <x:c r="F11" s="13" t="n">
        <x:f>IF($B$6="Disponible",D11/$C$13*100,"n.a.")</x:f>
        <x:v>-0.18432920162450017</x:v>
      </x:c>
      <x:c r="G11" s="12" t="n">
        <x:f>IF($B$6="Disponible",B11/$B$13,"n.a.")</x:f>
        <x:v>0.32983394326353466</x:v>
      </x:c>
    </x:row>
    <x:row r="12" ht="23" customHeight="1">
      <x:c r="A12" s="2" t="str">
        <x:v>Grandes usuarios</x:v>
      </x:c>
      <x:c r="B12" s="10" t="n">
        <x:f>IF($B$6="Disponible",SUMIFS('Datos'!$E$10:$E$269,'Datos'!$A$10:$A$269,$B$4),"n.a.")</x:f>
        <x:v>2238.457859</x:v>
      </x:c>
      <x:c r="C12" s="10" t="n">
        <x:f>IF($B$6="Disponible",SUMIFS('Datos'!$E$10:$E$269,'Datos'!$A$10:$A$269,$E$4),"n.a.")</x:f>
        <x:v>1998.520756</x:v>
      </x:c>
      <x:c r="D12" s="10" t="n">
        <x:f>IF($B$6="Disponible",B12-C12,"n.a.")</x:f>
        <x:v>239.9371030000002</x:v>
      </x:c>
      <x:c r="E12" s="11" t="n">
        <x:f>IF($B$6="Disponible",IF(C12=0,"n.a.",D12/C12),"n.a.")</x:f>
        <x:v>0.12005734855625398</x:v>
      </x:c>
      <x:c r="F12" s="13" t="n">
        <x:f>IF($B$6="Disponible",D12/$C$13*100,"n.a.")</x:f>
        <x:v>2.047462171403718</x:v>
      </x:c>
      <x:c r="G12" s="12" t="n">
        <x:f>IF($B$6="Disponible",B12/$B$13,"n.a.")</x:f>
        <x:v>0.18005573268624264</x:v>
      </x:c>
    </x:row>
    <x:row r="13" ht="23" customHeight="1">
      <x:c r="A13" s="24" t="str">
        <x:v>Total</x:v>
      </x:c>
      <x:c r="B13" s="25" t="n">
        <x:f>IF(B6="Disponible",SUM(B10:B12),"n.a.")</x:f>
        <x:v>12432.027715</x:v>
      </x:c>
      <x:c r="C13" s="25" t="n">
        <x:f>IF(B6="Disponible",SUM(C10:C12),"n.a.")</x:f>
        <x:v>11718.756339</x:v>
      </x:c>
      <x:c r="D13" s="25" t="n">
        <x:f>IF(B6="Disponible",SUM(D10:D12),"n.a.")</x:f>
        <x:v>713.2713760000006</x:v>
      </x:c>
      <x:c r="E13" s="26" t="n">
        <x:f>IF(B6="Disponible",D13/C13,"n.a.")</x:f>
        <x:v>0.06086579116132271</x:v>
      </x:c>
      <x:c r="F13" s="27" t="n">
        <x:f>IF(B6="Disponible",SUM(F10:F12),"n.a.")</x:f>
        <x:v>6.08657911613227</x:v>
      </x:c>
      <x:c r="G13" s="28" t="n">
        <x:f>IF(B6="Disponible",SUM(G10:G12),"n.a.")</x:f>
        <x:v>1</x:v>
      </x:c>
    </x:row>
    <x:row r="14" ht="23" customHeight="1">
      <x:c r="A14" s="2"/>
      <x:c r="B14" s="2"/>
      <x:c r="C14" s="2"/>
      <x:c r="D14" s="2"/>
      <x:c r="E14" s="2"/>
      <x:c r="F14" s="2"/>
      <x:c r="G14" s="2"/>
    </x:row>
    <x:row r="15" ht="23" customHeight="1">
      <x:c r="A15" s="2" t="str">
        <x:v>Acumulado de enero al mes seleccionado frente al mismo período del año anterior</x:v>
      </x:c>
      <x:c r="B15" s="2"/>
      <x:c r="C15" s="2"/>
      <x:c r="D15" s="2"/>
      <x:c r="E15" s="2"/>
      <x:c r="F15" s="2"/>
      <x:c r="G15" s="2"/>
    </x:row>
    <x:row r="16" ht="23" customHeight="1">
      <x:c r="A16" s="2" t="str">
        <x:v>Cobertura acumulado</x:v>
      </x:c>
      <x:c r="B16" s="2" t="str">
        <x:f>IF(AND(COUNTIFS('Datos'!$A$10:$A$269,"&gt;="&amp;DATE(YEAR(B4),1,1),'Datos'!$A$10:$A$269,"&lt;="&amp;B4)=MONTH(B4),COUNTIFS('Datos'!$A$10:$A$269,"&gt;="&amp;DATE(YEAR(E4),1,1),'Datos'!$A$10:$A$269,"&lt;="&amp;E4)=MONTH(E4)),"Disponible","Faltan meses")</x:f>
        <x:v>Disponible</x:v>
      </x:c>
      <x:c r="C16" s="2"/>
      <x:c r="D16" s="2"/>
      <x:c r="E16" s="2"/>
      <x:c r="F16" s="2"/>
      <x:c r="G16" s="2"/>
    </x:row>
    <x:row r="17" ht="23" customHeight="1">
      <x:c r="A17" s="2"/>
      <x:c r="B17" s="2"/>
      <x:c r="C17" s="2"/>
      <x:c r="D17" s="2"/>
      <x:c r="E17" s="2"/>
      <x:c r="F17" s="2"/>
      <x:c r="G17" s="2"/>
    </x:row>
    <x:row r="18" ht="38" customHeight="1">
      <x:c r="A18" s="9" t="str">
        <x:v>Sector</x:v>
      </x:c>
      <x:c r="B18" s="9" t="str">
        <x:v>Actual GWh</x:v>
      </x:c>
      <x:c r="C18" s="9" t="str">
        <x:v>Anterior GWh</x:v>
      </x:c>
      <x:c r="D18" s="9" t="str">
        <x:v>Cambio GWh</x:v>
      </x:c>
      <x:c r="E18" s="9" t="str">
        <x:v>Interanual %</x:v>
      </x:c>
      <x:c r="F18" s="9" t="str">
        <x:v>Aporte (pp)</x:v>
      </x:c>
      <x:c r="G18" s="9" t="str">
        <x:v>Peso actual %</x:v>
      </x:c>
    </x:row>
    <x:row r="19" ht="23" customHeight="1">
      <x:c r="A19" s="2" t="str">
        <x:v>Residencial</x:v>
      </x:c>
      <x:c r="B19" s="10" t="n">
        <x:f>IF($B$16="Disponible",SUMIFS('Datos'!$C$10:$C$269,'Datos'!$A$10:$A$269,"&gt;="&amp;DATE(YEAR($B$4),1,1),'Datos'!$A$10:$A$269,"&lt;="&amp;$B$4),"n.a.")</x:f>
        <x:v>46747.008008000004</x:v>
      </x:c>
      <x:c r="C19" s="10" t="n">
        <x:f>IF($B$16="Disponible",SUMIFS('Datos'!$C$10:$C$269,'Datos'!$A$10:$A$269,"&gt;="&amp;DATE(YEAR($E$4),1,1),'Datos'!$A$10:$A$269,"&lt;="&amp;$E$4),"n.a.")</x:f>
        <x:v>46030.252918</x:v>
      </x:c>
      <x:c r="D19" s="10" t="n">
        <x:f>IF($B$16="Disponible",B19-C19,"n.a.")</x:f>
        <x:v>716.755090000006</x:v>
      </x:c>
      <x:c r="E19" s="11" t="n">
        <x:f>IF($B$16="Disponible",IF(C19=0,"n.a.",D19/C19),"n.a.")</x:f>
        <x:v>0.015571391521068983</x:v>
      </x:c>
      <x:c r="F19" s="13" t="n">
        <x:f>IF($B$16="Disponible",D19/$C$22*100,"n.a.")</x:f>
        <x:v>0.7447607303382221</x:v>
      </x:c>
      <x:c r="G19" s="12" t="n">
        <x:f>IF($B$16="Disponible",B19/$B$22,"n.a.")</x:f>
        <x:v>0.478287441734332</x:v>
      </x:c>
    </x:row>
    <x:row r="20" ht="23" customHeight="1">
      <x:c r="A20" s="2" t="str">
        <x:v>Comercio e industria</x:v>
      </x:c>
      <x:c r="B20" s="10" t="n">
        <x:f>IF($B$16="Disponible",SUMIFS('Datos'!$D$10:$D$269,'Datos'!$A$10:$A$269,"&gt;="&amp;DATE(YEAR($B$4),1,1),'Datos'!$A$10:$A$269,"&lt;="&amp;$B$4),"n.a.")</x:f>
        <x:v>33774.116766</x:v>
      </x:c>
      <x:c r="C20" s="10" t="n">
        <x:f>IF($B$16="Disponible",SUMIFS('Datos'!$D$10:$D$269,'Datos'!$A$10:$A$269,"&gt;="&amp;DATE(YEAR($E$4),1,1),'Datos'!$A$10:$A$269,"&lt;="&amp;$E$4),"n.a.")</x:f>
        <x:v>34488.125382000006</x:v>
      </x:c>
      <x:c r="D20" s="10" t="n">
        <x:f>IF($B$16="Disponible",B20-C20,"n.a.")</x:f>
        <x:v>-714.0086160000064</x:v>
      </x:c>
      <x:c r="E20" s="11" t="n">
        <x:f>IF($B$16="Disponible",IF(C20=0,"n.a.",D20/C20),"n.a.")</x:f>
        <x:v>-0.02070302772596219</x:v>
      </x:c>
      <x:c r="F20" s="13" t="n">
        <x:f>IF($B$16="Disponible",D20/$C$22*100,"n.a.")</x:f>
        <x:v>-0.7419069438627126</x:v>
      </x:c>
      <x:c r="G20" s="12" t="n">
        <x:f>IF($B$16="Disponible",B20/$B$22,"n.a.")</x:f>
        <x:v>0.34555657341925067</x:v>
      </x:c>
    </x:row>
    <x:row r="21" ht="23" customHeight="1">
      <x:c r="A21" s="2" t="str">
        <x:v>Grandes usuarios</x:v>
      </x:c>
      <x:c r="B21" s="10" t="n">
        <x:f>IF($B$16="Disponible",SUMIFS('Datos'!$E$10:$E$269,'Datos'!$A$10:$A$269,"&gt;="&amp;DATE(YEAR($B$4),1,1),'Datos'!$A$10:$A$269,"&lt;="&amp;$B$4),"n.a.")</x:f>
        <x:v>17217.188903000002</x:v>
      </x:c>
      <x:c r="C21" s="10" t="n">
        <x:f>IF($B$16="Disponible",SUMIFS('Datos'!$E$10:$E$269,'Datos'!$A$10:$A$269,"&gt;="&amp;DATE(YEAR($E$4),1,1),'Datos'!$A$10:$A$269,"&lt;="&amp;$E$4),"n.a.")</x:f>
        <x:v>15721.267643</x:v>
      </x:c>
      <x:c r="D21" s="10" t="n">
        <x:f>IF($B$16="Disponible",B21-C21,"n.a.")</x:f>
        <x:v>1495.9212600000028</x:v>
      </x:c>
      <x:c r="E21" s="11" t="n">
        <x:f>IF($B$16="Disponible",IF(C21=0,"n.a.",D21/C21),"n.a.")</x:f>
        <x:v>0.09515271248919116</x:v>
      </x:c>
      <x:c r="F21" s="13" t="n">
        <x:f>IF($B$16="Disponible",D21/$C$22*100,"n.a.")</x:f>
        <x:v>1.5543711173729735</x:v>
      </x:c>
      <x:c r="G21" s="12" t="n">
        <x:f>IF($B$16="Disponible",B21/$B$22,"n.a.")</x:f>
        <x:v>0.1761559848464174</x:v>
      </x:c>
    </x:row>
    <x:row r="22" ht="23" customHeight="1">
      <x:c r="A22" s="24" t="str">
        <x:v>Total</x:v>
      </x:c>
      <x:c r="B22" s="25" t="n">
        <x:f>IF(B16="Disponible",SUM(B19:B21),"n.a.")</x:f>
        <x:v>97738.313677</x:v>
      </x:c>
      <x:c r="C22" s="25" t="n">
        <x:f>IF(B16="Disponible",SUM(C19:C21),"n.a.")</x:f>
        <x:v>96239.64594300001</x:v>
      </x:c>
      <x:c r="D22" s="25" t="n">
        <x:f>IF(B16="Disponible",SUM(D19:D21),"n.a.")</x:f>
        <x:v>1498.6677340000024</x:v>
      </x:c>
      <x:c r="E22" s="26" t="n">
        <x:f>IF(B16="Disponible",D22/C22,"n.a.")</x:f>
        <x:v>0.01557224903848483</x:v>
      </x:c>
      <x:c r="F22" s="27" t="n">
        <x:f>IF(B16="Disponible",SUM(F19:F21),"n.a.")</x:f>
        <x:v>1.5572249038484829</x:v>
      </x:c>
      <x:c r="G22" s="28" t="n">
        <x:f>IF(B16="Disponible",SUM(G19:G21),"n.a.")</x:f>
        <x:v>1</x:v>
      </x:c>
    </x:row>
    <x:row r="23" ht="23" customHeight="1">
      <x:c r="A23" s="2"/>
      <x:c r="B23" s="2"/>
      <x:c r="C23" s="2"/>
      <x:c r="D23" s="2"/>
      <x:c r="E23" s="2"/>
      <x:c r="F23" s="2"/>
      <x:c r="G23" s="2"/>
    </x:row>
    <x:row r="24" ht="23" customHeight="1">
      <x:c r="A24" s="2"/>
      <x:c r="B24" s="2"/>
      <x:c r="C24" s="2"/>
      <x:c r="D24" s="2"/>
      <x:c r="E24" s="2"/>
      <x:c r="F24" s="2"/>
      <x:c r="G24" s="2"/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23" customHeight="1">
      <x:c r="A26" s="2"/>
      <x:c r="B26" s="2"/>
      <x:c r="C26" s="2"/>
      <x:c r="D26" s="2"/>
      <x:c r="E26" s="2"/>
      <x:c r="F26" s="2"/>
      <x:c r="G26" s="2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23" customHeight="1">
      <x:c r="A29" s="2"/>
      <x:c r="B29" s="2"/>
      <x:c r="C29" s="2"/>
      <x:c r="D29" s="2"/>
      <x:c r="E29" s="2"/>
      <x:c r="F29" s="2"/>
      <x:c r="G29" s="2"/>
    </x:row>
    <x:row r="30" ht="23" customHeight="1">
      <x:c r="A30" s="2"/>
      <x:c r="B30" s="2"/>
      <x:c r="C30" s="2"/>
      <x:c r="D30" s="2"/>
      <x:c r="E30" s="2"/>
      <x:c r="F30" s="2"/>
      <x:c r="G30" s="2"/>
    </x:row>
    <x:row r="31" ht="23" customHeight="1">
      <x:c r="A31" s="2"/>
      <x:c r="B31" s="2"/>
      <x:c r="C31" s="2"/>
      <x:c r="D31" s="2"/>
      <x:c r="E31" s="2"/>
      <x:c r="F31" s="2"/>
      <x:c r="G31" s="2"/>
    </x:row>
    <x:row r="32" ht="23" customHeight="1">
      <x:c r="A32" s="2"/>
      <x:c r="B32" s="2"/>
      <x:c r="C32" s="2"/>
      <x:c r="D32" s="2"/>
      <x:c r="E32" s="2"/>
      <x:c r="F32" s="2"/>
      <x:c r="G32" s="2"/>
    </x:row>
    <x:row r="33" ht="23" customHeight="1">
      <x:c r="A33" s="2"/>
      <x:c r="B33" s="2"/>
      <x:c r="C33" s="2"/>
      <x:c r="D33" s="2"/>
      <x:c r="E33" s="2"/>
      <x:c r="F33" s="2"/>
      <x:c r="G33" s="2"/>
    </x:row>
    <x:row r="34" ht="23" customHeight="1">
      <x:c r="A34" s="2"/>
      <x:c r="B34" s="2"/>
      <x:c r="C34" s="2"/>
      <x:c r="D34" s="2"/>
      <x:c r="E34" s="2"/>
      <x:c r="F34" s="2"/>
      <x:c r="G34" s="2"/>
    </x:row>
    <x:row r="35" ht="23" customHeight="1">
      <x:c r="A35" s="2"/>
      <x:c r="B35" s="2"/>
      <x:c r="C35" s="2"/>
      <x:c r="D35" s="2"/>
      <x:c r="E35" s="2"/>
      <x:c r="F35" s="2"/>
      <x:c r="G35" s="2"/>
    </x:row>
    <x:row r="36" ht="23" customHeight="1">
      <x:c r="A36" s="2"/>
      <x:c r="B36" s="2"/>
      <x:c r="C36" s="2"/>
      <x:c r="D36" s="2"/>
      <x:c r="E36" s="2"/>
      <x:c r="F36" s="2"/>
      <x:c r="G36" s="2"/>
    </x:row>
    <x:row r="37" ht="23" customHeight="1">
      <x:c r="A37" s="2"/>
      <x:c r="B37" s="2"/>
      <x:c r="C37" s="2"/>
      <x:c r="D37" s="2"/>
      <x:c r="E37" s="2"/>
      <x:c r="F37" s="2"/>
      <x:c r="G37" s="2"/>
    </x:row>
    <x:row r="38" ht="23" customHeight="1">
      <x:c r="A38" s="2" t="str">
        <x:v>Aporte (pp): cambio del sector / total del período anterior × 100. No es su propia tasa de crecimiento.</x:v>
      </x:c>
      <x:c r="B38" s="2"/>
      <x:c r="C38" s="2"/>
      <x:c r="D38" s="2"/>
      <x:c r="E38" s="2"/>
      <x:c r="F38" s="2"/>
      <x:c r="G38" s="2"/>
    </x:row>
    <x:row r="39" ht="23" customHeight="1">
      <x:c r="A39" s="2" t="str">
        <x:v>Datos sin ajuste climático ni estacional. Los aportes son contables y no identifican causas.</x:v>
      </x:c>
      <x:c r="B39" s="2"/>
      <x:c r="C39" s="2"/>
      <x:c r="D39" s="2"/>
      <x:c r="E39" s="2"/>
      <x:c r="F39" s="2"/>
      <x:c r="G39" s="2"/>
    </x:row>
    <x:row r="40" ht="23" customHeight="1">
      <x:c r="A40" s="2" t="str">
        <x:v>Conciliación con fuente (GWh)</x:v>
      </x:c>
      <x:c r="B40" s="29" t="n">
        <x:f>IF(B6="Disponible",B13-SUMIFS('Datos'!$B$10:$B$269,'Datos'!$A$10:$A$269,B4),"n.a.")</x:f>
        <x:v>0</x:v>
      </x:c>
      <x:c r="C40" s="2"/>
      <x:c r="D40" s="2"/>
      <x:c r="E40" s="2"/>
      <x:c r="F40" s="2"/>
      <x:c r="G40" s="2"/>
    </x:row>
    <x:row r="41" ht="23" customHeight="1">
      <x:c r="A41" s="2" t="str">
        <x:v>Datos originales y fuente en la hoja Datos. El archivo no descarga publicaciones nuevas.</x:v>
      </x:c>
      <x:c r="B41" s="2"/>
      <x:c r="C41" s="2"/>
      <x:c r="D41" s="2"/>
      <x:c r="E41" s="2"/>
      <x:c r="F41" s="2"/>
      <x:c r="G41" s="2"/>
    </x:row>
    <x:row r="42" ht="23" customHeight="1">
      <x:c r="A42" s="2" t="str">
        <x:v>IA y electricidad: evidencia internacional y límites de atribución en la hoja IA y energía.</x:v>
      </x:c>
      <x:c r="B42" s="2"/>
      <x:c r="C42" s="2"/>
      <x:c r="D42" s="2"/>
      <x:c r="E42" s="2"/>
      <x:c r="F42" s="2"/>
      <x:c r="G42" s="2"/>
    </x:row>
  </x:sheetData>
  <x:dataValidations count="1">
    <x:dataValidation type="list" sqref="B4">
      <x:formula1>INDIRECT("'Datos'!$A$22:$A$269")</x:formula1>
    </x:dataValidation>
  </x:dataValidations>
  <x:pageMargins left="0.7" right="0.7" top="0.75" bottom="0.75" header="0.3" footer="0.3"/>
  <x:drawing xmlns:r="http://schemas.openxmlformats.org/officeDocument/2006/relationships" r:id="R16236ac5684147ea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Datos mensuales originales (GWh)</x:v>
      </x:c>
      <x:c r="B2" s="2"/>
      <x:c r="C2" s="2"/>
      <x:c r="D2" s="2"/>
      <x:c r="E2" s="2"/>
      <x:c r="F2" s="2"/>
      <x:c r="G2" s="2"/>
    </x:row>
    <x:row r="3" ht="23" customHeight="1">
      <x:c r="A3" s="2" t="str">
        <x:v>Fuente: Datos Argentina / CAMMESA. Consulta oficial en el enlace de A4.</x:v>
      </x:c>
      <x:c r="B3" s="2"/>
      <x:c r="C3" s="2"/>
      <x:c r="D3" s="2"/>
      <x:c r="E3" s="2"/>
      <x:c r="F3" s="2"/>
      <x:c r="G3" s="2"/>
    </x:row>
    <x:row r="4" ht="23" customHeight="1">
      <x:c r="A4" s="2" t="str">
        <x:v>https://datos.gob.ar/dataset/sspm-demanda-electricidad</x:v>
      </x:c>
      <x:c r="B4" s="2"/>
      <x:c r="C4" s="2"/>
      <x:c r="D4" s="2"/>
      <x:c r="E4" s="2"/>
      <x:c r="F4" s="2"/>
      <x:c r="G4" s="2"/>
    </x:row>
    <x:row r="5" ht="23" customHeight="1">
      <x:c r="A5" s="2" t="str">
        <x:v>Descarga: 2026-09-20. Histórico revisable: enero 2005–agosto 2026.</x:v>
      </x:c>
      <x:c r="B5" s="2"/>
      <x:c r="C5" s="2"/>
      <x:c r="D5" s="2"/>
      <x:c r="E5" s="2"/>
      <x:c r="F5" s="2"/>
      <x:c r="G5" s="2"/>
    </x:row>
    <x:row r="6" ht="23" customHeight="1">
      <x:c r="A6" s="2" t="str">
        <x:v>Comercio e industria conserva la categoría conjunta de la fuente. Grandes usuarios no equivale a industria.</x:v>
      </x:c>
      <x:c r="B6" s="2"/>
      <x:c r="C6" s="2"/>
      <x:c r="D6" s="2"/>
      <x:c r="E6" s="2"/>
      <x:c r="F6" s="2"/>
      <x:c r="G6" s="2"/>
    </x:row>
    <x:row r="7" ht="23" customHeight="1">
      <x:c r="A7" s="2" t="str">
        <x:v>SHA-256: 31d390ba985e387f964c213c854979ac39e1d382ee40d7b8b45fbfb7aa90f04b</x:v>
      </x:c>
      <x:c r="B7" s="2"/>
      <x:c r="C7" s="2"/>
      <x:c r="D7" s="2"/>
      <x:c r="E7" s="2"/>
      <x:c r="F7" s="2"/>
      <x:c r="G7" s="2"/>
    </x:row>
    <x:row r="8" ht="23" customHeight="1">
      <x:c r="A8" s="2"/>
      <x:c r="B8" s="2"/>
      <x:c r="C8" s="2"/>
      <x:c r="D8" s="2"/>
      <x:c r="E8" s="2"/>
      <x:c r="F8" s="2"/>
      <x:c r="G8" s="2"/>
    </x:row>
    <x:row r="9" ht="40" customHeight="1">
      <x:c r="A9" s="9" t="str">
        <x:v>Mes</x:v>
      </x:c>
      <x:c r="B9" s="9" t="str">
        <x:v>Total GWh</x:v>
      </x:c>
      <x:c r="C9" s="9" t="str">
        <x:v>Residencial GWh</x:v>
      </x:c>
      <x:c r="D9" s="9" t="str">
        <x:v>Comercio e industria GWh</x:v>
      </x:c>
      <x:c r="E9" s="9" t="str">
        <x:v>Grandes usuarios GWh</x:v>
      </x:c>
      <x:c r="F9" s="2"/>
      <x:c r="G9" s="2"/>
    </x:row>
    <x:row r="10" ht="23" customHeight="1">
      <x:c r="A10" s="4" t="n">
        <x:v>38353</x:v>
      </x:c>
      <x:c r="B10" s="30" t="n">
        <x:v>7983.28</x:v>
      </x:c>
      <x:c r="C10" s="30" t="n">
        <x:v>2717.678</x:v>
      </x:c>
      <x:c r="D10" s="30" t="n">
        <x:v>3750.612</x:v>
      </x:c>
      <x:c r="E10" s="30" t="n">
        <x:v>1514.99</x:v>
      </x:c>
      <x:c r="F10" s="2"/>
      <x:c r="G10" s="2"/>
    </x:row>
    <x:row r="11" ht="23" customHeight="1">
      <x:c r="A11" s="4" t="n">
        <x:v>38384</x:v>
      </x:c>
      <x:c r="B11" s="30" t="n">
        <x:v>7248.88</x:v>
      </x:c>
      <x:c r="C11" s="30" t="n">
        <x:v>2298.744</x:v>
      </x:c>
      <x:c r="D11" s="30" t="n">
        <x:v>3479.876</x:v>
      </x:c>
      <x:c r="E11" s="30" t="n">
        <x:v>1470.26</x:v>
      </x:c>
      <x:c r="F11" s="2"/>
      <x:c r="G11" s="2"/>
    </x:row>
    <x:row r="12" ht="23" customHeight="1">
      <x:c r="A12" s="4" t="n">
        <x:v>38412</x:v>
      </x:c>
      <x:c r="B12" s="30" t="n">
        <x:v>7689.91</x:v>
      </x:c>
      <x:c r="C12" s="30" t="n">
        <x:v>2384.287</x:v>
      </x:c>
      <x:c r="D12" s="30" t="n">
        <x:v>3690.043</x:v>
      </x:c>
      <x:c r="E12" s="30" t="n">
        <x:v>1615.58</x:v>
      </x:c>
      <x:c r="F12" s="2"/>
      <x:c r="G12" s="2"/>
    </x:row>
    <x:row r="13" ht="23" customHeight="1">
      <x:c r="A13" s="4" t="n">
        <x:v>38443</x:v>
      </x:c>
      <x:c r="B13" s="30" t="n">
        <x:v>7213.14</x:v>
      </x:c>
      <x:c r="C13" s="30" t="n">
        <x:v>2184.768</x:v>
      </x:c>
      <x:c r="D13" s="30" t="n">
        <x:v>3492.142</x:v>
      </x:c>
      <x:c r="E13" s="30" t="n">
        <x:v>1536.23</x:v>
      </x:c>
      <x:c r="F13" s="2"/>
      <x:c r="G13" s="2"/>
    </x:row>
    <x:row r="14" ht="23" customHeight="1">
      <x:c r="A14" s="4" t="n">
        <x:v>38473</x:v>
      </x:c>
      <x:c r="B14" s="30" t="n">
        <x:v>7668.55</x:v>
      </x:c>
      <x:c r="C14" s="30" t="n">
        <x:v>2479.291</x:v>
      </x:c>
      <x:c r="D14" s="30" t="n">
        <x:v>3597.299</x:v>
      </x:c>
      <x:c r="E14" s="30" t="n">
        <x:v>1591.96</x:v>
      </x:c>
      <x:c r="F14" s="2"/>
      <x:c r="G14" s="2"/>
    </x:row>
    <x:row r="15" ht="23" customHeight="1">
      <x:c r="A15" s="4" t="n">
        <x:v>38504</x:v>
      </x:c>
      <x:c r="B15" s="30" t="n">
        <x:v>7719.71</x:v>
      </x:c>
      <x:c r="C15" s="30" t="n">
        <x:v>2679.416</x:v>
      </x:c>
      <x:c r="D15" s="30" t="n">
        <x:v>3498.704</x:v>
      </x:c>
      <x:c r="E15" s="30" t="n">
        <x:v>1541.59</x:v>
      </x:c>
      <x:c r="F15" s="2"/>
      <x:c r="G15" s="2"/>
    </x:row>
    <x:row r="16" ht="23" customHeight="1">
      <x:c r="A16" s="4" t="n">
        <x:v>38534</x:v>
      </x:c>
      <x:c r="B16" s="30" t="n">
        <x:v>8061.62</x:v>
      </x:c>
      <x:c r="C16" s="30" t="n">
        <x:v>2896.148</x:v>
      </x:c>
      <x:c r="D16" s="30" t="n">
        <x:v>3628.562</x:v>
      </x:c>
      <x:c r="E16" s="30" t="n">
        <x:v>1536.91</x:v>
      </x:c>
      <x:c r="F16" s="2"/>
      <x:c r="G16" s="2"/>
    </x:row>
    <x:row r="17" ht="23" customHeight="1">
      <x:c r="A17" s="4" t="n">
        <x:v>38565</x:v>
      </x:c>
      <x:c r="B17" s="30" t="n">
        <x:v>7953.5</x:v>
      </x:c>
      <x:c r="C17" s="30" t="n">
        <x:v>2737.632</x:v>
      </x:c>
      <x:c r="D17" s="30" t="n">
        <x:v>3587.508</x:v>
      </x:c>
      <x:c r="E17" s="30" t="n">
        <x:v>1628.36</x:v>
      </x:c>
      <x:c r="F17" s="2"/>
      <x:c r="G17" s="2"/>
    </x:row>
    <x:row r="18" ht="23" customHeight="1">
      <x:c r="A18" s="4" t="n">
        <x:v>38596</x:v>
      </x:c>
      <x:c r="B18" s="30" t="n">
        <x:v>7508.4</x:v>
      </x:c>
      <x:c r="C18" s="30" t="n">
        <x:v>2454.398</x:v>
      </x:c>
      <x:c r="D18" s="30" t="n">
        <x:v>3449.992</x:v>
      </x:c>
      <x:c r="E18" s="30" t="n">
        <x:v>1604.01</x:v>
      </x:c>
      <x:c r="F18" s="2"/>
      <x:c r="G18" s="2"/>
    </x:row>
    <x:row r="19" ht="23" customHeight="1">
      <x:c r="A19" s="4" t="n">
        <x:v>38626</x:v>
      </x:c>
      <x:c r="B19" s="30" t="n">
        <x:v>7403.31</x:v>
      </x:c>
      <x:c r="C19" s="30" t="n">
        <x:v>2266.127</x:v>
      </x:c>
      <x:c r="D19" s="30" t="n">
        <x:v>3495.353</x:v>
      </x:c>
      <x:c r="E19" s="30" t="n">
        <x:v>1641.83</x:v>
      </x:c>
      <x:c r="F19" s="2"/>
      <x:c r="G19" s="2"/>
    </x:row>
    <x:row r="20" ht="23" customHeight="1">
      <x:c r="A20" s="4" t="n">
        <x:v>38657</x:v>
      </x:c>
      <x:c r="B20" s="30" t="n">
        <x:v>7784.34</x:v>
      </x:c>
      <x:c r="C20" s="30" t="n">
        <x:v>2415.443</x:v>
      </x:c>
      <x:c r="D20" s="30" t="n">
        <x:v>3642.277</x:v>
      </x:c>
      <x:c r="E20" s="30" t="n">
        <x:v>1726.62</x:v>
      </x:c>
      <x:c r="F20" s="2"/>
      <x:c r="G20" s="2"/>
    </x:row>
    <x:row r="21" ht="23" customHeight="1">
      <x:c r="A21" s="4" t="n">
        <x:v>38687</x:v>
      </x:c>
      <x:c r="B21" s="30" t="n">
        <x:v>8098.31</x:v>
      </x:c>
      <x:c r="C21" s="30" t="n">
        <x:v>2572.563</x:v>
      </x:c>
      <x:c r="D21" s="30" t="n">
        <x:v>3790.507</x:v>
      </x:c>
      <x:c r="E21" s="30" t="n">
        <x:v>1735.24</x:v>
      </x:c>
      <x:c r="F21" s="2"/>
      <x:c r="G21" s="2"/>
    </x:row>
    <x:row r="22" ht="23" customHeight="1">
      <x:c r="A22" s="4" t="n">
        <x:v>38718</x:v>
      </x:c>
      <x:c r="B22" s="30" t="n">
        <x:v>7957.9</x:v>
      </x:c>
      <x:c r="C22" s="30" t="n">
        <x:v>2830.373</x:v>
      </x:c>
      <x:c r="D22" s="30" t="n">
        <x:v>3428.727</x:v>
      </x:c>
      <x:c r="E22" s="30" t="n">
        <x:v>1698.8</x:v>
      </x:c>
      <x:c r="F22" s="2"/>
      <x:c r="G22" s="2"/>
    </x:row>
    <x:row r="23" ht="23" customHeight="1">
      <x:c r="A23" s="4" t="n">
        <x:v>38749</x:v>
      </x:c>
      <x:c r="B23" s="30" t="n">
        <x:v>7395.7</x:v>
      </x:c>
      <x:c r="C23" s="30" t="n">
        <x:v>2515.396</x:v>
      </x:c>
      <x:c r="D23" s="30" t="n">
        <x:v>3261.454</x:v>
      </x:c>
      <x:c r="E23" s="30" t="n">
        <x:v>1618.85</x:v>
      </x:c>
      <x:c r="F23" s="2"/>
      <x:c r="G23" s="2"/>
    </x:row>
    <x:row r="24" ht="23" customHeight="1">
      <x:c r="A24" s="4" t="n">
        <x:v>38777</x:v>
      </x:c>
      <x:c r="B24" s="30" t="n">
        <x:v>8037.6</x:v>
      </x:c>
      <x:c r="C24" s="30" t="n">
        <x:v>2474.69</x:v>
      </x:c>
      <x:c r="D24" s="30" t="n">
        <x:v>3540.41</x:v>
      </x:c>
      <x:c r="E24" s="30" t="n">
        <x:v>2022.5</x:v>
      </x:c>
      <x:c r="F24" s="2"/>
      <x:c r="G24" s="2"/>
    </x:row>
    <x:row r="25" ht="23" customHeight="1">
      <x:c r="A25" s="4" t="n">
        <x:v>38808</x:v>
      </x:c>
      <x:c r="B25" s="30" t="n">
        <x:v>7555.6</x:v>
      </x:c>
      <x:c r="C25" s="30" t="n">
        <x:v>2258.193</x:v>
      </x:c>
      <x:c r="D25" s="30" t="n">
        <x:v>3318.147</x:v>
      </x:c>
      <x:c r="E25" s="30" t="n">
        <x:v>1979.26</x:v>
      </x:c>
      <x:c r="F25" s="2"/>
      <x:c r="G25" s="2"/>
    </x:row>
    <x:row r="26" ht="23" customHeight="1">
      <x:c r="A26" s="4" t="n">
        <x:v>38838</x:v>
      </x:c>
      <x:c r="B26" s="30" t="n">
        <x:v>8116.1</x:v>
      </x:c>
      <x:c r="C26" s="30" t="n">
        <x:v>2696.051</x:v>
      </x:c>
      <x:c r="D26" s="30" t="n">
        <x:v>3416.579</x:v>
      </x:c>
      <x:c r="E26" s="30" t="n">
        <x:v>2003.47</x:v>
      </x:c>
      <x:c r="F26" s="2"/>
      <x:c r="G26" s="2"/>
    </x:row>
    <x:row r="27" ht="23" customHeight="1">
      <x:c r="A27" s="4" t="n">
        <x:v>38869</x:v>
      </x:c>
      <x:c r="B27" s="30" t="n">
        <x:v>8248.9</x:v>
      </x:c>
      <x:c r="C27" s="30" t="n">
        <x:v>2963.715</x:v>
      </x:c>
      <x:c r="D27" s="30" t="n">
        <x:v>3374.495</x:v>
      </x:c>
      <x:c r="E27" s="30" t="n">
        <x:v>1910.69</x:v>
      </x:c>
      <x:c r="F27" s="2"/>
      <x:c r="G27" s="2"/>
    </x:row>
    <x:row r="28" ht="23" customHeight="1">
      <x:c r="A28" s="4" t="n">
        <x:v>38899</x:v>
      </x:c>
      <x:c r="B28" s="30" t="n">
        <x:v>8313.5</x:v>
      </x:c>
      <x:c r="C28" s="30" t="n">
        <x:v>2993.796</x:v>
      </x:c>
      <x:c r="D28" s="30" t="n">
        <x:v>3392.594</x:v>
      </x:c>
      <x:c r="E28" s="30" t="n">
        <x:v>1927.11</x:v>
      </x:c>
      <x:c r="F28" s="2"/>
      <x:c r="G28" s="2"/>
    </x:row>
    <x:row r="29" ht="23" customHeight="1">
      <x:c r="A29" s="4" t="n">
        <x:v>38930</x:v>
      </x:c>
      <x:c r="B29" s="30" t="n">
        <x:v>8497</x:v>
      </x:c>
      <x:c r="C29" s="30" t="n">
        <x:v>3107.201</x:v>
      </x:c>
      <x:c r="D29" s="30" t="n">
        <x:v>3472.059</x:v>
      </x:c>
      <x:c r="E29" s="30" t="n">
        <x:v>1917.74</x:v>
      </x:c>
      <x:c r="F29" s="2"/>
      <x:c r="G29" s="2"/>
    </x:row>
    <x:row r="30" ht="23" customHeight="1">
      <x:c r="A30" s="4" t="n">
        <x:v>38961</x:v>
      </x:c>
      <x:c r="B30" s="30" t="n">
        <x:v>7828.4</x:v>
      </x:c>
      <x:c r="C30" s="30" t="n">
        <x:v>2614.886</x:v>
      </x:c>
      <x:c r="D30" s="30" t="n">
        <x:v>3291.477</x:v>
      </x:c>
      <x:c r="E30" s="30" t="n">
        <x:v>1922.037</x:v>
      </x:c>
      <x:c r="F30" s="2"/>
      <x:c r="G30" s="2"/>
    </x:row>
    <x:row r="31" ht="23" customHeight="1">
      <x:c r="A31" s="4" t="n">
        <x:v>38991</x:v>
      </x:c>
      <x:c r="B31" s="30" t="n">
        <x:v>8025.1</x:v>
      </x:c>
      <x:c r="C31" s="30" t="n">
        <x:v>2530.829</x:v>
      </x:c>
      <x:c r="D31" s="30" t="n">
        <x:v>3503.241</x:v>
      </x:c>
      <x:c r="E31" s="30" t="n">
        <x:v>1991.03</x:v>
      </x:c>
      <x:c r="F31" s="2"/>
      <x:c r="G31" s="2"/>
    </x:row>
    <x:row r="32" ht="23" customHeight="1">
      <x:c r="A32" s="4" t="n">
        <x:v>39022</x:v>
      </x:c>
      <x:c r="B32" s="30" t="n">
        <x:v>7998.1</x:v>
      </x:c>
      <x:c r="C32" s="30" t="n">
        <x:v>2551.555</x:v>
      </x:c>
      <x:c r="D32" s="30" t="n">
        <x:v>3489.625</x:v>
      </x:c>
      <x:c r="E32" s="30" t="n">
        <x:v>1956.92</x:v>
      </x:c>
      <x:c r="F32" s="2"/>
      <x:c r="G32" s="2"/>
    </x:row>
    <x:row r="33" ht="23" customHeight="1">
      <x:c r="A33" s="4" t="n">
        <x:v>39052</x:v>
      </x:c>
      <x:c r="B33" s="30" t="n">
        <x:v>8838.9</x:v>
      </x:c>
      <x:c r="C33" s="30" t="n">
        <x:v>3071.673</x:v>
      </x:c>
      <x:c r="D33" s="30" t="n">
        <x:v>3802.947</x:v>
      </x:c>
      <x:c r="E33" s="30" t="n">
        <x:v>1964.28</x:v>
      </x:c>
      <x:c r="F33" s="2"/>
      <x:c r="G33" s="2"/>
    </x:row>
    <x:row r="34" ht="23" customHeight="1">
      <x:c r="A34" s="4" t="n">
        <x:v>39083</x:v>
      </x:c>
      <x:c r="B34" s="30" t="n">
        <x:v>8743.2</x:v>
      </x:c>
      <x:c r="C34" s="30" t="n">
        <x:v>3079.471</x:v>
      </x:c>
      <x:c r="D34" s="30" t="n">
        <x:v>3735.829</x:v>
      </x:c>
      <x:c r="E34" s="30" t="n">
        <x:v>1927.9</x:v>
      </x:c>
      <x:c r="F34" s="2"/>
      <x:c r="G34" s="2"/>
    </x:row>
    <x:row r="35" ht="23" customHeight="1">
      <x:c r="A35" s="4" t="n">
        <x:v>39114</x:v>
      </x:c>
      <x:c r="B35" s="30" t="n">
        <x:v>8158.2</x:v>
      </x:c>
      <x:c r="C35" s="30" t="n">
        <x:v>2790.054</x:v>
      </x:c>
      <x:c r="D35" s="30" t="n">
        <x:v>3574.996</x:v>
      </x:c>
      <x:c r="E35" s="30" t="n">
        <x:v>1793.15</x:v>
      </x:c>
      <x:c r="F35" s="2"/>
      <x:c r="G35" s="2"/>
    </x:row>
    <x:row r="36" ht="23" customHeight="1">
      <x:c r="A36" s="4" t="n">
        <x:v>39142</x:v>
      </x:c>
      <x:c r="B36" s="30" t="n">
        <x:v>8637.8</x:v>
      </x:c>
      <x:c r="C36" s="30" t="n">
        <x:v>2853.558</x:v>
      </x:c>
      <x:c r="D36" s="30" t="n">
        <x:v>3795.382</x:v>
      </x:c>
      <x:c r="E36" s="30" t="n">
        <x:v>1988.86</x:v>
      </x:c>
      <x:c r="F36" s="2"/>
      <x:c r="G36" s="2"/>
    </x:row>
    <x:row r="37" ht="23" customHeight="1">
      <x:c r="A37" s="4" t="n">
        <x:v>39173</x:v>
      </x:c>
      <x:c r="B37" s="30" t="n">
        <x:v>8010.4</x:v>
      </x:c>
      <x:c r="C37" s="30" t="n">
        <x:v>2610.215</x:v>
      </x:c>
      <x:c r="D37" s="30" t="n">
        <x:v>3525.255</x:v>
      </x:c>
      <x:c r="E37" s="30" t="n">
        <x:v>1874.93</x:v>
      </x:c>
      <x:c r="F37" s="2"/>
      <x:c r="G37" s="2"/>
    </x:row>
    <x:row r="38" ht="23" customHeight="1">
      <x:c r="A38" s="4" t="n">
        <x:v>39203</x:v>
      </x:c>
      <x:c r="B38" s="30" t="n">
        <x:v>8789.5</x:v>
      </x:c>
      <x:c r="C38" s="30" t="n">
        <x:v>3161.771</x:v>
      </x:c>
      <x:c r="D38" s="30" t="n">
        <x:v>3731.939</x:v>
      </x:c>
      <x:c r="E38" s="30" t="n">
        <x:v>1895.79</x:v>
      </x:c>
      <x:c r="F38" s="2"/>
      <x:c r="G38" s="2"/>
    </x:row>
    <x:row r="39" ht="23" customHeight="1">
      <x:c r="A39" s="4" t="n">
        <x:v>39234</x:v>
      </x:c>
      <x:c r="B39" s="30" t="n">
        <x:v>8851.4</x:v>
      </x:c>
      <x:c r="C39" s="30" t="n">
        <x:v>3576.113</x:v>
      </x:c>
      <x:c r="D39" s="30" t="n">
        <x:v>3535.967</x:v>
      </x:c>
      <x:c r="E39" s="30" t="n">
        <x:v>1739.32</x:v>
      </x:c>
      <x:c r="F39" s="2"/>
      <x:c r="G39" s="2"/>
    </x:row>
    <x:row r="40" ht="23" customHeight="1">
      <x:c r="A40" s="4" t="n">
        <x:v>39264</x:v>
      </x:c>
      <x:c r="B40" s="30" t="n">
        <x:v>9024.5</x:v>
      </x:c>
      <x:c r="C40" s="30" t="n">
        <x:v>3807.798</x:v>
      </x:c>
      <x:c r="D40" s="30" t="n">
        <x:v>3564.032</x:v>
      </x:c>
      <x:c r="E40" s="30" t="n">
        <x:v>1652.67</x:v>
      </x:c>
      <x:c r="F40" s="2"/>
      <x:c r="G40" s="2"/>
    </x:row>
    <x:row r="41" ht="23" customHeight="1">
      <x:c r="A41" s="4" t="n">
        <x:v>39295</x:v>
      </x:c>
      <x:c r="B41" s="30" t="n">
        <x:v>9106.5</x:v>
      </x:c>
      <x:c r="C41" s="30" t="n">
        <x:v>3726.224</x:v>
      </x:c>
      <x:c r="D41" s="30" t="n">
        <x:v>3589.396</x:v>
      </x:c>
      <x:c r="E41" s="30" t="n">
        <x:v>1790.88</x:v>
      </x:c>
      <x:c r="F41" s="2"/>
      <x:c r="G41" s="2"/>
    </x:row>
    <x:row r="42" ht="23" customHeight="1">
      <x:c r="A42" s="4" t="n">
        <x:v>39326</x:v>
      </x:c>
      <x:c r="B42" s="30" t="n">
        <x:v>8082.6</x:v>
      </x:c>
      <x:c r="C42" s="30" t="n">
        <x:v>2838.982</x:v>
      </x:c>
      <x:c r="D42" s="30" t="n">
        <x:v>3370.048</x:v>
      </x:c>
      <x:c r="E42" s="30" t="n">
        <x:v>1873.57</x:v>
      </x:c>
      <x:c r="F42" s="2"/>
      <x:c r="G42" s="2"/>
    </x:row>
    <x:row r="43" ht="23" customHeight="1">
      <x:c r="A43" s="4" t="n">
        <x:v>39356</x:v>
      </x:c>
      <x:c r="B43" s="30" t="n">
        <x:v>8370.4</x:v>
      </x:c>
      <x:c r="C43" s="30" t="n">
        <x:v>2810.846</x:v>
      </x:c>
      <x:c r="D43" s="30" t="n">
        <x:v>3654.304</x:v>
      </x:c>
      <x:c r="E43" s="30" t="n">
        <x:v>1905.25</x:v>
      </x:c>
      <x:c r="F43" s="2"/>
      <x:c r="G43" s="2"/>
    </x:row>
    <x:row r="44" ht="23" customHeight="1">
      <x:c r="A44" s="4" t="n">
        <x:v>39387</x:v>
      </x:c>
      <x:c r="B44" s="30" t="n">
        <x:v>8254.4</x:v>
      </x:c>
      <x:c r="C44" s="30" t="n">
        <x:v>2717.576</x:v>
      </x:c>
      <x:c r="D44" s="30" t="n">
        <x:v>3591.714</x:v>
      </x:c>
      <x:c r="E44" s="30" t="n">
        <x:v>1945.11</x:v>
      </x:c>
      <x:c r="F44" s="2"/>
      <x:c r="G44" s="2"/>
    </x:row>
    <x:row r="45" ht="23" customHeight="1">
      <x:c r="A45" s="4" t="n">
        <x:v>39417</x:v>
      </x:c>
      <x:c r="B45" s="30" t="n">
        <x:v>8921.4</x:v>
      </x:c>
      <x:c r="C45" s="30" t="n">
        <x:v>3138.571</x:v>
      </x:c>
      <x:c r="D45" s="30" t="n">
        <x:v>3815.519</x:v>
      </x:c>
      <x:c r="E45" s="30" t="n">
        <x:v>1967.31</x:v>
      </x:c>
      <x:c r="F45" s="2"/>
      <x:c r="G45" s="2"/>
    </x:row>
    <x:row r="46" ht="23" customHeight="1">
      <x:c r="A46" s="4" t="n">
        <x:v>39448</x:v>
      </x:c>
      <x:c r="B46" s="30" t="n">
        <x:v>9175.1</x:v>
      </x:c>
      <x:c r="C46" s="30" t="n">
        <x:v>3420.283</x:v>
      </x:c>
      <x:c r="D46" s="30" t="n">
        <x:v>3811.277</x:v>
      </x:c>
      <x:c r="E46" s="30" t="n">
        <x:v>1943.54</x:v>
      </x:c>
      <x:c r="F46" s="2"/>
      <x:c r="G46" s="2"/>
    </x:row>
    <x:row r="47" ht="23" customHeight="1">
      <x:c r="A47" s="4" t="n">
        <x:v>39479</x:v>
      </x:c>
      <x:c r="B47" s="30" t="n">
        <x:v>8728.8</x:v>
      </x:c>
      <x:c r="C47" s="30" t="n">
        <x:v>3073.664</x:v>
      </x:c>
      <x:c r="D47" s="30" t="n">
        <x:v>3705.406</x:v>
      </x:c>
      <x:c r="E47" s="30" t="n">
        <x:v>1949.73</x:v>
      </x:c>
      <x:c r="F47" s="2"/>
      <x:c r="G47" s="2"/>
    </x:row>
    <x:row r="48" ht="23" customHeight="1">
      <x:c r="A48" s="4" t="n">
        <x:v>39508</x:v>
      </x:c>
      <x:c r="B48" s="30" t="n">
        <x:v>8594.5</x:v>
      </x:c>
      <x:c r="C48" s="30" t="n">
        <x:v>2894.605</x:v>
      </x:c>
      <x:c r="D48" s="30" t="n">
        <x:v>3678.195</x:v>
      </x:c>
      <x:c r="E48" s="30" t="n">
        <x:v>2021.7</x:v>
      </x:c>
      <x:c r="F48" s="2"/>
      <x:c r="G48" s="2"/>
    </x:row>
    <x:row r="49" ht="23" customHeight="1">
      <x:c r="A49" s="4" t="n">
        <x:v>39539</x:v>
      </x:c>
      <x:c r="B49" s="30" t="n">
        <x:v>8286.6</x:v>
      </x:c>
      <x:c r="C49" s="30" t="n">
        <x:v>2764.962</x:v>
      </x:c>
      <x:c r="D49" s="30" t="n">
        <x:v>3526.868</x:v>
      </x:c>
      <x:c r="E49" s="30" t="n">
        <x:v>1994.77</x:v>
      </x:c>
      <x:c r="F49" s="2"/>
      <x:c r="G49" s="2"/>
    </x:row>
    <x:row r="50" ht="23" customHeight="1">
      <x:c r="A50" s="4" t="n">
        <x:v>39569</x:v>
      </x:c>
      <x:c r="B50" s="30" t="n">
        <x:v>8777.8</x:v>
      </x:c>
      <x:c r="C50" s="30" t="n">
        <x:v>3102.396</x:v>
      </x:c>
      <x:c r="D50" s="30" t="n">
        <x:v>3625.434</x:v>
      </x:c>
      <x:c r="E50" s="30" t="n">
        <x:v>2049.97</x:v>
      </x:c>
      <x:c r="F50" s="2"/>
      <x:c r="G50" s="2"/>
    </x:row>
    <x:row r="51" ht="23" customHeight="1">
      <x:c r="A51" s="4" t="n">
        <x:v>39600</x:v>
      </x:c>
      <x:c r="B51" s="30" t="n">
        <x:v>9209.8</x:v>
      </x:c>
      <x:c r="C51" s="30" t="n">
        <x:v>3699.403</x:v>
      </x:c>
      <x:c r="D51" s="30" t="n">
        <x:v>3582.687</x:v>
      </x:c>
      <x:c r="E51" s="30" t="n">
        <x:v>1927.71</x:v>
      </x:c>
      <x:c r="F51" s="2"/>
      <x:c r="G51" s="2"/>
    </x:row>
    <x:row r="52" ht="23" customHeight="1">
      <x:c r="A52" s="4" t="n">
        <x:v>39630</x:v>
      </x:c>
      <x:c r="B52" s="30" t="n">
        <x:v>9127.1</x:v>
      </x:c>
      <x:c r="C52" s="30" t="n">
        <x:v>3626.348</x:v>
      </x:c>
      <x:c r="D52" s="30" t="n">
        <x:v>3476.582</x:v>
      </x:c>
      <x:c r="E52" s="30" t="n">
        <x:v>2024.17</x:v>
      </x:c>
      <x:c r="F52" s="2"/>
      <x:c r="G52" s="2"/>
    </x:row>
    <x:row r="53" ht="23" customHeight="1">
      <x:c r="A53" s="4" t="n">
        <x:v>39661</x:v>
      </x:c>
      <x:c r="B53" s="30" t="n">
        <x:v>9025.3</x:v>
      </x:c>
      <x:c r="C53" s="30" t="n">
        <x:v>3438.115</x:v>
      </x:c>
      <x:c r="D53" s="30" t="n">
        <x:v>3488.405</x:v>
      </x:c>
      <x:c r="E53" s="30" t="n">
        <x:v>2098.78</x:v>
      </x:c>
      <x:c r="F53" s="2"/>
      <x:c r="G53" s="2"/>
    </x:row>
    <x:row r="54" ht="23" customHeight="1">
      <x:c r="A54" s="4" t="n">
        <x:v>39692</x:v>
      </x:c>
      <x:c r="B54" s="30" t="n">
        <x:v>8587.6</x:v>
      </x:c>
      <x:c r="C54" s="30" t="n">
        <x:v>3061.343</x:v>
      </x:c>
      <x:c r="D54" s="30" t="n">
        <x:v>3375.917</x:v>
      </x:c>
      <x:c r="E54" s="30" t="n">
        <x:v>2150.34</x:v>
      </x:c>
      <x:c r="F54" s="2"/>
      <x:c r="G54" s="2"/>
    </x:row>
    <x:row r="55" ht="23" customHeight="1">
      <x:c r="A55" s="4" t="n">
        <x:v>39722</x:v>
      </x:c>
      <x:c r="B55" s="30" t="n">
        <x:v>8477.2</x:v>
      </x:c>
      <x:c r="C55" s="30" t="n">
        <x:v>2898.784</x:v>
      </x:c>
      <x:c r="D55" s="30" t="n">
        <x:v>3417.156</x:v>
      </x:c>
      <x:c r="E55" s="30" t="n">
        <x:v>2161.26</x:v>
      </x:c>
      <x:c r="F55" s="2"/>
      <x:c r="G55" s="2"/>
    </x:row>
    <x:row r="56" ht="23" customHeight="1">
      <x:c r="A56" s="4" t="n">
        <x:v>39753</x:v>
      </x:c>
      <x:c r="B56" s="30" t="n">
        <x:v>8914.9</x:v>
      </x:c>
      <x:c r="C56" s="30" t="n">
        <x:v>3159.108</x:v>
      </x:c>
      <x:c r="D56" s="30" t="n">
        <x:v>3681.432</x:v>
      </x:c>
      <x:c r="E56" s="30" t="n">
        <x:v>2074.36</x:v>
      </x:c>
      <x:c r="F56" s="2"/>
      <x:c r="G56" s="2"/>
    </x:row>
    <x:row r="57" ht="23" customHeight="1">
      <x:c r="A57" s="4" t="n">
        <x:v>39783</x:v>
      </x:c>
      <x:c r="B57" s="30" t="n">
        <x:v>9053.4</x:v>
      </x:c>
      <x:c r="C57" s="30" t="n">
        <x:v>3471.033</x:v>
      </x:c>
      <x:c r="D57" s="30" t="n">
        <x:v>3691.127</x:v>
      </x:c>
      <x:c r="E57" s="30" t="n">
        <x:v>1891.24</x:v>
      </x:c>
      <x:c r="F57" s="2"/>
      <x:c r="G57" s="2"/>
    </x:row>
    <x:row r="58" ht="23" customHeight="1">
      <x:c r="A58" s="4" t="n">
        <x:v>39814</x:v>
      </x:c>
      <x:c r="B58" s="30" t="n">
        <x:v>9086.1</x:v>
      </x:c>
      <x:c r="C58" s="30" t="n">
        <x:v>3533.299</x:v>
      </x:c>
      <x:c r="D58" s="30" t="n">
        <x:v>3658.961</x:v>
      </x:c>
      <x:c r="E58" s="30" t="n">
        <x:v>1893.84</x:v>
      </x:c>
      <x:c r="F58" s="2"/>
      <x:c r="G58" s="2"/>
    </x:row>
    <x:row r="59" ht="23" customHeight="1">
      <x:c r="A59" s="4" t="n">
        <x:v>39845</x:v>
      </x:c>
      <x:c r="B59" s="30" t="n">
        <x:v>8241.6</x:v>
      </x:c>
      <x:c r="C59" s="30" t="n">
        <x:v>3105.44</x:v>
      </x:c>
      <x:c r="D59" s="30" t="n">
        <x:v>3404.18</x:v>
      </x:c>
      <x:c r="E59" s="30" t="n">
        <x:v>1731.98</x:v>
      </x:c>
      <x:c r="F59" s="2"/>
      <x:c r="G59" s="2"/>
    </x:row>
    <x:row r="60" ht="23" customHeight="1">
      <x:c r="A60" s="4" t="n">
        <x:v>39873</x:v>
      </x:c>
      <x:c r="B60" s="30" t="n">
        <x:v>8955.6</x:v>
      </x:c>
      <x:c r="C60" s="30" t="n">
        <x:v>3336.438</x:v>
      </x:c>
      <x:c r="D60" s="30" t="n">
        <x:v>3769.532</x:v>
      </x:c>
      <x:c r="E60" s="30" t="n">
        <x:v>1849.63</x:v>
      </x:c>
      <x:c r="F60" s="2"/>
      <x:c r="G60" s="2"/>
    </x:row>
    <x:row r="61" ht="23" customHeight="1">
      <x:c r="A61" s="4" t="n">
        <x:v>39904</x:v>
      </x:c>
      <x:c r="B61" s="30" t="n">
        <x:v>8104.7</x:v>
      </x:c>
      <x:c r="C61" s="30" t="n">
        <x:v>2813.071</x:v>
      </x:c>
      <x:c r="D61" s="30" t="n">
        <x:v>3391.869</x:v>
      </x:c>
      <x:c r="E61" s="30" t="n">
        <x:v>1899.76</x:v>
      </x:c>
      <x:c r="F61" s="2"/>
      <x:c r="G61" s="2"/>
    </x:row>
    <x:row r="62" ht="23" customHeight="1">
      <x:c r="A62" s="4" t="n">
        <x:v>39934</x:v>
      </x:c>
      <x:c r="B62" s="30" t="n">
        <x:v>8435.3</x:v>
      </x:c>
      <x:c r="C62" s="30" t="n">
        <x:v>3047.803</x:v>
      </x:c>
      <x:c r="D62" s="30" t="n">
        <x:v>3510.857</x:v>
      </x:c>
      <x:c r="E62" s="30" t="n">
        <x:v>1876.64</x:v>
      </x:c>
      <x:c r="F62" s="2"/>
      <x:c r="G62" s="2"/>
    </x:row>
    <x:row r="63" ht="23" customHeight="1">
      <x:c r="A63" s="4" t="n">
        <x:v>39965</x:v>
      </x:c>
      <x:c r="B63" s="30" t="n">
        <x:v>9114.2</x:v>
      </x:c>
      <x:c r="C63" s="30" t="n">
        <x:v>3721.346</x:v>
      </x:c>
      <x:c r="D63" s="30" t="n">
        <x:v>3529.784</x:v>
      </x:c>
      <x:c r="E63" s="30" t="n">
        <x:v>1863.07</x:v>
      </x:c>
      <x:c r="F63" s="2"/>
      <x:c r="G63" s="2"/>
    </x:row>
    <x:row r="64" ht="23" customHeight="1">
      <x:c r="A64" s="4" t="n">
        <x:v>39995</x:v>
      </x:c>
      <x:c r="B64" s="30" t="n">
        <x:v>9508</x:v>
      </x:c>
      <x:c r="C64" s="30" t="n">
        <x:v>4052.004</x:v>
      </x:c>
      <x:c r="D64" s="30" t="n">
        <x:v>3612.156</x:v>
      </x:c>
      <x:c r="E64" s="30" t="n">
        <x:v>1843.84</x:v>
      </x:c>
      <x:c r="F64" s="2"/>
      <x:c r="G64" s="2"/>
    </x:row>
    <x:row r="65" ht="23" customHeight="1">
      <x:c r="A65" s="4" t="n">
        <x:v>40026</x:v>
      </x:c>
      <x:c r="B65" s="30" t="n">
        <x:v>8738.4</x:v>
      </x:c>
      <x:c r="C65" s="30" t="n">
        <x:v>3502.447</x:v>
      </x:c>
      <x:c r="D65" s="30" t="n">
        <x:v>3400.943</x:v>
      </x:c>
      <x:c r="E65" s="30" t="n">
        <x:v>1835.01</x:v>
      </x:c>
      <x:c r="F65" s="2"/>
      <x:c r="G65" s="2"/>
    </x:row>
    <x:row r="66" ht="23" customHeight="1">
      <x:c r="A66" s="4" t="n">
        <x:v>40057</x:v>
      </x:c>
      <x:c r="B66" s="30" t="n">
        <x:v>8350.2</x:v>
      </x:c>
      <x:c r="C66" s="30" t="n">
        <x:v>3023.058</x:v>
      </x:c>
      <x:c r="D66" s="30" t="n">
        <x:v>3474.772</x:v>
      </x:c>
      <x:c r="E66" s="30" t="n">
        <x:v>1852.37</x:v>
      </x:c>
      <x:c r="F66" s="2"/>
      <x:c r="G66" s="2"/>
    </x:row>
    <x:row r="67" ht="23" customHeight="1">
      <x:c r="A67" s="4" t="n">
        <x:v>40087</x:v>
      </x:c>
      <x:c r="B67" s="30" t="n">
        <x:v>8420.7</x:v>
      </x:c>
      <x:c r="C67" s="30" t="n">
        <x:v>3027.54</x:v>
      </x:c>
      <x:c r="D67" s="30" t="n">
        <x:v>3471.55</x:v>
      </x:c>
      <x:c r="E67" s="30" t="n">
        <x:v>1921.61</x:v>
      </x:c>
      <x:c r="F67" s="2"/>
      <x:c r="G67" s="2"/>
    </x:row>
    <x:row r="68" ht="23" customHeight="1">
      <x:c r="A68" s="4" t="n">
        <x:v>40118</x:v>
      </x:c>
      <x:c r="B68" s="30" t="n">
        <x:v>8644</x:v>
      </x:c>
      <x:c r="C68" s="30" t="n">
        <x:v>3065.794</x:v>
      </x:c>
      <x:c r="D68" s="30" t="n">
        <x:v>3643.166</x:v>
      </x:c>
      <x:c r="E68" s="30" t="n">
        <x:v>1935.04</x:v>
      </x:c>
      <x:c r="F68" s="2"/>
      <x:c r="G68" s="2"/>
    </x:row>
    <x:row r="69" ht="23" customHeight="1">
      <x:c r="A69" s="4" t="n">
        <x:v>40148</x:v>
      </x:c>
      <x:c r="B69" s="30" t="n">
        <x:v>9023.6</x:v>
      </x:c>
      <x:c r="C69" s="30" t="n">
        <x:v>3336.758</x:v>
      </x:c>
      <x:c r="D69" s="30" t="n">
        <x:v>3780.482</x:v>
      </x:c>
      <x:c r="E69" s="30" t="n">
        <x:v>1906.36</x:v>
      </x:c>
      <x:c r="F69" s="2"/>
      <x:c r="G69" s="2"/>
    </x:row>
    <x:row r="70" ht="23" customHeight="1">
      <x:c r="A70" s="4" t="n">
        <x:v>40179</x:v>
      </x:c>
      <x:c r="B70" s="30" t="n">
        <x:v>9740</x:v>
      </x:c>
      <x:c r="C70" s="30" t="n">
        <x:v>3931.898</x:v>
      </x:c>
      <x:c r="D70" s="30" t="n">
        <x:v>3934.752</x:v>
      </x:c>
      <x:c r="E70" s="30" t="n">
        <x:v>1873.35</x:v>
      </x:c>
      <x:c r="F70" s="2"/>
      <x:c r="G70" s="2"/>
    </x:row>
    <x:row r="71" ht="23" customHeight="1">
      <x:c r="A71" s="4" t="n">
        <x:v>40210</x:v>
      </x:c>
      <x:c r="B71" s="30" t="n">
        <x:v>8773.9</x:v>
      </x:c>
      <x:c r="C71" s="30" t="n">
        <x:v>3361.184</x:v>
      </x:c>
      <x:c r="D71" s="30" t="n">
        <x:v>3579.086</x:v>
      </x:c>
      <x:c r="E71" s="30" t="n">
        <x:v>1833.63</x:v>
      </x:c>
      <x:c r="F71" s="2"/>
      <x:c r="G71" s="2"/>
    </x:row>
    <x:row r="72" ht="23" customHeight="1">
      <x:c r="A72" s="4" t="n">
        <x:v>40238</x:v>
      </x:c>
      <x:c r="B72" s="30" t="n">
        <x:v>9518.9</x:v>
      </x:c>
      <x:c r="C72" s="30" t="n">
        <x:v>3540.492</x:v>
      </x:c>
      <x:c r="D72" s="30" t="n">
        <x:v>3911.778</x:v>
      </x:c>
      <x:c r="E72" s="30" t="n">
        <x:v>2066.63</x:v>
      </x:c>
      <x:c r="F72" s="2"/>
      <x:c r="G72" s="2"/>
    </x:row>
    <x:row r="73" ht="23" customHeight="1">
      <x:c r="A73" s="4" t="n">
        <x:v>40269</x:v>
      </x:c>
      <x:c r="B73" s="30" t="n">
        <x:v>8434.1</x:v>
      </x:c>
      <x:c r="C73" s="30" t="n">
        <x:v>2875.625</x:v>
      </x:c>
      <x:c r="D73" s="30" t="n">
        <x:v>3598.085</x:v>
      </x:c>
      <x:c r="E73" s="30" t="n">
        <x:v>1960.39</x:v>
      </x:c>
      <x:c r="F73" s="2"/>
      <x:c r="G73" s="2"/>
    </x:row>
    <x:row r="74" ht="23" customHeight="1">
      <x:c r="A74" s="4" t="n">
        <x:v>40299</x:v>
      </x:c>
      <x:c r="B74" s="30" t="n">
        <x:v>8866.4</x:v>
      </x:c>
      <x:c r="C74" s="30" t="n">
        <x:v>3296.137</x:v>
      </x:c>
      <x:c r="D74" s="30" t="n">
        <x:v>3631.273</x:v>
      </x:c>
      <x:c r="E74" s="30" t="n">
        <x:v>1938.99</x:v>
      </x:c>
      <x:c r="F74" s="2"/>
      <x:c r="G74" s="2"/>
    </x:row>
    <x:row r="75" ht="23" customHeight="1">
      <x:c r="A75" s="4" t="n">
        <x:v>40330</x:v>
      </x:c>
      <x:c r="B75" s="30" t="n">
        <x:v>9367</x:v>
      </x:c>
      <x:c r="C75" s="30" t="n">
        <x:v>3825.755</x:v>
      </x:c>
      <x:c r="D75" s="30" t="n">
        <x:v>3646.075</x:v>
      </x:c>
      <x:c r="E75" s="30" t="n">
        <x:v>1895.17</x:v>
      </x:c>
      <x:c r="F75" s="2"/>
      <x:c r="G75" s="2"/>
    </x:row>
    <x:row r="76" ht="23" customHeight="1">
      <x:c r="A76" s="4" t="n">
        <x:v>40360</x:v>
      </x:c>
      <x:c r="B76" s="30" t="n">
        <x:v>10081.1</x:v>
      </x:c>
      <x:c r="C76" s="30" t="n">
        <x:v>4346.177</x:v>
      </x:c>
      <x:c r="D76" s="30" t="n">
        <x:v>3794.323</x:v>
      </x:c>
      <x:c r="E76" s="30" t="n">
        <x:v>1940.6</x:v>
      </x:c>
      <x:c r="F76" s="2"/>
      <x:c r="G76" s="2"/>
    </x:row>
    <x:row r="77" ht="23" customHeight="1">
      <x:c r="A77" s="4" t="n">
        <x:v>40391</x:v>
      </x:c>
      <x:c r="B77" s="30" t="n">
        <x:v>9733.1</x:v>
      </x:c>
      <x:c r="C77" s="30" t="n">
        <x:v>4043.618</x:v>
      </x:c>
      <x:c r="D77" s="30" t="n">
        <x:v>3702.052</x:v>
      </x:c>
      <x:c r="E77" s="30" t="n">
        <x:v>1987.43</x:v>
      </x:c>
      <x:c r="F77" s="2"/>
      <x:c r="G77" s="2"/>
    </x:row>
    <x:row r="78" ht="23" customHeight="1">
      <x:c r="A78" s="4" t="n">
        <x:v>40422</x:v>
      </x:c>
      <x:c r="B78" s="30" t="n">
        <x:v>8755.9</x:v>
      </x:c>
      <x:c r="C78" s="30" t="n">
        <x:v>3237.488</x:v>
      </x:c>
      <x:c r="D78" s="30" t="n">
        <x:v>3594.482</x:v>
      </x:c>
      <x:c r="E78" s="30" t="n">
        <x:v>1923.93</x:v>
      </x:c>
      <x:c r="F78" s="2"/>
      <x:c r="G78" s="2"/>
    </x:row>
    <x:row r="79" ht="23" customHeight="1">
      <x:c r="A79" s="4" t="n">
        <x:v>40452</x:v>
      </x:c>
      <x:c r="B79" s="30" t="n">
        <x:v>8567.7</x:v>
      </x:c>
      <x:c r="C79" s="30" t="n">
        <x:v>3018.133</x:v>
      </x:c>
      <x:c r="D79" s="30" t="n">
        <x:v>3608.487</x:v>
      </x:c>
      <x:c r="E79" s="30" t="n">
        <x:v>1941.08</x:v>
      </x:c>
      <x:c r="F79" s="2"/>
      <x:c r="G79" s="2"/>
    </x:row>
    <x:row r="80" ht="23" customHeight="1">
      <x:c r="A80" s="4" t="n">
        <x:v>40483</x:v>
      </x:c>
      <x:c r="B80" s="30" t="n">
        <x:v>8834.6</x:v>
      </x:c>
      <x:c r="C80" s="30" t="n">
        <x:v>3155.481</x:v>
      </x:c>
      <x:c r="D80" s="30" t="n">
        <x:v>3715.389</x:v>
      </x:c>
      <x:c r="E80" s="30" t="n">
        <x:v>1963.73</x:v>
      </x:c>
      <x:c r="F80" s="2"/>
      <x:c r="G80" s="2"/>
    </x:row>
    <x:row r="81" ht="23" customHeight="1">
      <x:c r="A81" s="4" t="n">
        <x:v>40513</x:v>
      </x:c>
      <x:c r="B81" s="30" t="n">
        <x:v>10125.7</x:v>
      </x:c>
      <x:c r="C81" s="30" t="n">
        <x:v>4020.361</x:v>
      </x:c>
      <x:c r="D81" s="30" t="n">
        <x:v>4161.809</x:v>
      </x:c>
      <x:c r="E81" s="30" t="n">
        <x:v>1943.53</x:v>
      </x:c>
      <x:c r="F81" s="2"/>
      <x:c r="G81" s="2"/>
    </x:row>
    <x:row r="82" ht="23" customHeight="1">
      <x:c r="A82" s="4" t="n">
        <x:v>40544</x:v>
      </x:c>
      <x:c r="B82" s="30" t="n">
        <x:v>10231</x:v>
      </x:c>
      <x:c r="C82" s="30" t="n">
        <x:v>4215.174</x:v>
      </x:c>
      <x:c r="D82" s="30" t="n">
        <x:v>4056.286</x:v>
      </x:c>
      <x:c r="E82" s="30" t="n">
        <x:v>1959.54</x:v>
      </x:c>
      <x:c r="F82" s="2"/>
      <x:c r="G82" s="2"/>
    </x:row>
    <x:row r="83" ht="23" customHeight="1">
      <x:c r="A83" s="4" t="n">
        <x:v>40575</x:v>
      </x:c>
      <x:c r="B83" s="30" t="n">
        <x:v>9129</x:v>
      </x:c>
      <x:c r="C83" s="30" t="n">
        <x:v>3363.751</x:v>
      </x:c>
      <x:c r="D83" s="30" t="n">
        <x:v>3678.869</x:v>
      </x:c>
      <x:c r="E83" s="30" t="n">
        <x:v>2086.38</x:v>
      </x:c>
      <x:c r="F83" s="2"/>
      <x:c r="G83" s="2"/>
    </x:row>
    <x:row r="84" ht="23" customHeight="1">
      <x:c r="A84" s="4" t="n">
        <x:v>40603</x:v>
      </x:c>
      <x:c r="B84" s="30" t="n">
        <x:v>9863</x:v>
      </x:c>
      <x:c r="C84" s="30" t="n">
        <x:v>3622.66</x:v>
      </x:c>
      <x:c r="D84" s="30" t="n">
        <x:v>3960.43</x:v>
      </x:c>
      <x:c r="E84" s="30" t="n">
        <x:v>2279.91</x:v>
      </x:c>
      <x:c r="F84" s="2"/>
      <x:c r="G84" s="2"/>
    </x:row>
    <x:row r="85" ht="23" customHeight="1">
      <x:c r="A85" s="4" t="n">
        <x:v>40634</x:v>
      </x:c>
      <x:c r="B85" s="30" t="n">
        <x:v>8917.8</x:v>
      </x:c>
      <x:c r="C85" s="30" t="n">
        <x:v>3051.537</x:v>
      </x:c>
      <x:c r="D85" s="30" t="n">
        <x:v>3751.863</x:v>
      </x:c>
      <x:c r="E85" s="30" t="n">
        <x:v>2114.4</x:v>
      </x:c>
      <x:c r="F85" s="2"/>
      <x:c r="G85" s="2"/>
    </x:row>
    <x:row r="86" ht="23" customHeight="1">
      <x:c r="A86" s="4" t="n">
        <x:v>40664</x:v>
      </x:c>
      <x:c r="B86" s="30" t="n">
        <x:v>9560.4</x:v>
      </x:c>
      <x:c r="C86" s="30" t="n">
        <x:v>3561.464</x:v>
      </x:c>
      <x:c r="D86" s="30" t="n">
        <x:v>3833.536</x:v>
      </x:c>
      <x:c r="E86" s="30" t="n">
        <x:v>2165.4</x:v>
      </x:c>
      <x:c r="F86" s="2"/>
      <x:c r="G86" s="2"/>
    </x:row>
    <x:row r="87" ht="23" customHeight="1">
      <x:c r="A87" s="4" t="n">
        <x:v>40695</x:v>
      </x:c>
      <x:c r="B87" s="30" t="n">
        <x:v>10135.8</x:v>
      </x:c>
      <x:c r="C87" s="30" t="n">
        <x:v>4211.284</x:v>
      </x:c>
      <x:c r="D87" s="30" t="n">
        <x:v>3837.306</x:v>
      </x:c>
      <x:c r="E87" s="30" t="n">
        <x:v>2087.21</x:v>
      </x:c>
      <x:c r="F87" s="2"/>
      <x:c r="G87" s="2"/>
    </x:row>
    <x:row r="88" ht="23" customHeight="1">
      <x:c r="A88" s="4" t="n">
        <x:v>40725</x:v>
      </x:c>
      <x:c r="B88" s="30" t="n">
        <x:v>10562.6</x:v>
      </x:c>
      <x:c r="C88" s="30" t="n">
        <x:v>4613.925</x:v>
      </x:c>
      <x:c r="D88" s="30" t="n">
        <x:v>3860.355</x:v>
      </x:c>
      <x:c r="E88" s="30" t="n">
        <x:v>2088.32</x:v>
      </x:c>
      <x:c r="F88" s="2"/>
      <x:c r="G88" s="2"/>
    </x:row>
    <x:row r="89" ht="23" customHeight="1">
      <x:c r="A89" s="4" t="n">
        <x:v>40756</x:v>
      </x:c>
      <x:c r="B89" s="30" t="n">
        <x:v>10311.9</x:v>
      </x:c>
      <x:c r="C89" s="30" t="n">
        <x:v>4289.444</x:v>
      </x:c>
      <x:c r="D89" s="30" t="n">
        <x:v>3880.286</x:v>
      </x:c>
      <x:c r="E89" s="30" t="n">
        <x:v>2142.17</x:v>
      </x:c>
      <x:c r="F89" s="2"/>
      <x:c r="G89" s="2"/>
    </x:row>
    <x:row r="90" ht="23" customHeight="1">
      <x:c r="A90" s="4" t="n">
        <x:v>40787</x:v>
      </x:c>
      <x:c r="B90" s="30" t="n">
        <x:v>9089.5</x:v>
      </x:c>
      <x:c r="C90" s="30" t="n">
        <x:v>3342.414</x:v>
      </x:c>
      <x:c r="D90" s="30" t="n">
        <x:v>3644.416</x:v>
      </x:c>
      <x:c r="E90" s="30" t="n">
        <x:v>2102.67</x:v>
      </x:c>
      <x:c r="F90" s="2"/>
      <x:c r="G90" s="2"/>
    </x:row>
    <x:row r="91" ht="23" customHeight="1">
      <x:c r="A91" s="4" t="n">
        <x:v>40817</x:v>
      </x:c>
      <x:c r="B91" s="30" t="n">
        <x:v>9062.4</x:v>
      </x:c>
      <x:c r="C91" s="30" t="n">
        <x:v>3138.281</x:v>
      </x:c>
      <x:c r="D91" s="30" t="n">
        <x:v>3781.749</x:v>
      </x:c>
      <x:c r="E91" s="30" t="n">
        <x:v>2142.37</x:v>
      </x:c>
      <x:c r="F91" s="2"/>
      <x:c r="G91" s="2"/>
    </x:row>
    <x:row r="92" ht="23" customHeight="1">
      <x:c r="A92" s="4" t="n">
        <x:v>40848</x:v>
      </x:c>
      <x:c r="B92" s="30" t="n">
        <x:v>9505.9</x:v>
      </x:c>
      <x:c r="C92" s="30" t="n">
        <x:v>3485.202</x:v>
      </x:c>
      <x:c r="D92" s="30" t="n">
        <x:v>3950.608</x:v>
      </x:c>
      <x:c r="E92" s="30" t="n">
        <x:v>2070.09</x:v>
      </x:c>
      <x:c r="F92" s="2"/>
      <x:c r="G92" s="2"/>
    </x:row>
    <x:row r="93" ht="23" customHeight="1">
      <x:c r="A93" s="4" t="n">
        <x:v>40878</x:v>
      </x:c>
      <x:c r="B93" s="30" t="n">
        <x:v>10118.6</x:v>
      </x:c>
      <x:c r="C93" s="30" t="n">
        <x:v>3969.237</x:v>
      </x:c>
      <x:c r="D93" s="30" t="n">
        <x:v>4178.333</x:v>
      </x:c>
      <x:c r="E93" s="30" t="n">
        <x:v>1971.03</x:v>
      </x:c>
      <x:c r="F93" s="2"/>
      <x:c r="G93" s="2"/>
    </x:row>
    <x:row r="94" ht="23" customHeight="1">
      <x:c r="A94" s="4" t="n">
        <x:v>40909</x:v>
      </x:c>
      <x:c r="B94" s="30" t="n">
        <x:v>10806.8</x:v>
      </x:c>
      <x:c r="C94" s="30" t="n">
        <x:v>4505.197835</x:v>
      </x:c>
      <x:c r="D94" s="30" t="n">
        <x:v>4381.242165</x:v>
      </x:c>
      <x:c r="E94" s="30" t="n">
        <x:v>1920.36</x:v>
      </x:c>
      <x:c r="F94" s="2"/>
      <x:c r="G94" s="2"/>
    </x:row>
    <x:row r="95" ht="23" customHeight="1">
      <x:c r="A95" s="4" t="n">
        <x:v>40940</x:v>
      </x:c>
      <x:c r="B95" s="30" t="n">
        <x:v>10089.2</x:v>
      </x:c>
      <x:c r="C95" s="30" t="n">
        <x:v>4043.826495</x:v>
      </x:c>
      <x:c r="D95" s="30" t="n">
        <x:v>4020.409505</x:v>
      </x:c>
      <x:c r="E95" s="30" t="n">
        <x:v>2024.964</x:v>
      </x:c>
      <x:c r="F95" s="2"/>
      <x:c r="G95" s="2"/>
    </x:row>
    <x:row r="96" ht="23" customHeight="1">
      <x:c r="A96" s="4" t="n">
        <x:v>40969</x:v>
      </x:c>
      <x:c r="B96" s="30" t="n">
        <x:v>10178</x:v>
      </x:c>
      <x:c r="C96" s="30" t="n">
        <x:v>3799.951418</x:v>
      </x:c>
      <x:c r="D96" s="30" t="n">
        <x:v>4161.500582</x:v>
      </x:c>
      <x:c r="E96" s="30" t="n">
        <x:v>2216.548</x:v>
      </x:c>
      <x:c r="F96" s="2"/>
      <x:c r="G96" s="2"/>
    </x:row>
    <x:row r="97" ht="23" customHeight="1">
      <x:c r="A97" s="4" t="n">
        <x:v>41000</x:v>
      </x:c>
      <x:c r="B97" s="30" t="n">
        <x:v>8970</x:v>
      </x:c>
      <x:c r="C97" s="30" t="n">
        <x:v>3123.399968</x:v>
      </x:c>
      <x:c r="D97" s="30" t="n">
        <x:v>3781.600032</x:v>
      </x:c>
      <x:c r="E97" s="30" t="n">
        <x:v>2065</x:v>
      </x:c>
      <x:c r="F97" s="2"/>
      <x:c r="G97" s="2"/>
    </x:row>
    <x:row r="98" ht="23" customHeight="1">
      <x:c r="A98" s="4" t="n">
        <x:v>41030</x:v>
      </x:c>
      <x:c r="B98" s="30" t="n">
        <x:v>9601.7</x:v>
      </x:c>
      <x:c r="C98" s="30" t="n">
        <x:v>3606.52943</x:v>
      </x:c>
      <x:c r="D98" s="30" t="n">
        <x:v>3804.17057</x:v>
      </x:c>
      <x:c r="E98" s="30" t="n">
        <x:v>2191</x:v>
      </x:c>
      <x:c r="F98" s="2"/>
      <x:c r="G98" s="2"/>
    </x:row>
    <x:row r="99" ht="23" customHeight="1">
      <x:c r="A99" s="4" t="n">
        <x:v>41061</x:v>
      </x:c>
      <x:c r="B99" s="30" t="n">
        <x:v>10297</x:v>
      </x:c>
      <x:c r="C99" s="30" t="n">
        <x:v>4287.290236</x:v>
      </x:c>
      <x:c r="D99" s="30" t="n">
        <x:v>3856.709764</x:v>
      </x:c>
      <x:c r="E99" s="30" t="n">
        <x:v>2153</x:v>
      </x:c>
      <x:c r="F99" s="2"/>
      <x:c r="G99" s="2"/>
    </x:row>
    <x:row r="100" ht="23" customHeight="1">
      <x:c r="A100" s="4" t="n">
        <x:v>41091</x:v>
      </x:c>
      <x:c r="B100" s="30" t="n">
        <x:v>11071.7</x:v>
      </x:c>
      <x:c r="C100" s="30" t="n">
        <x:v>4950.420934</x:v>
      </x:c>
      <x:c r="D100" s="30" t="n">
        <x:v>3998.482066</x:v>
      </x:c>
      <x:c r="E100" s="30" t="n">
        <x:v>2122.797</x:v>
      </x:c>
      <x:c r="F100" s="2"/>
      <x:c r="G100" s="2"/>
    </x:row>
    <x:row r="101" ht="23" customHeight="1">
      <x:c r="A101" s="4" t="n">
        <x:v>41122</x:v>
      </x:c>
      <x:c r="B101" s="30" t="n">
        <x:v>10408.3</x:v>
      </x:c>
      <x:c r="C101" s="30" t="n">
        <x:v>4352.486086</x:v>
      </x:c>
      <x:c r="D101" s="30" t="n">
        <x:v>3859.701914</x:v>
      </x:c>
      <x:c r="E101" s="30" t="n">
        <x:v>2196.112</x:v>
      </x:c>
      <x:c r="F101" s="2"/>
      <x:c r="G101" s="2"/>
    </x:row>
    <x:row r="102" ht="23" customHeight="1">
      <x:c r="A102" s="4" t="n">
        <x:v>41153</x:v>
      </x:c>
      <x:c r="B102" s="30" t="n">
        <x:v>9338.6</x:v>
      </x:c>
      <x:c r="C102" s="30" t="n">
        <x:v>3512.34519</x:v>
      </x:c>
      <x:c r="D102" s="30" t="n">
        <x:v>3653.95481</x:v>
      </x:c>
      <x:c r="E102" s="30" t="n">
        <x:v>2172.3</x:v>
      </x:c>
      <x:c r="F102" s="2"/>
      <x:c r="G102" s="2"/>
    </x:row>
    <x:row r="103" ht="23" customHeight="1">
      <x:c r="A103" s="4" t="n">
        <x:v>41183</x:v>
      </x:c>
      <x:c r="B103" s="30" t="n">
        <x:v>9608</x:v>
      </x:c>
      <x:c r="C103" s="30" t="n">
        <x:v>3532.067419</x:v>
      </x:c>
      <x:c r="D103" s="30" t="n">
        <x:v>3792.432581</x:v>
      </x:c>
      <x:c r="E103" s="30" t="n">
        <x:v>2283.5</x:v>
      </x:c>
      <x:c r="F103" s="2"/>
      <x:c r="G103" s="2"/>
    </x:row>
    <x:row r="104" ht="23" customHeight="1">
      <x:c r="A104" s="4" t="n">
        <x:v>41214</x:v>
      </x:c>
      <x:c r="B104" s="30" t="n">
        <x:v>10031.4</x:v>
      </x:c>
      <x:c r="C104" s="30" t="n">
        <x:v>3759.790749</x:v>
      </x:c>
      <x:c r="D104" s="30" t="n">
        <x:v>3986.909251</x:v>
      </x:c>
      <x:c r="E104" s="30" t="n">
        <x:v>2284.7</x:v>
      </x:c>
      <x:c r="F104" s="2"/>
      <x:c r="G104" s="2"/>
    </x:row>
    <x:row r="105" ht="23" customHeight="1">
      <x:c r="A105" s="4" t="n">
        <x:v>41244</x:v>
      </x:c>
      <x:c r="B105" s="30" t="n">
        <x:v>10824.3</x:v>
      </x:c>
      <x:c r="C105" s="30" t="n">
        <x:v>4285.470382</x:v>
      </x:c>
      <x:c r="D105" s="30" t="n">
        <x:v>4311.929618</x:v>
      </x:c>
      <x:c r="E105" s="30" t="n">
        <x:v>2226.9</x:v>
      </x:c>
      <x:c r="F105" s="2"/>
      <x:c r="G105" s="2"/>
    </x:row>
    <x:row r="106" ht="23" customHeight="1">
      <x:c r="A106" s="4" t="n">
        <x:v>41275</x:v>
      </x:c>
      <x:c r="B106" s="30" t="n">
        <x:v>11134.119345</x:v>
      </x:c>
      <x:c r="C106" s="30" t="n">
        <x:v>4538.446146</x:v>
      </x:c>
      <x:c r="D106" s="30" t="n">
        <x:v>4403.673199</x:v>
      </x:c>
      <x:c r="E106" s="30" t="n">
        <x:v>2192</x:v>
      </x:c>
      <x:c r="F106" s="2"/>
      <x:c r="G106" s="2"/>
    </x:row>
    <x:row r="107" ht="23" customHeight="1">
      <x:c r="A107" s="4" t="n">
        <x:v>41306</x:v>
      </x:c>
      <x:c r="B107" s="30" t="n">
        <x:v>9834.160007</x:v>
      </x:c>
      <x:c r="C107" s="30" t="n">
        <x:v>3961.686119</x:v>
      </x:c>
      <x:c r="D107" s="30" t="n">
        <x:v>3923.973888</x:v>
      </x:c>
      <x:c r="E107" s="30" t="n">
        <x:v>1948.5</x:v>
      </x:c>
      <x:c r="F107" s="2"/>
      <x:c r="G107" s="2"/>
    </x:row>
    <x:row r="108" ht="23" customHeight="1">
      <x:c r="A108" s="4" t="n">
        <x:v>41334</x:v>
      </x:c>
      <x:c r="B108" s="30" t="n">
        <x:v>9756.129308</x:v>
      </x:c>
      <x:c r="C108" s="30" t="n">
        <x:v>3612.835111</x:v>
      </x:c>
      <x:c r="D108" s="30" t="n">
        <x:v>3899.194197</x:v>
      </x:c>
      <x:c r="E108" s="30" t="n">
        <x:v>2244.1</x:v>
      </x:c>
      <x:c r="F108" s="2"/>
      <x:c r="G108" s="2"/>
    </x:row>
    <x:row r="109" ht="23" customHeight="1">
      <x:c r="A109" s="4" t="n">
        <x:v>41365</x:v>
      </x:c>
      <x:c r="B109" s="30" t="n">
        <x:v>9307.334163</x:v>
      </x:c>
      <x:c r="C109" s="30" t="n">
        <x:v>3239.380702</x:v>
      </x:c>
      <x:c r="D109" s="30" t="n">
        <x:v>3852.153461</x:v>
      </x:c>
      <x:c r="E109" s="30" t="n">
        <x:v>2215.8</x:v>
      </x:c>
      <x:c r="F109" s="2"/>
      <x:c r="G109" s="2"/>
    </x:row>
    <x:row r="110" ht="23" customHeight="1">
      <x:c r="A110" s="4" t="n">
        <x:v>41395</x:v>
      </x:c>
      <x:c r="B110" s="30" t="n">
        <x:v>10232.825394</x:v>
      </x:c>
      <x:c r="C110" s="30" t="n">
        <x:v>3919.668996</x:v>
      </x:c>
      <x:c r="D110" s="30" t="n">
        <x:v>4015.256398</x:v>
      </x:c>
      <x:c r="E110" s="30" t="n">
        <x:v>2297.9</x:v>
      </x:c>
      <x:c r="F110" s="2"/>
      <x:c r="G110" s="2"/>
    </x:row>
    <x:row r="111" ht="23" customHeight="1">
      <x:c r="A111" s="4" t="n">
        <x:v>41426</x:v>
      </x:c>
      <x:c r="B111" s="30" t="n">
        <x:v>10360.537194</x:v>
      </x:c>
      <x:c r="C111" s="30" t="n">
        <x:v>4409.51394</x:v>
      </x:c>
      <x:c r="D111" s="30" t="n">
        <x:v>3836.723254</x:v>
      </x:c>
      <x:c r="E111" s="30" t="n">
        <x:v>2114.3</x:v>
      </x:c>
      <x:c r="F111" s="2"/>
      <x:c r="G111" s="2"/>
    </x:row>
    <x:row r="112" ht="23" customHeight="1">
      <x:c r="A112" s="4" t="n">
        <x:v>41456</x:v>
      </x:c>
      <x:c r="B112" s="30" t="n">
        <x:v>11156.173393</x:v>
      </x:c>
      <x:c r="C112" s="30" t="n">
        <x:v>5088.495112</x:v>
      </x:c>
      <x:c r="D112" s="30" t="n">
        <x:v>3929.678281</x:v>
      </x:c>
      <x:c r="E112" s="30" t="n">
        <x:v>2138</x:v>
      </x:c>
      <x:c r="F112" s="2"/>
      <x:c r="G112" s="2"/>
    </x:row>
    <x:row r="113" ht="23" customHeight="1">
      <x:c r="A113" s="4" t="n">
        <x:v>41487</x:v>
      </x:c>
      <x:c r="B113" s="30" t="n">
        <x:v>10904.479243</x:v>
      </x:c>
      <x:c r="C113" s="30" t="n">
        <x:v>4782.603023</x:v>
      </x:c>
      <x:c r="D113" s="30" t="n">
        <x:v>3915.17622</x:v>
      </x:c>
      <x:c r="E113" s="30" t="n">
        <x:v>2206.7</x:v>
      </x:c>
      <x:c r="F113" s="2"/>
      <x:c r="G113" s="2"/>
    </x:row>
    <x:row r="114" ht="23" customHeight="1">
      <x:c r="A114" s="4" t="n">
        <x:v>41518</x:v>
      </x:c>
      <x:c r="B114" s="30" t="n">
        <x:v>10195.872995</x:v>
      </x:c>
      <x:c r="C114" s="30" t="n">
        <x:v>4072.686172</x:v>
      </x:c>
      <x:c r="D114" s="30" t="n">
        <x:v>3909.286823</x:v>
      </x:c>
      <x:c r="E114" s="30" t="n">
        <x:v>2213.9</x:v>
      </x:c>
      <x:c r="F114" s="2"/>
      <x:c r="G114" s="2"/>
    </x:row>
    <x:row r="115" ht="23" customHeight="1">
      <x:c r="A115" s="4" t="n">
        <x:v>41548</x:v>
      </x:c>
      <x:c r="B115" s="30" t="n">
        <x:v>10045.715632</x:v>
      </x:c>
      <x:c r="C115" s="30" t="n">
        <x:v>3744.478197</x:v>
      </x:c>
      <x:c r="D115" s="30" t="n">
        <x:v>3967.437435</x:v>
      </x:c>
      <x:c r="E115" s="30" t="n">
        <x:v>2333.8</x:v>
      </x:c>
      <x:c r="F115" s="2"/>
      <x:c r="G115" s="2"/>
    </x:row>
    <x:row r="116" ht="23" customHeight="1">
      <x:c r="A116" s="4" t="n">
        <x:v>41579</x:v>
      </x:c>
      <x:c r="B116" s="30" t="n">
        <x:v>10015.701652</x:v>
      </x:c>
      <x:c r="C116" s="30" t="n">
        <x:v>3680.736448</x:v>
      </x:c>
      <x:c r="D116" s="30" t="n">
        <x:v>4096.265204</x:v>
      </x:c>
      <x:c r="E116" s="30" t="n">
        <x:v>2238.7</x:v>
      </x:c>
      <x:c r="F116" s="2"/>
      <x:c r="G116" s="2"/>
    </x:row>
    <x:row r="117" ht="23" customHeight="1">
      <x:c r="A117" s="4" t="n">
        <x:v>41609</x:v>
      </x:c>
      <x:c r="B117" s="30" t="n">
        <x:v>12291.286493</x:v>
      </x:c>
      <x:c r="C117" s="30" t="n">
        <x:v>5338.633582</x:v>
      </x:c>
      <x:c r="D117" s="30" t="n">
        <x:v>4775.052911</x:v>
      </x:c>
      <x:c r="E117" s="30" t="n">
        <x:v>2177.6</x:v>
      </x:c>
      <x:c r="F117" s="2"/>
      <x:c r="G117" s="2"/>
    </x:row>
    <x:row r="118" ht="23" customHeight="1">
      <x:c r="A118" s="4" t="n">
        <x:v>41640</x:v>
      </x:c>
      <x:c r="B118" s="30" t="n">
        <x:v>12004.342368</x:v>
      </x:c>
      <x:c r="C118" s="30" t="n">
        <x:v>5350.96724</x:v>
      </x:c>
      <x:c r="D118" s="30" t="n">
        <x:v>4501.975128</x:v>
      </x:c>
      <x:c r="E118" s="30" t="n">
        <x:v>2151.4</x:v>
      </x:c>
      <x:c r="F118" s="2"/>
      <x:c r="G118" s="2"/>
    </x:row>
    <x:row r="119" ht="23" customHeight="1">
      <x:c r="A119" s="4" t="n">
        <x:v>41671</x:v>
      </x:c>
      <x:c r="B119" s="30" t="n">
        <x:v>9823.968201</x:v>
      </x:c>
      <x:c r="C119" s="30" t="n">
        <x:v>3883.77533</x:v>
      </x:c>
      <x:c r="D119" s="30" t="n">
        <x:v>3875.392871</x:v>
      </x:c>
      <x:c r="E119" s="30" t="n">
        <x:v>2064.8</x:v>
      </x:c>
      <x:c r="F119" s="2"/>
      <x:c r="G119" s="2"/>
    </x:row>
    <x:row r="120" ht="23" customHeight="1">
      <x:c r="A120" s="4" t="n">
        <x:v>41699</x:v>
      </x:c>
      <x:c r="B120" s="30" t="n">
        <x:v>9789.798789</x:v>
      </x:c>
      <x:c r="C120" s="30" t="n">
        <x:v>3666.868681</x:v>
      </x:c>
      <x:c r="D120" s="30" t="n">
        <x:v>3944.030108</x:v>
      </x:c>
      <x:c r="E120" s="30" t="n">
        <x:v>2178.9</x:v>
      </x:c>
      <x:c r="F120" s="2"/>
      <x:c r="G120" s="2"/>
    </x:row>
    <x:row r="121" ht="23" customHeight="1">
      <x:c r="A121" s="4" t="n">
        <x:v>41730</x:v>
      </x:c>
      <x:c r="B121" s="30" t="n">
        <x:v>9595.37435</x:v>
      </x:c>
      <x:c r="C121" s="30" t="n">
        <x:v>3542.163135</x:v>
      </x:c>
      <x:c r="D121" s="30" t="n">
        <x:v>3869.911215</x:v>
      </x:c>
      <x:c r="E121" s="30" t="n">
        <x:v>2183.3</x:v>
      </x:c>
      <x:c r="F121" s="2"/>
      <x:c r="G121" s="2"/>
    </x:row>
    <x:row r="122" ht="23" customHeight="1">
      <x:c r="A122" s="4" t="n">
        <x:v>41760</x:v>
      </x:c>
      <x:c r="B122" s="30" t="n">
        <x:v>10409.105006</x:v>
      </x:c>
      <x:c r="C122" s="30" t="n">
        <x:v>4182.488527</x:v>
      </x:c>
      <x:c r="D122" s="30" t="n">
        <x:v>4007.216479</x:v>
      </x:c>
      <x:c r="E122" s="30" t="n">
        <x:v>2219.4</x:v>
      </x:c>
      <x:c r="F122" s="2"/>
      <x:c r="G122" s="2"/>
    </x:row>
    <x:row r="123" ht="23" customHeight="1">
      <x:c r="A123" s="4" t="n">
        <x:v>41791</x:v>
      </x:c>
      <x:c r="B123" s="30" t="n">
        <x:v>10901.714976</x:v>
      </x:c>
      <x:c r="C123" s="30" t="n">
        <x:v>4790.674034</x:v>
      </x:c>
      <x:c r="D123" s="30" t="n">
        <x:v>3995.140942</x:v>
      </x:c>
      <x:c r="E123" s="30" t="n">
        <x:v>2115.9</x:v>
      </x:c>
      <x:c r="F123" s="2"/>
      <x:c r="G123" s="2"/>
    </x:row>
    <x:row r="124" ht="23" customHeight="1">
      <x:c r="A124" s="4" t="n">
        <x:v>41821</x:v>
      </x:c>
      <x:c r="B124" s="30" t="n">
        <x:v>11363.942102</x:v>
      </x:c>
      <x:c r="C124" s="30" t="n">
        <x:v>5115.928828</x:v>
      </x:c>
      <x:c r="D124" s="30" t="n">
        <x:v>4121.013274</x:v>
      </x:c>
      <x:c r="E124" s="30" t="n">
        <x:v>2127</x:v>
      </x:c>
      <x:c r="F124" s="2"/>
      <x:c r="G124" s="2"/>
    </x:row>
    <x:row r="125" ht="23" customHeight="1">
      <x:c r="A125" s="4" t="n">
        <x:v>41852</x:v>
      </x:c>
      <x:c r="B125" s="30" t="n">
        <x:v>10490.682389</x:v>
      </x:c>
      <x:c r="C125" s="30" t="n">
        <x:v>4454.936701</x:v>
      </x:c>
      <x:c r="D125" s="30" t="n">
        <x:v>3946.345688</x:v>
      </x:c>
      <x:c r="E125" s="30" t="n">
        <x:v>2089.4</x:v>
      </x:c>
      <x:c r="F125" s="2"/>
      <x:c r="G125" s="2"/>
    </x:row>
    <x:row r="126" ht="23" customHeight="1">
      <x:c r="A126" s="4" t="n">
        <x:v>41883</x:v>
      </x:c>
      <x:c r="B126" s="30" t="n">
        <x:v>9807.544191</x:v>
      </x:c>
      <x:c r="C126" s="30" t="n">
        <x:v>3746.934696</x:v>
      </x:c>
      <x:c r="D126" s="30" t="n">
        <x:v>3942.809495</x:v>
      </x:c>
      <x:c r="E126" s="30" t="n">
        <x:v>2117.8</x:v>
      </x:c>
      <x:c r="F126" s="2"/>
      <x:c r="G126" s="2"/>
    </x:row>
    <x:row r="127" ht="23" customHeight="1">
      <x:c r="A127" s="4" t="n">
        <x:v>41913</x:v>
      </x:c>
      <x:c r="B127" s="30" t="n">
        <x:v>10706.493141</x:v>
      </x:c>
      <x:c r="C127" s="30" t="n">
        <x:v>4186.567587</x:v>
      </x:c>
      <x:c r="D127" s="30" t="n">
        <x:v>4233.925554</x:v>
      </x:c>
      <x:c r="E127" s="30" t="n">
        <x:v>2286</x:v>
      </x:c>
      <x:c r="F127" s="2"/>
      <x:c r="G127" s="2"/>
    </x:row>
    <x:row r="128" ht="23" customHeight="1">
      <x:c r="A128" s="4" t="n">
        <x:v>41944</x:v>
      </x:c>
      <x:c r="B128" s="30" t="n">
        <x:v>10344.736672</x:v>
      </x:c>
      <x:c r="C128" s="30" t="n">
        <x:v>3928.614071</x:v>
      </x:c>
      <x:c r="D128" s="30" t="n">
        <x:v>4181.122601</x:v>
      </x:c>
      <x:c r="E128" s="30" t="n">
        <x:v>2235</x:v>
      </x:c>
      <x:c r="F128" s="2"/>
      <x:c r="G128" s="2"/>
    </x:row>
    <x:row r="129" ht="23" customHeight="1">
      <x:c r="A129" s="4" t="n">
        <x:v>41974</x:v>
      </x:c>
      <x:c r="B129" s="30" t="n">
        <x:v>11229.37782</x:v>
      </x:c>
      <x:c r="C129" s="30" t="n">
        <x:v>4594.222428</x:v>
      </x:c>
      <x:c r="D129" s="30" t="n">
        <x:v>4422.155392</x:v>
      </x:c>
      <x:c r="E129" s="30" t="n">
        <x:v>2213</x:v>
      </x:c>
      <x:c r="F129" s="2"/>
      <x:c r="G129" s="2"/>
    </x:row>
    <x:row r="130" ht="23" customHeight="1">
      <x:c r="A130" s="4" t="n">
        <x:v>42005</x:v>
      </x:c>
      <x:c r="B130" s="30" t="n">
        <x:v>11706.190093</x:v>
      </x:c>
      <x:c r="C130" s="30" t="n">
        <x:v>5096.405805</x:v>
      </x:c>
      <x:c r="D130" s="30" t="n">
        <x:v>4485.881622</x:v>
      </x:c>
      <x:c r="E130" s="30" t="n">
        <x:v>2123.902666</x:v>
      </x:c>
      <x:c r="F130" s="2"/>
      <x:c r="G130" s="2"/>
    </x:row>
    <x:row r="131" ht="23" customHeight="1">
      <x:c r="A131" s="4" t="n">
        <x:v>42036</x:v>
      </x:c>
      <x:c r="B131" s="30" t="n">
        <x:v>10665.086621</x:v>
      </x:c>
      <x:c r="C131" s="30" t="n">
        <x:v>4438.153482</x:v>
      </x:c>
      <x:c r="D131" s="30" t="n">
        <x:v>4195.116419</x:v>
      </x:c>
      <x:c r="E131" s="30" t="n">
        <x:v>2031.81672</x:v>
      </x:c>
      <x:c r="F131" s="2"/>
      <x:c r="G131" s="2"/>
    </x:row>
    <x:row r="132" ht="23" customHeight="1">
      <x:c r="A132" s="4" t="n">
        <x:v>42064</x:v>
      </x:c>
      <x:c r="B132" s="30" t="n">
        <x:v>11548.527072</x:v>
      </x:c>
      <x:c r="C132" s="30" t="n">
        <x:v>4823.9677</x:v>
      </x:c>
      <x:c r="D132" s="30" t="n">
        <x:v>4487.951318</x:v>
      </x:c>
      <x:c r="E132" s="30" t="n">
        <x:v>2236.608054</x:v>
      </x:c>
      <x:c r="F132" s="2"/>
      <x:c r="G132" s="2"/>
    </x:row>
    <x:row r="133" ht="23" customHeight="1">
      <x:c r="A133" s="4" t="n">
        <x:v>42095</x:v>
      </x:c>
      <x:c r="B133" s="30" t="n">
        <x:v>10026.43476</x:v>
      </x:c>
      <x:c r="C133" s="30" t="n">
        <x:v>3756.852843</x:v>
      </x:c>
      <x:c r="D133" s="30" t="n">
        <x:v>4112.087066</x:v>
      </x:c>
      <x:c r="E133" s="30" t="n">
        <x:v>2157.494851</x:v>
      </x:c>
      <x:c r="F133" s="2"/>
      <x:c r="G133" s="2"/>
    </x:row>
    <x:row r="134" ht="23" customHeight="1">
      <x:c r="A134" s="4" t="n">
        <x:v>42125</x:v>
      </x:c>
      <x:c r="B134" s="30" t="n">
        <x:v>10467.633693</x:v>
      </x:c>
      <x:c r="C134" s="30" t="n">
        <x:v>4224.672651</x:v>
      </x:c>
      <x:c r="D134" s="30" t="n">
        <x:v>4096.94637</x:v>
      </x:c>
      <x:c r="E134" s="30" t="n">
        <x:v>2146.014672</x:v>
      </x:c>
      <x:c r="F134" s="2"/>
      <x:c r="G134" s="2"/>
    </x:row>
    <x:row r="135" ht="23" customHeight="1">
      <x:c r="A135" s="4" t="n">
        <x:v>42156</x:v>
      </x:c>
      <x:c r="B135" s="30" t="n">
        <x:v>11254.419667</x:v>
      </x:c>
      <x:c r="C135" s="30" t="n">
        <x:v>4941.27559</x:v>
      </x:c>
      <x:c r="D135" s="30" t="n">
        <x:v>4222.780597</x:v>
      </x:c>
      <x:c r="E135" s="30" t="n">
        <x:v>2090.36348</x:v>
      </x:c>
      <x:c r="F135" s="2"/>
      <x:c r="G135" s="2"/>
    </x:row>
    <x:row r="136" ht="23" customHeight="1">
      <x:c r="A136" s="4" t="n">
        <x:v>42186</x:v>
      </x:c>
      <x:c r="B136" s="30" t="n">
        <x:v>11907.361919</x:v>
      </x:c>
      <x:c r="C136" s="30" t="n">
        <x:v>5513.160882</x:v>
      </x:c>
      <x:c r="D136" s="30" t="n">
        <x:v>4299.603255</x:v>
      </x:c>
      <x:c r="E136" s="30" t="n">
        <x:v>2094.597782</x:v>
      </x:c>
      <x:c r="F136" s="2"/>
      <x:c r="G136" s="2"/>
    </x:row>
    <x:row r="137" ht="23" customHeight="1">
      <x:c r="A137" s="4" t="n">
        <x:v>42217</x:v>
      </x:c>
      <x:c r="B137" s="30" t="n">
        <x:v>11130.262808</x:v>
      </x:c>
      <x:c r="C137" s="30" t="n">
        <x:v>4797.705122</x:v>
      </x:c>
      <x:c r="D137" s="30" t="n">
        <x:v>4221.518892</x:v>
      </x:c>
      <x:c r="E137" s="30" t="n">
        <x:v>2111.038794</x:v>
      </x:c>
      <x:c r="F137" s="2"/>
      <x:c r="G137" s="2"/>
    </x:row>
    <x:row r="138" ht="23" customHeight="1">
      <x:c r="A138" s="4" t="n">
        <x:v>42248</x:v>
      </x:c>
      <x:c r="B138" s="30" t="n">
        <x:v>10552.903241</x:v>
      </x:c>
      <x:c r="C138" s="30" t="n">
        <x:v>4350.513945</x:v>
      </x:c>
      <x:c r="D138" s="30" t="n">
        <x:v>4068.358096</x:v>
      </x:c>
      <x:c r="E138" s="30" t="n">
        <x:v>2134.0312</x:v>
      </x:c>
      <x:c r="F138" s="2"/>
      <x:c r="G138" s="2"/>
    </x:row>
    <x:row r="139" ht="23" customHeight="1">
      <x:c r="A139" s="4" t="n">
        <x:v>42278</x:v>
      </x:c>
      <x:c r="B139" s="30" t="n">
        <x:v>10722.174389</x:v>
      </x:c>
      <x:c r="C139" s="30" t="n">
        <x:v>4362.416913</x:v>
      </x:c>
      <x:c r="D139" s="30" t="n">
        <x:v>4083.188677</x:v>
      </x:c>
      <x:c r="E139" s="30" t="n">
        <x:v>2276.568799</x:v>
      </x:c>
      <x:c r="F139" s="2"/>
      <x:c r="G139" s="2"/>
    </x:row>
    <x:row r="140" ht="23" customHeight="1">
      <x:c r="A140" s="4" t="n">
        <x:v>42309</x:v>
      </x:c>
      <x:c r="B140" s="30" t="n">
        <x:v>10219.189482</x:v>
      </x:c>
      <x:c r="C140" s="30" t="n">
        <x:v>3922.901043</x:v>
      </x:c>
      <x:c r="D140" s="30" t="n">
        <x:v>4073.261068</x:v>
      </x:c>
      <x:c r="E140" s="30" t="n">
        <x:v>2223.027371</x:v>
      </x:c>
      <x:c r="F140" s="2"/>
      <x:c r="G140" s="2"/>
    </x:row>
    <x:row r="141" ht="23" customHeight="1">
      <x:c r="A141" s="4" t="n">
        <x:v>42339</x:v>
      </x:c>
      <x:c r="B141" s="30" t="n">
        <x:v>11909.435561</x:v>
      </x:c>
      <x:c r="C141" s="30" t="n">
        <x:v>5196.47196</x:v>
      </x:c>
      <x:c r="D141" s="30" t="n">
        <x:v>4559.777176</x:v>
      </x:c>
      <x:c r="E141" s="30" t="n">
        <x:v>2153.186425</x:v>
      </x:c>
      <x:c r="F141" s="2"/>
      <x:c r="G141" s="2"/>
    </x:row>
    <x:row r="142" ht="23" customHeight="1">
      <x:c r="A142" s="4" t="n">
        <x:v>42370</x:v>
      </x:c>
      <x:c r="B142" s="30" t="n">
        <x:v>12344.911762</x:v>
      </x:c>
      <x:c r="C142" s="30" t="n">
        <x:v>5651.444906</x:v>
      </x:c>
      <x:c r="D142" s="30" t="n">
        <x:v>4611.116668</x:v>
      </x:c>
      <x:c r="E142" s="30" t="n">
        <x:v>2082.350188</x:v>
      </x:c>
      <x:c r="F142" s="2"/>
      <x:c r="G142" s="2"/>
    </x:row>
    <x:row r="143" ht="23" customHeight="1">
      <x:c r="A143" s="4" t="n">
        <x:v>42401</x:v>
      </x:c>
      <x:c r="B143" s="30" t="n">
        <x:v>11731.845101</x:v>
      </x:c>
      <x:c r="C143" s="30" t="n">
        <x:v>5012.872809</x:v>
      </x:c>
      <x:c r="D143" s="30" t="n">
        <x:v>4674.575348</x:v>
      </x:c>
      <x:c r="E143" s="30" t="n">
        <x:v>2044.396944</x:v>
      </x:c>
      <x:c r="F143" s="2"/>
      <x:c r="G143" s="2"/>
    </x:row>
    <x:row r="144" ht="23" customHeight="1">
      <x:c r="A144" s="4" t="n">
        <x:v>42430</x:v>
      </x:c>
      <x:c r="B144" s="30" t="n">
        <x:v>10461.47592</x:v>
      </x:c>
      <x:c r="C144" s="30" t="n">
        <x:v>4021.324887</x:v>
      </x:c>
      <x:c r="D144" s="30" t="n">
        <x:v>4327.849414</x:v>
      </x:c>
      <x:c r="E144" s="30" t="n">
        <x:v>2112.301619</x:v>
      </x:c>
      <x:c r="F144" s="2"/>
      <x:c r="G144" s="2"/>
    </x:row>
    <x:row r="145" ht="23" customHeight="1">
      <x:c r="A145" s="4" t="n">
        <x:v>42461</x:v>
      </x:c>
      <x:c r="B145" s="30" t="n">
        <x:v>10292.000856</x:v>
      </x:c>
      <x:c r="C145" s="30" t="n">
        <x:v>4104.173856</x:v>
      </x:c>
      <x:c r="D145" s="30" t="n">
        <x:v>4148.353996</x:v>
      </x:c>
      <x:c r="E145" s="30" t="n">
        <x:v>2039.473004</x:v>
      </x:c>
      <x:c r="F145" s="2"/>
      <x:c r="G145" s="2"/>
    </x:row>
    <x:row r="146" ht="23" customHeight="1">
      <x:c r="A146" s="4" t="n">
        <x:v>42491</x:v>
      </x:c>
      <x:c r="B146" s="30" t="n">
        <x:v>11358.011628</x:v>
      </x:c>
      <x:c r="C146" s="30" t="n">
        <x:v>4941.165168</x:v>
      </x:c>
      <x:c r="D146" s="30" t="n">
        <x:v>4359.505856</x:v>
      </x:c>
      <x:c r="E146" s="30" t="n">
        <x:v>2057.340604</x:v>
      </x:c>
      <x:c r="F146" s="2"/>
      <x:c r="G146" s="2"/>
    </x:row>
    <x:row r="147" ht="23" customHeight="1">
      <x:c r="A147" s="4" t="n">
        <x:v>42522</x:v>
      </x:c>
      <x:c r="B147" s="30" t="n">
        <x:v>11812.94705</x:v>
      </x:c>
      <x:c r="C147" s="30" t="n">
        <x:v>5634.190447</x:v>
      </x:c>
      <x:c r="D147" s="30" t="n">
        <x:v>4282.498971</x:v>
      </x:c>
      <x:c r="E147" s="30" t="n">
        <x:v>1896.257632</x:v>
      </x:c>
      <x:c r="F147" s="2"/>
      <x:c r="G147" s="2"/>
    </x:row>
    <x:row r="148" ht="23" customHeight="1">
      <x:c r="A148" s="4" t="n">
        <x:v>42552</x:v>
      </x:c>
      <x:c r="B148" s="30" t="n">
        <x:v>11929.645375</x:v>
      </x:c>
      <x:c r="C148" s="30" t="n">
        <x:v>5614.534651</x:v>
      </x:c>
      <x:c r="D148" s="30" t="n">
        <x:v>4365.764848</x:v>
      </x:c>
      <x:c r="E148" s="30" t="n">
        <x:v>1949.345876</x:v>
      </x:c>
      <x:c r="F148" s="2"/>
      <x:c r="G148" s="2"/>
    </x:row>
    <x:row r="149" ht="23" customHeight="1">
      <x:c r="A149" s="4" t="n">
        <x:v>42583</x:v>
      </x:c>
      <x:c r="B149" s="30" t="n">
        <x:v>10855.441952</x:v>
      </x:c>
      <x:c r="C149" s="30" t="n">
        <x:v>4663.796035</x:v>
      </x:c>
      <x:c r="D149" s="30" t="n">
        <x:v>4249.089462</x:v>
      </x:c>
      <x:c r="E149" s="30" t="n">
        <x:v>1942.556455</x:v>
      </x:c>
      <x:c r="F149" s="2"/>
      <x:c r="G149" s="2"/>
    </x:row>
    <x:row r="150" ht="23" customHeight="1">
      <x:c r="A150" s="4" t="n">
        <x:v>42614</x:v>
      </x:c>
      <x:c r="B150" s="30" t="n">
        <x:v>10382.081134</x:v>
      </x:c>
      <x:c r="C150" s="30" t="n">
        <x:v>4351.181774</x:v>
      </x:c>
      <x:c r="D150" s="30" t="n">
        <x:v>4063.593245</x:v>
      </x:c>
      <x:c r="E150" s="30" t="n">
        <x:v>1967.306115</x:v>
      </x:c>
      <x:c r="F150" s="2"/>
      <x:c r="G150" s="2"/>
    </x:row>
    <x:row r="151" ht="23" customHeight="1">
      <x:c r="A151" s="4" t="n">
        <x:v>42644</x:v>
      </x:c>
      <x:c r="B151" s="30" t="n">
        <x:v>9956.038875</x:v>
      </x:c>
      <x:c r="C151" s="30" t="n">
        <x:v>3953.447552</x:v>
      </x:c>
      <x:c r="D151" s="30" t="n">
        <x:v>3985.43731</x:v>
      </x:c>
      <x:c r="E151" s="30" t="n">
        <x:v>2017.154013</x:v>
      </x:c>
      <x:c r="F151" s="2"/>
      <x:c r="G151" s="2"/>
    </x:row>
    <x:row r="152" ht="23" customHeight="1">
      <x:c r="A152" s="4" t="n">
        <x:v>42675</x:v>
      </x:c>
      <x:c r="B152" s="30" t="n">
        <x:v>10132.540584</x:v>
      </x:c>
      <x:c r="C152" s="30" t="n">
        <x:v>3970.327674</x:v>
      </x:c>
      <x:c r="D152" s="30" t="n">
        <x:v>4142.364061</x:v>
      </x:c>
      <x:c r="E152" s="30" t="n">
        <x:v>2019.848849</x:v>
      </x:c>
      <x:c r="F152" s="2"/>
      <x:c r="G152" s="2"/>
    </x:row>
    <x:row r="153" ht="23" customHeight="1">
      <x:c r="A153" s="4" t="n">
        <x:v>42705</x:v>
      </x:c>
      <x:c r="B153" s="30" t="n">
        <x:v>11853.854388</x:v>
      </x:c>
      <x:c r="C153" s="30" t="n">
        <x:v>5148.81767</x:v>
      </x:c>
      <x:c r="D153" s="30" t="n">
        <x:v>4687.28346</x:v>
      </x:c>
      <x:c r="E153" s="30" t="n">
        <x:v>2017.753258</x:v>
      </x:c>
      <x:c r="F153" s="2"/>
      <x:c r="G153" s="2"/>
    </x:row>
    <x:row r="154" ht="23" customHeight="1">
      <x:c r="A154" s="4" t="n">
        <x:v>42736</x:v>
      </x:c>
      <x:c r="B154" s="30" t="n">
        <x:v>12524.865646</x:v>
      </x:c>
      <x:c r="C154" s="30" t="n">
        <x:v>5681.816626</x:v>
      </x:c>
      <x:c r="D154" s="30" t="n">
        <x:v>4849.477855</x:v>
      </x:c>
      <x:c r="E154" s="30" t="n">
        <x:v>1993.571165</x:v>
      </x:c>
      <x:c r="F154" s="2"/>
      <x:c r="G154" s="2"/>
    </x:row>
    <x:row r="155" ht="23" customHeight="1">
      <x:c r="A155" s="4" t="n">
        <x:v>42767</x:v>
      </x:c>
      <x:c r="B155" s="30" t="n">
        <x:v>11074.906499</x:v>
      </x:c>
      <x:c r="C155" s="30" t="n">
        <x:v>4618.2261</x:v>
      </x:c>
      <x:c r="D155" s="30" t="n">
        <x:v>4551.831478</x:v>
      </x:c>
      <x:c r="E155" s="30" t="n">
        <x:v>1904.848921</x:v>
      </x:c>
      <x:c r="F155" s="2"/>
      <x:c r="G155" s="2"/>
    </x:row>
    <x:row r="156" ht="23" customHeight="1">
      <x:c r="A156" s="4" t="n">
        <x:v>42795</x:v>
      </x:c>
      <x:c r="B156" s="30" t="n">
        <x:v>11122.231555</x:v>
      </x:c>
      <x:c r="C156" s="30" t="n">
        <x:v>4470.715122</x:v>
      </x:c>
      <x:c r="D156" s="30" t="n">
        <x:v>4514.651091</x:v>
      </x:c>
      <x:c r="E156" s="30" t="n">
        <x:v>2136.865342</x:v>
      </x:c>
      <x:c r="F156" s="2"/>
      <x:c r="G156" s="2"/>
    </x:row>
    <x:row r="157" ht="23" customHeight="1">
      <x:c r="A157" s="4" t="n">
        <x:v>42826</x:v>
      </x:c>
      <x:c r="B157" s="30" t="n">
        <x:v>9793.758585</x:v>
      </x:c>
      <x:c r="C157" s="30" t="n">
        <x:v>3754.330119</x:v>
      </x:c>
      <x:c r="D157" s="30" t="n">
        <x:v>3986.450327</x:v>
      </x:c>
      <x:c r="E157" s="30" t="n">
        <x:v>2052.978139</x:v>
      </x:c>
      <x:c r="F157" s="2"/>
      <x:c r="G157" s="2"/>
    </x:row>
    <x:row r="158" ht="23" customHeight="1">
      <x:c r="A158" s="4" t="n">
        <x:v>42856</x:v>
      </x:c>
      <x:c r="B158" s="30" t="n">
        <x:v>10795.213415</x:v>
      </x:c>
      <x:c r="C158" s="30" t="n">
        <x:v>4524.024791</x:v>
      </x:c>
      <x:c r="D158" s="30" t="n">
        <x:v>4136.934659</x:v>
      </x:c>
      <x:c r="E158" s="30" t="n">
        <x:v>2134.253965</x:v>
      </x:c>
      <x:c r="F158" s="2"/>
      <x:c r="G158" s="2"/>
    </x:row>
    <x:row r="159" ht="23" customHeight="1">
      <x:c r="A159" s="4" t="n">
        <x:v>42887</x:v>
      </x:c>
      <x:c r="B159" s="30" t="n">
        <x:v>11359.330662</x:v>
      </x:c>
      <x:c r="C159" s="30" t="n">
        <x:v>5180.585335</x:v>
      </x:c>
      <x:c r="D159" s="30" t="n">
        <x:v>4150.183839</x:v>
      </x:c>
      <x:c r="E159" s="30" t="n">
        <x:v>2028.561488</x:v>
      </x:c>
      <x:c r="F159" s="2"/>
      <x:c r="G159" s="2"/>
    </x:row>
    <x:row r="160" ht="23" customHeight="1">
      <x:c r="A160" s="4" t="n">
        <x:v>42917</x:v>
      </x:c>
      <x:c r="B160" s="30" t="n">
        <x:v>11796.425757</x:v>
      </x:c>
      <x:c r="C160" s="30" t="n">
        <x:v>5460.615925</x:v>
      </x:c>
      <x:c r="D160" s="30" t="n">
        <x:v>4259.709195</x:v>
      </x:c>
      <x:c r="E160" s="30" t="n">
        <x:v>2076.100637</x:v>
      </x:c>
      <x:c r="F160" s="2"/>
      <x:c r="G160" s="2"/>
    </x:row>
    <x:row r="161" ht="23" customHeight="1">
      <x:c r="A161" s="4" t="n">
        <x:v>42948</x:v>
      </x:c>
      <x:c r="B161" s="30" t="n">
        <x:v>11107.250705</x:v>
      </x:c>
      <x:c r="C161" s="30" t="n">
        <x:v>4767.354968</x:v>
      </x:c>
      <x:c r="D161" s="30" t="n">
        <x:v>4209.854414</x:v>
      </x:c>
      <x:c r="E161" s="30" t="n">
        <x:v>2130.041323</x:v>
      </x:c>
      <x:c r="F161" s="2"/>
      <x:c r="G161" s="2"/>
    </x:row>
    <x:row r="162" ht="23" customHeight="1">
      <x:c r="A162" s="4" t="n">
        <x:v>42979</x:v>
      </x:c>
      <x:c r="B162" s="30" t="n">
        <x:v>10348.584548</x:v>
      </x:c>
      <x:c r="C162" s="30" t="n">
        <x:v>4217.808567</x:v>
      </x:c>
      <x:c r="D162" s="30" t="n">
        <x:v>4047.932339</x:v>
      </x:c>
      <x:c r="E162" s="30" t="n">
        <x:v>2082.843642</x:v>
      </x:c>
      <x:c r="F162" s="2"/>
      <x:c r="G162" s="2"/>
    </x:row>
    <x:row r="163" ht="23" customHeight="1">
      <x:c r="A163" s="4" t="n">
        <x:v>43009</x:v>
      </x:c>
      <x:c r="B163" s="30" t="n">
        <x:v>10227.329313</x:v>
      </x:c>
      <x:c r="C163" s="30" t="n">
        <x:v>3979.729611</x:v>
      </x:c>
      <x:c r="D163" s="30" t="n">
        <x:v>4116.218026</x:v>
      </x:c>
      <x:c r="E163" s="30" t="n">
        <x:v>2131.381676</x:v>
      </x:c>
      <x:c r="F163" s="2"/>
      <x:c r="G163" s="2"/>
    </x:row>
    <x:row r="164" ht="23" customHeight="1">
      <x:c r="A164" s="4" t="n">
        <x:v>43040</x:v>
      </x:c>
      <x:c r="B164" s="30" t="n">
        <x:v>10355.727486</x:v>
      </x:c>
      <x:c r="C164" s="30" t="n">
        <x:v>4035.43194</x:v>
      </x:c>
      <x:c r="D164" s="30" t="n">
        <x:v>4172.293125</x:v>
      </x:c>
      <x:c r="E164" s="30" t="n">
        <x:v>2148.002421</x:v>
      </x:c>
      <x:c r="F164" s="2"/>
      <x:c r="G164" s="2"/>
    </x:row>
    <x:row r="165" ht="23" customHeight="1">
      <x:c r="A165" s="4" t="n">
        <x:v>43070</x:v>
      </x:c>
      <x:c r="B165" s="30" t="n">
        <x:v>12024.595461</x:v>
      </x:c>
      <x:c r="C165" s="30" t="n">
        <x:v>5216.357134</x:v>
      </x:c>
      <x:c r="D165" s="30" t="n">
        <x:v>4700.319169</x:v>
      </x:c>
      <x:c r="E165" s="30" t="n">
        <x:v>2107.919158</x:v>
      </x:c>
      <x:c r="F165" s="2"/>
      <x:c r="G165" s="2"/>
    </x:row>
    <x:row r="166" ht="23" customHeight="1">
      <x:c r="A166" s="4" t="n">
        <x:v>43101</x:v>
      </x:c>
      <x:c r="B166" s="30" t="n">
        <x:v>12350.183342</x:v>
      </x:c>
      <x:c r="C166" s="30" t="n">
        <x:v>5468.676184</x:v>
      </x:c>
      <x:c r="D166" s="30" t="n">
        <x:v>4781.389061</x:v>
      </x:c>
      <x:c r="E166" s="30" t="n">
        <x:v>2100.118097</x:v>
      </x:c>
      <x:c r="F166" s="2"/>
      <x:c r="G166" s="2"/>
    </x:row>
    <x:row r="167" ht="23" customHeight="1">
      <x:c r="A167" s="4" t="n">
        <x:v>43132</x:v>
      </x:c>
      <x:c r="B167" s="30" t="n">
        <x:v>11404.202907</x:v>
      </x:c>
      <x:c r="C167" s="30" t="n">
        <x:v>4963.984865</x:v>
      </x:c>
      <x:c r="D167" s="30" t="n">
        <x:v>4409.163668</x:v>
      </x:c>
      <x:c r="E167" s="30" t="n">
        <x:v>2031.054374</x:v>
      </x:c>
      <x:c r="F167" s="2"/>
      <x:c r="G167" s="2"/>
    </x:row>
    <x:row r="168" ht="23" customHeight="1">
      <x:c r="A168" s="4" t="n">
        <x:v>43160</x:v>
      </x:c>
      <x:c r="B168" s="30" t="n">
        <x:v>11247.242147</x:v>
      </x:c>
      <x:c r="C168" s="30" t="n">
        <x:v>4493.104135</x:v>
      </x:c>
      <x:c r="D168" s="30" t="n">
        <x:v>4549.204478</x:v>
      </x:c>
      <x:c r="E168" s="30" t="n">
        <x:v>2204.933534</x:v>
      </x:c>
      <x:c r="F168" s="2"/>
      <x:c r="G168" s="2"/>
    </x:row>
    <x:row r="169" ht="23" customHeight="1">
      <x:c r="A169" s="4" t="n">
        <x:v>43191</x:v>
      </x:c>
      <x:c r="B169" s="30" t="n">
        <x:v>10493.314602</x:v>
      </x:c>
      <x:c r="C169" s="30" t="n">
        <x:v>4084.283375</x:v>
      </x:c>
      <x:c r="D169" s="30" t="n">
        <x:v>4264.484832</x:v>
      </x:c>
      <x:c r="E169" s="30" t="n">
        <x:v>2144.546395</x:v>
      </x:c>
      <x:c r="F169" s="2"/>
      <x:c r="G169" s="2"/>
    </x:row>
    <x:row r="170" ht="23" customHeight="1">
      <x:c r="A170" s="4" t="n">
        <x:v>43221</x:v>
      </x:c>
      <x:c r="B170" s="30" t="n">
        <x:v>10665.461535</x:v>
      </x:c>
      <x:c r="C170" s="30" t="n">
        <x:v>4282.854741</x:v>
      </x:c>
      <x:c r="D170" s="30" t="n">
        <x:v>4232.135998</x:v>
      </x:c>
      <x:c r="E170" s="30" t="n">
        <x:v>2150.470796</x:v>
      </x:c>
      <x:c r="F170" s="2"/>
      <x:c r="G170" s="2"/>
    </x:row>
    <x:row r="171" ht="23" customHeight="1">
      <x:c r="A171" s="4" t="n">
        <x:v>43252</x:v>
      </x:c>
      <x:c r="B171" s="30" t="n">
        <x:v>11925.912373</x:v>
      </x:c>
      <x:c r="C171" s="30" t="n">
        <x:v>5589.928854</x:v>
      </x:c>
      <x:c r="D171" s="30" t="n">
        <x:v>4314.391923</x:v>
      </x:c>
      <x:c r="E171" s="30" t="n">
        <x:v>2021.591596</x:v>
      </x:c>
      <x:c r="F171" s="2"/>
      <x:c r="G171" s="2"/>
    </x:row>
    <x:row r="172" ht="23" customHeight="1">
      <x:c r="A172" s="4" t="n">
        <x:v>43282</x:v>
      </x:c>
      <x:c r="B172" s="30" t="n">
        <x:v>12607.552746</x:v>
      </x:c>
      <x:c r="C172" s="30" t="n">
        <x:v>6193.356918</x:v>
      </x:c>
      <x:c r="D172" s="30" t="n">
        <x:v>4395.42939</x:v>
      </x:c>
      <x:c r="E172" s="30" t="n">
        <x:v>2018.766438</x:v>
      </x:c>
      <x:c r="F172" s="2"/>
      <x:c r="G172" s="2"/>
    </x:row>
    <x:row r="173" ht="23" customHeight="1">
      <x:c r="A173" s="4" t="n">
        <x:v>43313</x:v>
      </x:c>
      <x:c r="B173" s="30" t="n">
        <x:v>11721.305146</x:v>
      </x:c>
      <x:c r="C173" s="30" t="n">
        <x:v>5381.905856</x:v>
      </x:c>
      <x:c r="D173" s="30" t="n">
        <x:v>4291.441737</x:v>
      </x:c>
      <x:c r="E173" s="30" t="n">
        <x:v>2047.957553</x:v>
      </x:c>
      <x:c r="F173" s="2"/>
      <x:c r="G173" s="2"/>
    </x:row>
    <x:row r="174" ht="23" customHeight="1">
      <x:c r="A174" s="4" t="n">
        <x:v>43344</x:v>
      </x:c>
      <x:c r="B174" s="30" t="n">
        <x:v>9792.369117</x:v>
      </x:c>
      <x:c r="C174" s="30" t="n">
        <x:v>3928.162283</x:v>
      </x:c>
      <x:c r="D174" s="30" t="n">
        <x:v>3907.997234</x:v>
      </x:c>
      <x:c r="E174" s="30" t="n">
        <x:v>1956.2096</x:v>
      </x:c>
      <x:c r="F174" s="2"/>
      <x:c r="G174" s="2"/>
    </x:row>
    <x:row r="175" ht="23" customHeight="1">
      <x:c r="A175" s="4" t="n">
        <x:v>43374</x:v>
      </x:c>
      <x:c r="B175" s="30" t="n">
        <x:v>9904.218691</x:v>
      </x:c>
      <x:c r="C175" s="30" t="n">
        <x:v>3944.594703</x:v>
      </x:c>
      <x:c r="D175" s="30" t="n">
        <x:v>3978.8901</x:v>
      </x:c>
      <x:c r="E175" s="30" t="n">
        <x:v>1980.733888</x:v>
      </x:c>
      <x:c r="F175" s="2"/>
      <x:c r="G175" s="2"/>
    </x:row>
    <x:row r="176" ht="23" customHeight="1">
      <x:c r="A176" s="4" t="n">
        <x:v>43405</x:v>
      </x:c>
      <x:c r="B176" s="30" t="n">
        <x:v>10035.149399</x:v>
      </x:c>
      <x:c r="C176" s="30" t="n">
        <x:v>4001.581048</x:v>
      </x:c>
      <x:c r="D176" s="30" t="n">
        <x:v>4041.072386</x:v>
      </x:c>
      <x:c r="E176" s="30" t="n">
        <x:v>1992.495965</x:v>
      </x:c>
      <x:c r="F176" s="2"/>
      <x:c r="G176" s="2"/>
    </x:row>
    <x:row r="177" ht="23" customHeight="1">
      <x:c r="A177" s="4" t="n">
        <x:v>43435</x:v>
      </x:c>
      <x:c r="B177" s="30" t="n">
        <x:v>10863.012561</x:v>
      </x:c>
      <x:c r="C177" s="30" t="n">
        <x:v>4687.899371</x:v>
      </x:c>
      <x:c r="D177" s="30" t="n">
        <x:v>4305.440229</x:v>
      </x:c>
      <x:c r="E177" s="30" t="n">
        <x:v>1869.672961</x:v>
      </x:c>
      <x:c r="F177" s="2"/>
      <x:c r="G177" s="2"/>
    </x:row>
    <x:row r="178" ht="23" customHeight="1">
      <x:c r="A178" s="4" t="n">
        <x:v>43466</x:v>
      </x:c>
      <x:c r="B178" s="30" t="n">
        <x:v>11698.820402</x:v>
      </x:c>
      <x:c r="C178" s="30" t="n">
        <x:v>5280.257409</x:v>
      </x:c>
      <x:c r="D178" s="30" t="n">
        <x:v>4507.317265</x:v>
      </x:c>
      <x:c r="E178" s="30" t="n">
        <x:v>1911.245728</x:v>
      </x:c>
      <x:c r="F178" s="2"/>
      <x:c r="G178" s="2"/>
    </x:row>
    <x:row r="179" ht="23" customHeight="1">
      <x:c r="A179" s="4" t="n">
        <x:v>43497</x:v>
      </x:c>
      <x:c r="B179" s="30" t="n">
        <x:v>10706.955317</x:v>
      </x:c>
      <x:c r="C179" s="30" t="n">
        <x:v>4640.570779</x:v>
      </x:c>
      <x:c r="D179" s="30" t="n">
        <x:v>4236.763494</x:v>
      </x:c>
      <x:c r="E179" s="30" t="n">
        <x:v>1829.621044</x:v>
      </x:c>
      <x:c r="F179" s="2"/>
      <x:c r="G179" s="2"/>
    </x:row>
    <x:row r="180" ht="23" customHeight="1">
      <x:c r="A180" s="4" t="n">
        <x:v>43525</x:v>
      </x:c>
      <x:c r="B180" s="30" t="n">
        <x:v>10120.057936</x:v>
      </x:c>
      <x:c r="C180" s="30" t="n">
        <x:v>3995.742961</x:v>
      </x:c>
      <x:c r="D180" s="30" t="n">
        <x:v>4155.841684</x:v>
      </x:c>
      <x:c r="E180" s="30" t="n">
        <x:v>1968.473291</x:v>
      </x:c>
      <x:c r="F180" s="2"/>
      <x:c r="G180" s="2"/>
    </x:row>
    <x:row r="181" ht="23" customHeight="1">
      <x:c r="A181" s="4" t="n">
        <x:v>43556</x:v>
      </x:c>
      <x:c r="B181" s="30" t="n">
        <x:v>9572.130645</x:v>
      </x:c>
      <x:c r="C181" s="30" t="n">
        <x:v>3647.81235</x:v>
      </x:c>
      <x:c r="D181" s="30" t="n">
        <x:v>3971.245175</x:v>
      </x:c>
      <x:c r="E181" s="30" t="n">
        <x:v>1953.07312</x:v>
      </x:c>
      <x:c r="F181" s="2"/>
      <x:c r="G181" s="2"/>
    </x:row>
    <x:row r="182" ht="23" customHeight="1">
      <x:c r="A182" s="4" t="n">
        <x:v>43586</x:v>
      </x:c>
      <x:c r="B182" s="30" t="n">
        <x:v>10382.062156</x:v>
      </x:c>
      <x:c r="C182" s="30" t="n">
        <x:v>4358.227351</x:v>
      </x:c>
      <x:c r="D182" s="30" t="n">
        <x:v>4051.568954</x:v>
      </x:c>
      <x:c r="E182" s="30" t="n">
        <x:v>1972.265851</x:v>
      </x:c>
      <x:c r="F182" s="2"/>
      <x:c r="G182" s="2"/>
    </x:row>
    <x:row r="183" ht="23" customHeight="1">
      <x:c r="A183" s="4" t="n">
        <x:v>43617</x:v>
      </x:c>
      <x:c r="B183" s="30" t="n">
        <x:v>10649.85454</x:v>
      </x:c>
      <x:c r="C183" s="30" t="n">
        <x:v>4815.895191</x:v>
      </x:c>
      <x:c r="D183" s="30" t="n">
        <x:v>3985.740596</x:v>
      </x:c>
      <x:c r="E183" s="30" t="n">
        <x:v>1848.218753</x:v>
      </x:c>
      <x:c r="F183" s="2"/>
      <x:c r="G183" s="2"/>
    </x:row>
    <x:row r="184" ht="23" customHeight="1">
      <x:c r="A184" s="4" t="n">
        <x:v>43647</x:v>
      </x:c>
      <x:c r="B184" s="30" t="n">
        <x:v>12004.210187</x:v>
      </x:c>
      <x:c r="C184" s="30" t="n">
        <x:v>5807.8299</x:v>
      </x:c>
      <x:c r="D184" s="30" t="n">
        <x:v>4257.407791</x:v>
      </x:c>
      <x:c r="E184" s="30" t="n">
        <x:v>1938.972496</x:v>
      </x:c>
      <x:c r="F184" s="2"/>
      <x:c r="G184" s="2"/>
    </x:row>
    <x:row r="185" ht="23" customHeight="1">
      <x:c r="A185" s="4" t="n">
        <x:v>43678</x:v>
      </x:c>
      <x:c r="B185" s="30" t="n">
        <x:v>11465.483299</x:v>
      </x:c>
      <x:c r="C185" s="30" t="n">
        <x:v>5201.899286</x:v>
      </x:c>
      <x:c r="D185" s="30" t="n">
        <x:v>4206.692542</x:v>
      </x:c>
      <x:c r="E185" s="30" t="n">
        <x:v>2056.891471</x:v>
      </x:c>
      <x:c r="F185" s="2"/>
      <x:c r="G185" s="2"/>
    </x:row>
    <x:row r="186" ht="23" customHeight="1">
      <x:c r="A186" s="4" t="n">
        <x:v>43709</x:v>
      </x:c>
      <x:c r="B186" s="30" t="n">
        <x:v>10218.087823</x:v>
      </x:c>
      <x:c r="C186" s="30" t="n">
        <x:v>4267.476337</x:v>
      </x:c>
      <x:c r="D186" s="30" t="n">
        <x:v>3934.53795</x:v>
      </x:c>
      <x:c r="E186" s="30" t="n">
        <x:v>2016.073536</x:v>
      </x:c>
      <x:c r="F186" s="2"/>
      <x:c r="G186" s="2"/>
    </x:row>
    <x:row r="187" ht="23" customHeight="1">
      <x:c r="A187" s="4" t="n">
        <x:v>43739</x:v>
      </x:c>
      <x:c r="B187" s="30" t="n">
        <x:v>10380.686879</x:v>
      </x:c>
      <x:c r="C187" s="30" t="n">
        <x:v>4222.295957</x:v>
      </x:c>
      <x:c r="D187" s="30" t="n">
        <x:v>4012.432789</x:v>
      </x:c>
      <x:c r="E187" s="30" t="n">
        <x:v>2145.958133</x:v>
      </x:c>
      <x:c r="F187" s="2"/>
      <x:c r="G187" s="2"/>
    </x:row>
    <x:row r="188" ht="23" customHeight="1">
      <x:c r="A188" s="4" t="n">
        <x:v>43770</x:v>
      </x:c>
      <x:c r="B188" s="30" t="n">
        <x:v>10559.966155</x:v>
      </x:c>
      <x:c r="C188" s="30" t="n">
        <x:v>4378.76383</x:v>
      </x:c>
      <x:c r="D188" s="30" t="n">
        <x:v>4144.930896</x:v>
      </x:c>
      <x:c r="E188" s="30" t="n">
        <x:v>2036.271429</x:v>
      </x:c>
      <x:c r="F188" s="2"/>
      <x:c r="G188" s="2"/>
    </x:row>
    <x:row r="189" ht="23" customHeight="1">
      <x:c r="A189" s="4" t="n">
        <x:v>43800</x:v>
      </x:c>
      <x:c r="B189" s="30" t="n">
        <x:v>11187.742677</x:v>
      </x:c>
      <x:c r="C189" s="30" t="n">
        <x:v>4911.899215</x:v>
      </x:c>
      <x:c r="D189" s="30" t="n">
        <x:v>4406.841075</x:v>
      </x:c>
      <x:c r="E189" s="30" t="n">
        <x:v>1869.002387</x:v>
      </x:c>
      <x:c r="F189" s="2"/>
      <x:c r="G189" s="2"/>
    </x:row>
    <x:row r="190" ht="23" customHeight="1">
      <x:c r="A190" s="4" t="n">
        <x:v>43831</x:v>
      </x:c>
      <x:c r="B190" s="30" t="n">
        <x:v>11993.867057</x:v>
      </x:c>
      <x:c r="C190" s="30" t="n">
        <x:v>5593.4474</x:v>
      </x:c>
      <x:c r="D190" s="30" t="n">
        <x:v>4494.597629</x:v>
      </x:c>
      <x:c r="E190" s="30" t="n">
        <x:v>1905.822028</x:v>
      </x:c>
      <x:c r="F190" s="2"/>
      <x:c r="G190" s="2"/>
    </x:row>
    <x:row r="191" ht="23" customHeight="1">
      <x:c r="A191" s="4" t="n">
        <x:v>43862</x:v>
      </x:c>
      <x:c r="B191" s="30" t="n">
        <x:v>10843.47443</x:v>
      </x:c>
      <x:c r="C191" s="30" t="n">
        <x:v>4751.384719</x:v>
      </x:c>
      <x:c r="D191" s="30" t="n">
        <x:v>4218.645382</x:v>
      </x:c>
      <x:c r="E191" s="30" t="n">
        <x:v>1873.444329</x:v>
      </x:c>
      <x:c r="F191" s="2"/>
      <x:c r="G191" s="2"/>
    </x:row>
    <x:row r="192" ht="23" customHeight="1">
      <x:c r="A192" s="4" t="n">
        <x:v>43891</x:v>
      </x:c>
      <x:c r="B192" s="30" t="n">
        <x:v>11144.232192</x:v>
      </x:c>
      <x:c r="C192" s="30" t="n">
        <x:v>5034.641888</x:v>
      </x:c>
      <x:c r="D192" s="30" t="n">
        <x:v>4318.451977</x:v>
      </x:c>
      <x:c r="E192" s="30" t="n">
        <x:v>1791.138327</x:v>
      </x:c>
      <x:c r="F192" s="2"/>
      <x:c r="G192" s="2"/>
    </x:row>
    <x:row r="193" ht="23" customHeight="1">
      <x:c r="A193" s="4" t="n">
        <x:v>43922</x:v>
      </x:c>
      <x:c r="B193" s="30" t="n">
        <x:v>8537.200407</x:v>
      </x:c>
      <x:c r="C193" s="30" t="n">
        <x:v>3863.630775</x:v>
      </x:c>
      <x:c r="D193" s="30" t="n">
        <x:v>3269.808148</x:v>
      </x:c>
      <x:c r="E193" s="30" t="n">
        <x:v>1403.761484</x:v>
      </x:c>
      <x:c r="F193" s="2"/>
      <x:c r="G193" s="2"/>
    </x:row>
    <x:row r="194" ht="23" customHeight="1">
      <x:c r="A194" s="4" t="n">
        <x:v>43952</x:v>
      </x:c>
      <x:c r="B194" s="30" t="n">
        <x:v>9617.328172</x:v>
      </x:c>
      <x:c r="C194" s="30" t="n">
        <x:v>4687.33238</x:v>
      </x:c>
      <x:c r="D194" s="30" t="n">
        <x:v>3424.44383</x:v>
      </x:c>
      <x:c r="E194" s="30" t="n">
        <x:v>1505.551962</x:v>
      </x:c>
      <x:c r="F194" s="2"/>
      <x:c r="G194" s="2"/>
    </x:row>
    <x:row r="195" ht="23" customHeight="1">
      <x:c r="A195" s="4" t="n">
        <x:v>43983</x:v>
      </x:c>
      <x:c r="B195" s="30" t="n">
        <x:v>10781.714873</x:v>
      </x:c>
      <x:c r="C195" s="30" t="n">
        <x:v>5591.261968</x:v>
      </x:c>
      <x:c r="D195" s="30" t="n">
        <x:v>3635.874084</x:v>
      </x:c>
      <x:c r="E195" s="30" t="n">
        <x:v>1554.578821</x:v>
      </x:c>
      <x:c r="F195" s="2"/>
      <x:c r="G195" s="2"/>
    </x:row>
    <x:row r="196" ht="23" customHeight="1">
      <x:c r="A196" s="4" t="n">
        <x:v>44013</x:v>
      </x:c>
      <x:c r="B196" s="30" t="n">
        <x:v>12183.852641</x:v>
      </x:c>
      <x:c r="C196" s="30" t="n">
        <x:v>6521.31556</x:v>
      </x:c>
      <x:c r="D196" s="30" t="n">
        <x:v>4001.408076</x:v>
      </x:c>
      <x:c r="E196" s="30" t="n">
        <x:v>1661.129005</x:v>
      </x:c>
      <x:c r="F196" s="2"/>
      <x:c r="G196" s="2"/>
    </x:row>
    <x:row r="197" ht="23" customHeight="1">
      <x:c r="A197" s="4" t="n">
        <x:v>44044</x:v>
      </x:c>
      <x:c r="B197" s="30" t="n">
        <x:v>10728.379158</x:v>
      </x:c>
      <x:c r="C197" s="30" t="n">
        <x:v>5267.341752</x:v>
      </x:c>
      <x:c r="D197" s="30" t="n">
        <x:v>3741.760249</x:v>
      </x:c>
      <x:c r="E197" s="30" t="n">
        <x:v>1719.277157</x:v>
      </x:c>
      <x:c r="F197" s="2"/>
      <x:c r="G197" s="2"/>
    </x:row>
    <x:row r="198" ht="23" customHeight="1">
      <x:c r="A198" s="4" t="n">
        <x:v>44075</x:v>
      </x:c>
      <x:c r="B198" s="30" t="n">
        <x:v>10045.02285</x:v>
      </x:c>
      <x:c r="C198" s="30" t="n">
        <x:v>4693.462034</x:v>
      </x:c>
      <x:c r="D198" s="30" t="n">
        <x:v>3638.96298</x:v>
      </x:c>
      <x:c r="E198" s="30" t="n">
        <x:v>1712.597836</x:v>
      </x:c>
      <x:c r="F198" s="2"/>
      <x:c r="G198" s="2"/>
    </x:row>
    <x:row r="199" ht="23" customHeight="1">
      <x:c r="A199" s="4" t="n">
        <x:v>44105</x:v>
      </x:c>
      <x:c r="B199" s="30" t="n">
        <x:v>10013.844018</x:v>
      </x:c>
      <x:c r="C199" s="30" t="n">
        <x:v>4428.481525</x:v>
      </x:c>
      <x:c r="D199" s="30" t="n">
        <x:v>3758.740572</x:v>
      </x:c>
      <x:c r="E199" s="30" t="n">
        <x:v>1826.621921</x:v>
      </x:c>
      <x:c r="F199" s="2"/>
      <x:c r="G199" s="2"/>
    </x:row>
    <x:row r="200" ht="23" customHeight="1">
      <x:c r="A200" s="4" t="n">
        <x:v>44136</x:v>
      </x:c>
      <x:c r="B200" s="30" t="n">
        <x:v>10087.844439</x:v>
      </x:c>
      <x:c r="C200" s="30" t="n">
        <x:v>4330.623877</x:v>
      </x:c>
      <x:c r="D200" s="30" t="n">
        <x:v>3851.369101</x:v>
      </x:c>
      <x:c r="E200" s="30" t="n">
        <x:v>1905.851461</x:v>
      </x:c>
      <x:c r="F200" s="2"/>
      <x:c r="G200" s="2"/>
    </x:row>
    <x:row r="201" ht="23" customHeight="1">
      <x:c r="A201" s="4" t="n">
        <x:v>44166</x:v>
      </x:c>
      <x:c r="B201" s="30" t="n">
        <x:v>11330.177614</x:v>
      </x:c>
      <x:c r="C201" s="30" t="n">
        <x:v>5258.408928</x:v>
      </x:c>
      <x:c r="D201" s="30" t="n">
        <x:v>4193.858494</x:v>
      </x:c>
      <x:c r="E201" s="30" t="n">
        <x:v>1877.910192</x:v>
      </x:c>
      <x:c r="F201" s="2"/>
      <x:c r="G201" s="2"/>
    </x:row>
    <x:row r="202" ht="23" customHeight="1">
      <x:c r="A202" s="4" t="n">
        <x:v>44197</x:v>
      </x:c>
      <x:c r="B202" s="30" t="n">
        <x:v>11941.580986</x:v>
      </x:c>
      <x:c r="C202" s="30" t="n">
        <x:v>5661.216932</x:v>
      </x:c>
      <x:c r="D202" s="30" t="n">
        <x:v>4331.948859</x:v>
      </x:c>
      <x:c r="E202" s="30" t="n">
        <x:v>1948.415195</x:v>
      </x:c>
      <x:c r="F202" s="2"/>
      <x:c r="G202" s="2"/>
    </x:row>
    <x:row r="203" ht="23" customHeight="1">
      <x:c r="A203" s="4" t="n">
        <x:v>44228</x:v>
      </x:c>
      <x:c r="B203" s="30" t="n">
        <x:v>10090.389298</x:v>
      </x:c>
      <x:c r="C203" s="30" t="n">
        <x:v>4363.836276</x:v>
      </x:c>
      <x:c r="D203" s="30" t="n">
        <x:v>3880.340804</x:v>
      </x:c>
      <x:c r="E203" s="30" t="n">
        <x:v>1846.212218</x:v>
      </x:c>
      <x:c r="F203" s="2"/>
      <x:c r="G203" s="2"/>
    </x:row>
    <x:row r="204" ht="23" customHeight="1">
      <x:c r="A204" s="4" t="n">
        <x:v>44256</x:v>
      </x:c>
      <x:c r="B204" s="30" t="n">
        <x:v>11055.214503</x:v>
      </x:c>
      <x:c r="C204" s="30" t="n">
        <x:v>4718.154621</x:v>
      </x:c>
      <x:c r="D204" s="30" t="n">
        <x:v>4239.221819</x:v>
      </x:c>
      <x:c r="E204" s="30" t="n">
        <x:v>2097.838063</x:v>
      </x:c>
      <x:c r="F204" s="2"/>
      <x:c r="G204" s="2"/>
    </x:row>
    <x:row r="205" ht="23" customHeight="1">
      <x:c r="A205" s="4" t="n">
        <x:v>44287</x:v>
      </x:c>
      <x:c r="B205" s="30" t="n">
        <x:v>9817.737877</x:v>
      </x:c>
      <x:c r="C205" s="30" t="n">
        <x:v>3891.458974</x:v>
      </x:c>
      <x:c r="D205" s="30" t="n">
        <x:v>3909.054427</x:v>
      </x:c>
      <x:c r="E205" s="30" t="n">
        <x:v>2017.224476</x:v>
      </x:c>
      <x:c r="F205" s="2"/>
      <x:c r="G205" s="2"/>
    </x:row>
    <x:row r="206" ht="23" customHeight="1">
      <x:c r="A206" s="4" t="n">
        <x:v>44317</x:v>
      </x:c>
      <x:c r="B206" s="30" t="n">
        <x:v>10986.114068</x:v>
      </x:c>
      <x:c r="C206" s="30" t="n">
        <x:v>5010.924044</x:v>
      </x:c>
      <x:c r="D206" s="30" t="n">
        <x:v>3995.054976</x:v>
      </x:c>
      <x:c r="E206" s="30" t="n">
        <x:v>1980.135048</x:v>
      </x:c>
      <x:c r="F206" s="2"/>
      <x:c r="G206" s="2"/>
    </x:row>
    <x:row r="207" ht="23" customHeight="1">
      <x:c r="A207" s="4" t="n">
        <x:v>44348</x:v>
      </x:c>
      <x:c r="B207" s="30" t="n">
        <x:v>12053.804232</x:v>
      </x:c>
      <x:c r="C207" s="30" t="n">
        <x:v>6070.270051</x:v>
      </x:c>
      <x:c r="D207" s="30" t="n">
        <x:v>4011.805038</x:v>
      </x:c>
      <x:c r="E207" s="30" t="n">
        <x:v>1971.729143</x:v>
      </x:c>
      <x:c r="F207" s="2"/>
      <x:c r="G207" s="2"/>
    </x:row>
    <x:row r="208" ht="23" customHeight="1">
      <x:c r="A208" s="4" t="n">
        <x:v>44378</x:v>
      </x:c>
      <x:c r="B208" s="30" t="n">
        <x:v>12418.960365</x:v>
      </x:c>
      <x:c r="C208" s="30" t="n">
        <x:v>6268.417449</x:v>
      </x:c>
      <x:c r="D208" s="30" t="n">
        <x:v>4148.275478</x:v>
      </x:c>
      <x:c r="E208" s="30" t="n">
        <x:v>2002.267438</x:v>
      </x:c>
      <x:c r="F208" s="2"/>
      <x:c r="G208" s="2"/>
    </x:row>
    <x:row r="209" ht="23" customHeight="1">
      <x:c r="A209" s="4" t="n">
        <x:v>44409</x:v>
      </x:c>
      <x:c r="B209" s="30" t="n">
        <x:v>11660.287778</x:v>
      </x:c>
      <x:c r="C209" s="30" t="n">
        <x:v>5534.851944</x:v>
      </x:c>
      <x:c r="D209" s="30" t="n">
        <x:v>4087.353908</x:v>
      </x:c>
      <x:c r="E209" s="30" t="n">
        <x:v>2038.081926</x:v>
      </x:c>
      <x:c r="F209" s="2"/>
      <x:c r="G209" s="2"/>
    </x:row>
    <x:row r="210" ht="23" customHeight="1">
      <x:c r="A210" s="4" t="n">
        <x:v>44440</x:v>
      </x:c>
      <x:c r="B210" s="30" t="n">
        <x:v>10374.79406</x:v>
      </x:c>
      <x:c r="C210" s="30" t="n">
        <x:v>4460.019197</x:v>
      </x:c>
      <x:c r="D210" s="30" t="n">
        <x:v>3894.843471</x:v>
      </x:c>
      <x:c r="E210" s="30" t="n">
        <x:v>2019.931392</x:v>
      </x:c>
      <x:c r="F210" s="2"/>
      <x:c r="G210" s="2"/>
    </x:row>
    <x:row r="211" ht="23" customHeight="1">
      <x:c r="A211" s="4" t="n">
        <x:v>44470</x:v>
      </x:c>
      <x:c r="B211" s="30" t="n">
        <x:v>10451.324175</x:v>
      </x:c>
      <x:c r="C211" s="30" t="n">
        <x:v>4481.150233</x:v>
      </x:c>
      <x:c r="D211" s="30" t="n">
        <x:v>4023.809999</x:v>
      </x:c>
      <x:c r="E211" s="30" t="n">
        <x:v>1946.363943</x:v>
      </x:c>
      <x:c r="F211" s="2"/>
      <x:c r="G211" s="2"/>
    </x:row>
    <x:row r="212" ht="23" customHeight="1">
      <x:c r="A212" s="4" t="n">
        <x:v>44501</x:v>
      </x:c>
      <x:c r="B212" s="30" t="n">
        <x:v>10569.433719</x:v>
      </x:c>
      <x:c r="C212" s="30" t="n">
        <x:v>4450.331245</x:v>
      </x:c>
      <x:c r="D212" s="30" t="n">
        <x:v>4120.005402</x:v>
      </x:c>
      <x:c r="E212" s="30" t="n">
        <x:v>1999.097072</x:v>
      </x:c>
      <x:c r="F212" s="2"/>
      <x:c r="G212" s="2"/>
    </x:row>
    <x:row r="213" ht="23" customHeight="1">
      <x:c r="A213" s="4" t="n">
        <x:v>44531</x:v>
      </x:c>
      <x:c r="B213" s="30" t="n">
        <x:v>12457.845452</x:v>
      </x:c>
      <x:c r="C213" s="30" t="n">
        <x:v>5875.231036</x:v>
      </x:c>
      <x:c r="D213" s="30" t="n">
        <x:v>4637.279511</x:v>
      </x:c>
      <x:c r="E213" s="30" t="n">
        <x:v>1945.334905</x:v>
      </x:c>
      <x:c r="F213" s="2"/>
      <x:c r="G213" s="2"/>
    </x:row>
    <x:row r="214" ht="23" customHeight="1">
      <x:c r="A214" s="4" t="n">
        <x:v>44562</x:v>
      </x:c>
      <x:c r="B214" s="30" t="n">
        <x:v>13067.604932</x:v>
      </x:c>
      <x:c r="C214" s="30" t="n">
        <x:v>6464.484064</x:v>
      </x:c>
      <x:c r="D214" s="30" t="n">
        <x:v>4801.009871</x:v>
      </x:c>
      <x:c r="E214" s="30" t="n">
        <x:v>1802.110997</x:v>
      </x:c>
      <x:c r="F214" s="2"/>
      <x:c r="G214" s="2"/>
    </x:row>
    <x:row r="215" ht="23" customHeight="1">
      <x:c r="A215" s="4" t="n">
        <x:v>44593</x:v>
      </x:c>
      <x:c r="B215" s="30" t="n">
        <x:v>10567.756899</x:v>
      </x:c>
      <x:c r="C215" s="30" t="n">
        <x:v>4612.567414</x:v>
      </x:c>
      <x:c r="D215" s="30" t="n">
        <x:v>4185.905605</x:v>
      </x:c>
      <x:c r="E215" s="30" t="n">
        <x:v>1769.28388</x:v>
      </x:c>
      <x:c r="F215" s="2"/>
      <x:c r="G215" s="2"/>
    </x:row>
    <x:row r="216" ht="23" customHeight="1">
      <x:c r="A216" s="4" t="n">
        <x:v>44621</x:v>
      </x:c>
      <x:c r="B216" s="30" t="n">
        <x:v>10881.578983</x:v>
      </x:c>
      <x:c r="C216" s="30" t="n">
        <x:v>4481.118657</x:v>
      </x:c>
      <x:c r="D216" s="30" t="n">
        <x:v>4393.401085</x:v>
      </x:c>
      <x:c r="E216" s="30" t="n">
        <x:v>2007.059241</x:v>
      </x:c>
      <x:c r="F216" s="2"/>
      <x:c r="G216" s="2"/>
    </x:row>
    <x:row r="217" ht="23" customHeight="1">
      <x:c r="A217" s="4" t="n">
        <x:v>44652</x:v>
      </x:c>
      <x:c r="B217" s="30" t="n">
        <x:v>10147.364071</x:v>
      </x:c>
      <x:c r="C217" s="30" t="n">
        <x:v>3999.097408</x:v>
      </x:c>
      <x:c r="D217" s="30" t="n">
        <x:v>4100.350536</x:v>
      </x:c>
      <x:c r="E217" s="30" t="n">
        <x:v>2047.916127</x:v>
      </x:c>
      <x:c r="F217" s="2"/>
      <x:c r="G217" s="2"/>
    </x:row>
    <x:row r="218" ht="23" customHeight="1">
      <x:c r="A218" s="4" t="n">
        <x:v>44682</x:v>
      </x:c>
      <x:c r="B218" s="30" t="n">
        <x:v>11727.995001</x:v>
      </x:c>
      <x:c r="C218" s="30" t="n">
        <x:v>5346.350927</x:v>
      </x:c>
      <x:c r="D218" s="30" t="n">
        <x:v>4327.068463</x:v>
      </x:c>
      <x:c r="E218" s="30" t="n">
        <x:v>2054.575611</x:v>
      </x:c>
      <x:c r="F218" s="2"/>
      <x:c r="G218" s="2"/>
    </x:row>
    <x:row r="219" ht="23" customHeight="1">
      <x:c r="A219" s="4" t="n">
        <x:v>44713</x:v>
      </x:c>
      <x:c r="B219" s="30" t="n">
        <x:v>13074.470378</x:v>
      </x:c>
      <x:c r="C219" s="30" t="n">
        <x:v>6686.629888</x:v>
      </x:c>
      <x:c r="D219" s="30" t="n">
        <x:v>4432.274611</x:v>
      </x:c>
      <x:c r="E219" s="30" t="n">
        <x:v>1955.565879</x:v>
      </x:c>
      <x:c r="F219" s="2"/>
      <x:c r="G219" s="2"/>
    </x:row>
    <x:row r="220" ht="23" customHeight="1">
      <x:c r="A220" s="4" t="n">
        <x:v>44743</x:v>
      </x:c>
      <x:c r="B220" s="30" t="n">
        <x:v>12639.619366</x:v>
      </x:c>
      <x:c r="C220" s="30" t="n">
        <x:v>6277.761203</x:v>
      </x:c>
      <x:c r="D220" s="30" t="n">
        <x:v>4421.696106</x:v>
      </x:c>
      <x:c r="E220" s="30" t="n">
        <x:v>1940.162057</x:v>
      </x:c>
      <x:c r="F220" s="2"/>
      <x:c r="G220" s="2"/>
    </x:row>
    <x:row r="221" ht="23" customHeight="1">
      <x:c r="A221" s="4" t="n">
        <x:v>44774</x:v>
      </x:c>
      <x:c r="B221" s="30" t="n">
        <x:v>11782.419631</x:v>
      </x:c>
      <x:c r="C221" s="30" t="n">
        <x:v>5480.926603</x:v>
      </x:c>
      <x:c r="D221" s="30" t="n">
        <x:v>4344.918827</x:v>
      </x:c>
      <x:c r="E221" s="30" t="n">
        <x:v>1956.574201</x:v>
      </x:c>
      <x:c r="F221" s="2"/>
      <x:c r="G221" s="2"/>
    </x:row>
    <x:row r="222" ht="23" customHeight="1">
      <x:c r="A222" s="4" t="n">
        <x:v>44805</x:v>
      </x:c>
      <x:c r="B222" s="30" t="n">
        <x:v>10314.000247</x:v>
      </x:c>
      <x:c r="C222" s="30" t="n">
        <x:v>4294.969294</x:v>
      </x:c>
      <x:c r="D222" s="30" t="n">
        <x:v>4060.319054</x:v>
      </x:c>
      <x:c r="E222" s="30" t="n">
        <x:v>1958.711899</x:v>
      </x:c>
      <x:c r="F222" s="2"/>
      <x:c r="G222" s="2"/>
    </x:row>
    <x:row r="223" ht="23" customHeight="1">
      <x:c r="A223" s="4" t="n">
        <x:v>44835</x:v>
      </x:c>
      <x:c r="B223" s="30" t="n">
        <x:v>10221.298638</x:v>
      </x:c>
      <x:c r="C223" s="30" t="n">
        <x:v>4191.800322</x:v>
      </x:c>
      <x:c r="D223" s="30" t="n">
        <x:v>4056.286863</x:v>
      </x:c>
      <x:c r="E223" s="30" t="n">
        <x:v>1973.211453</x:v>
      </x:c>
      <x:c r="F223" s="2"/>
      <x:c r="G223" s="2"/>
    </x:row>
    <x:row r="224" ht="23" customHeight="1">
      <x:c r="A224" s="4" t="n">
        <x:v>44866</x:v>
      </x:c>
      <x:c r="B224" s="30" t="n">
        <x:v>11323.713162</x:v>
      </x:c>
      <x:c r="C224" s="30" t="n">
        <x:v>4999.888377</x:v>
      </x:c>
      <x:c r="D224" s="30" t="n">
        <x:v>4287.904184</x:v>
      </x:c>
      <x:c r="E224" s="30" t="n">
        <x:v>2035.920601</x:v>
      </x:c>
      <x:c r="F224" s="2"/>
      <x:c r="G224" s="2"/>
    </x:row>
    <x:row r="225" ht="23" customHeight="1">
      <x:c r="A225" s="4" t="n">
        <x:v>44896</x:v>
      </x:c>
      <x:c r="B225" s="30" t="n">
        <x:v>13027.412096</x:v>
      </x:c>
      <x:c r="C225" s="30" t="n">
        <x:v>6321.388548</x:v>
      </x:c>
      <x:c r="D225" s="30" t="n">
        <x:v>4713.01096</x:v>
      </x:c>
      <x:c r="E225" s="30" t="n">
        <x:v>1993.012588</x:v>
      </x:c>
      <x:c r="F225" s="2"/>
      <x:c r="G225" s="2"/>
    </x:row>
    <x:row r="226" ht="23" customHeight="1">
      <x:c r="A226" s="4" t="n">
        <x:v>44927</x:v>
      </x:c>
      <x:c r="B226" s="30" t="n">
        <x:v>13593.482594</x:v>
      </x:c>
      <x:c r="C226" s="30" t="n">
        <x:v>6817.409084</x:v>
      </x:c>
      <x:c r="D226" s="30" t="n">
        <x:v>4831.820802</x:v>
      </x:c>
      <x:c r="E226" s="30" t="n">
        <x:v>1944.252708</x:v>
      </x:c>
      <x:c r="F226" s="2"/>
      <x:c r="G226" s="2"/>
    </x:row>
    <x:row r="227" ht="23" customHeight="1">
      <x:c r="A227" s="4" t="n">
        <x:v>44958</x:v>
      </x:c>
      <x:c r="B227" s="30" t="n">
        <x:v>11906.275882</x:v>
      </x:c>
      <x:c r="C227" s="30" t="n">
        <x:v>5684.562915</x:v>
      </x:c>
      <x:c r="D227" s="30" t="n">
        <x:v>4409.54575</x:v>
      </x:c>
      <x:c r="E227" s="30" t="n">
        <x:v>1812.167217</x:v>
      </x:c>
      <x:c r="F227" s="2"/>
      <x:c r="G227" s="2"/>
    </x:row>
    <x:row r="228" ht="23" customHeight="1">
      <x:c r="A228" s="4" t="n">
        <x:v>44986</x:v>
      </x:c>
      <x:c r="B228" s="30" t="n">
        <x:v>13996.904605</x:v>
      </x:c>
      <x:c r="C228" s="30" t="n">
        <x:v>6927.376352</x:v>
      </x:c>
      <x:c r="D228" s="30" t="n">
        <x:v>5016.569766</x:v>
      </x:c>
      <x:c r="E228" s="30" t="n">
        <x:v>2052.958487</x:v>
      </x:c>
      <x:c r="F228" s="2"/>
      <x:c r="G228" s="2"/>
    </x:row>
    <x:row r="229" ht="23" customHeight="1">
      <x:c r="A229" s="4" t="n">
        <x:v>45017</x:v>
      </x:c>
      <x:c r="B229" s="30" t="n">
        <x:v>10046.212478</x:v>
      </x:c>
      <x:c r="C229" s="30" t="n">
        <x:v>3985.954278</x:v>
      </x:c>
      <x:c r="D229" s="30" t="n">
        <x:v>4131.210056</x:v>
      </x:c>
      <x:c r="E229" s="30" t="n">
        <x:v>1929.048144</x:v>
      </x:c>
      <x:c r="F229" s="2"/>
      <x:c r="G229" s="2"/>
    </x:row>
    <x:row r="230" ht="23" customHeight="1">
      <x:c r="A230" s="4" t="n">
        <x:v>45047</x:v>
      </x:c>
      <x:c r="B230" s="30" t="n">
        <x:v>10815.469724</x:v>
      </x:c>
      <x:c r="C230" s="30" t="n">
        <x:v>4656.383154</x:v>
      </x:c>
      <x:c r="D230" s="30" t="n">
        <x:v>4164.095397</x:v>
      </x:c>
      <x:c r="E230" s="30" t="n">
        <x:v>1994.991173</x:v>
      </x:c>
      <x:c r="F230" s="2"/>
      <x:c r="G230" s="2"/>
    </x:row>
    <x:row r="231" ht="23" customHeight="1">
      <x:c r="A231" s="4" t="n">
        <x:v>45078</x:v>
      </x:c>
      <x:c r="B231" s="30" t="n">
        <x:v>12071.781236</x:v>
      </x:c>
      <x:c r="C231" s="30" t="n">
        <x:v>5835.774393</x:v>
      </x:c>
      <x:c r="D231" s="30" t="n">
        <x:v>4197.267627</x:v>
      </x:c>
      <x:c r="E231" s="30" t="n">
        <x:v>2038.739216</x:v>
      </x:c>
      <x:c r="F231" s="2"/>
      <x:c r="G231" s="2"/>
    </x:row>
    <x:row r="232" ht="23" customHeight="1">
      <x:c r="A232" s="4" t="n">
        <x:v>45108</x:v>
      </x:c>
      <x:c r="B232" s="30" t="n">
        <x:v>12477.225903</x:v>
      </x:c>
      <x:c r="C232" s="30" t="n">
        <x:v>6277.161519</x:v>
      </x:c>
      <x:c r="D232" s="30" t="n">
        <x:v>4321.338783</x:v>
      </x:c>
      <x:c r="E232" s="30" t="n">
        <x:v>1878.725601</x:v>
      </x:c>
      <x:c r="F232" s="2"/>
      <x:c r="G232" s="2"/>
    </x:row>
    <x:row r="233" ht="23" customHeight="1">
      <x:c r="A233" s="4" t="n">
        <x:v>45139</x:v>
      </x:c>
      <x:c r="B233" s="30" t="n">
        <x:v>11756.000499</x:v>
      </x:c>
      <x:c r="C233" s="30" t="n">
        <x:v>5501.921764</x:v>
      </x:c>
      <x:c r="D233" s="30" t="n">
        <x:v>4286.131279</x:v>
      </x:c>
      <x:c r="E233" s="30" t="n">
        <x:v>1967.947456</x:v>
      </x:c>
      <x:c r="F233" s="2"/>
      <x:c r="G233" s="2"/>
    </x:row>
    <x:row r="234" ht="23" customHeight="1">
      <x:c r="A234" s="4" t="n">
        <x:v>45170</x:v>
      </x:c>
      <x:c r="B234" s="30" t="n">
        <x:v>10962.244457</x:v>
      </x:c>
      <x:c r="C234" s="30" t="n">
        <x:v>4894.324626</x:v>
      </x:c>
      <x:c r="D234" s="30" t="n">
        <x:v>4095.419129</x:v>
      </x:c>
      <x:c r="E234" s="30" t="n">
        <x:v>1972.500702</x:v>
      </x:c>
      <x:c r="F234" s="2"/>
      <x:c r="G234" s="2"/>
    </x:row>
    <x:row r="235" ht="23" customHeight="1">
      <x:c r="A235" s="4" t="n">
        <x:v>45200</x:v>
      </x:c>
      <x:c r="B235" s="30" t="n">
        <x:v>10454.125794</x:v>
      </x:c>
      <x:c r="C235" s="30" t="n">
        <x:v>4396.246597</x:v>
      </x:c>
      <x:c r="D235" s="30" t="n">
        <x:v>4095.463271</x:v>
      </x:c>
      <x:c r="E235" s="30" t="n">
        <x:v>1962.415926</x:v>
      </x:c>
      <x:c r="F235" s="2"/>
      <x:c r="G235" s="2"/>
    </x:row>
    <x:row r="236" ht="23" customHeight="1">
      <x:c r="A236" s="4" t="n">
        <x:v>45231</x:v>
      </x:c>
      <x:c r="B236" s="30" t="n">
        <x:v>11040.811143</x:v>
      </x:c>
      <x:c r="C236" s="30" t="n">
        <x:v>4843.967604</x:v>
      </x:c>
      <x:c r="D236" s="30" t="n">
        <x:v>4237.822727</x:v>
      </x:c>
      <x:c r="E236" s="30" t="n">
        <x:v>1959.020812</x:v>
      </x:c>
      <x:c r="F236" s="2"/>
      <x:c r="G236" s="2"/>
    </x:row>
    <x:row r="237" ht="23" customHeight="1">
      <x:c r="A237" s="4" t="n">
        <x:v>45261</x:v>
      </x:c>
      <x:c r="B237" s="30" t="n">
        <x:v>11763.004028</x:v>
      </x:c>
      <x:c r="C237" s="30" t="n">
        <x:v>5475.149278</x:v>
      </x:c>
      <x:c r="D237" s="30" t="n">
        <x:v>4416.089382</x:v>
      </x:c>
      <x:c r="E237" s="30" t="n">
        <x:v>1871.765368</x:v>
      </x:c>
      <x:c r="F237" s="2"/>
      <x:c r="G237" s="2"/>
    </x:row>
    <x:row r="238" ht="23" customHeight="1">
      <x:c r="A238" s="4" t="n">
        <x:v>45292</x:v>
      </x:c>
      <x:c r="B238" s="30" t="n">
        <x:v>13090.206981</x:v>
      </x:c>
      <x:c r="C238" s="30" t="n">
        <x:v>6486.224939</x:v>
      </x:c>
      <x:c r="D238" s="30" t="n">
        <x:v>4701.121721</x:v>
      </x:c>
      <x:c r="E238" s="30" t="n">
        <x:v>1902.860321</x:v>
      </x:c>
      <x:c r="F238" s="2"/>
      <x:c r="G238" s="2"/>
    </x:row>
    <x:row r="239" ht="23" customHeight="1">
      <x:c r="A239" s="4" t="n">
        <x:v>45323</x:v>
      </x:c>
      <x:c r="B239" s="30" t="n">
        <x:v>12851.124118</x:v>
      </x:c>
      <x:c r="C239" s="30" t="n">
        <x:v>6343.135653</x:v>
      </x:c>
      <x:c r="D239" s="30" t="n">
        <x:v>4619.141978</x:v>
      </x:c>
      <x:c r="E239" s="30" t="n">
        <x:v>1888.846487</x:v>
      </x:c>
      <x:c r="F239" s="2"/>
      <x:c r="G239" s="2"/>
    </x:row>
    <x:row r="240" ht="23" customHeight="1">
      <x:c r="A240" s="4" t="n">
        <x:v>45352</x:v>
      </x:c>
      <x:c r="B240" s="30" t="n">
        <x:v>11956.626841</x:v>
      </x:c>
      <x:c r="C240" s="30" t="n">
        <x:v>5484.609658</x:v>
      </x:c>
      <x:c r="D240" s="30" t="n">
        <x:v>4534.521938</x:v>
      </x:c>
      <x:c r="E240" s="30" t="n">
        <x:v>1937.495245</x:v>
      </x:c>
      <x:c r="F240" s="2"/>
      <x:c r="G240" s="2"/>
    </x:row>
    <x:row r="241" ht="23" customHeight="1">
      <x:c r="A241" s="4" t="n">
        <x:v>45383</x:v>
      </x:c>
      <x:c r="B241" s="30" t="n">
        <x:v>10004.921217</x:v>
      </x:c>
      <x:c r="C241" s="30" t="n">
        <x:v>4253.02067</x:v>
      </x:c>
      <x:c r="D241" s="30" t="n">
        <x:v>3934.545397</x:v>
      </x:c>
      <x:c r="E241" s="30" t="n">
        <x:v>1817.35515</x:v>
      </x:c>
      <x:c r="F241" s="2"/>
      <x:c r="G241" s="2"/>
    </x:row>
    <x:row r="242" ht="23" customHeight="1">
      <x:c r="A242" s="4" t="n">
        <x:v>45413</x:v>
      </x:c>
      <x:c r="B242" s="30" t="n">
        <x:v>12213.338451</x:v>
      </x:c>
      <x:c r="C242" s="30" t="n">
        <x:v>6041.515054</x:v>
      </x:c>
      <x:c r="D242" s="30" t="n">
        <x:v>4202.501044</x:v>
      </x:c>
      <x:c r="E242" s="30" t="n">
        <x:v>1969.322353</x:v>
      </x:c>
      <x:c r="F242" s="2"/>
      <x:c r="G242" s="2"/>
    </x:row>
    <x:row r="243" ht="23" customHeight="1">
      <x:c r="A243" s="4" t="n">
        <x:v>45444</x:v>
      </x:c>
      <x:c r="B243" s="30" t="n">
        <x:v>11226.223824</x:v>
      </x:c>
      <x:c r="C243" s="30" t="n">
        <x:v>5345.517419</x:v>
      </x:c>
      <x:c r="D243" s="30" t="n">
        <x:v>3986.352408</x:v>
      </x:c>
      <x:c r="E243" s="30" t="n">
        <x:v>1894.353997</x:v>
      </x:c>
      <x:c r="F243" s="2"/>
      <x:c r="G243" s="2"/>
    </x:row>
    <x:row r="244" ht="23" customHeight="1">
      <x:c r="A244" s="4" t="n">
        <x:v>45474</x:v>
      </x:c>
      <x:c r="B244" s="30" t="n">
        <x:v>13226.304292</x:v>
      </x:c>
      <x:c r="C244" s="30" t="n">
        <x:v>6891.402589</x:v>
      </x:c>
      <x:c r="D244" s="30" t="n">
        <x:v>4322.631488</x:v>
      </x:c>
      <x:c r="E244" s="30" t="n">
        <x:v>2012.270215</x:v>
      </x:c>
      <x:c r="F244" s="2"/>
      <x:c r="G244" s="2"/>
    </x:row>
    <x:row r="245" ht="23" customHeight="1">
      <x:c r="A245" s="4" t="n">
        <x:v>45505</x:v>
      </x:c>
      <x:c r="B245" s="30" t="n">
        <x:v>12171.606645</x:v>
      </x:c>
      <x:c r="C245" s="30" t="n">
        <x:v>5900.98305</x:v>
      </x:c>
      <x:c r="D245" s="30" t="n">
        <x:v>4241.513376</x:v>
      </x:c>
      <x:c r="E245" s="30" t="n">
        <x:v>2029.110219</x:v>
      </x:c>
      <x:c r="F245" s="2"/>
      <x:c r="G245" s="2"/>
    </x:row>
    <x:row r="246" ht="23" customHeight="1">
      <x:c r="A246" s="4" t="n">
        <x:v>45536</x:v>
      </x:c>
      <x:c r="B246" s="30" t="n">
        <x:v>10237.192793</x:v>
      </x:c>
      <x:c r="C246" s="30" t="n">
        <x:v>4320.586552</x:v>
      </x:c>
      <x:c r="D246" s="30" t="n">
        <x:v>3943.76805</x:v>
      </x:c>
      <x:c r="E246" s="30" t="n">
        <x:v>1972.838191</x:v>
      </x:c>
      <x:c r="F246" s="2"/>
      <x:c r="G246" s="2"/>
    </x:row>
    <x:row r="247" ht="23" customHeight="1">
      <x:c r="A247" s="4" t="n">
        <x:v>45566</x:v>
      </x:c>
      <x:c r="B247" s="30" t="n">
        <x:v>10678.921134</x:v>
      </x:c>
      <x:c r="C247" s="30" t="n">
        <x:v>4548.71839</x:v>
      </x:c>
      <x:c r="D247" s="30" t="n">
        <x:v>4151.263378</x:v>
      </x:c>
      <x:c r="E247" s="30" t="n">
        <x:v>1978.939366</x:v>
      </x:c>
      <x:c r="F247" s="2"/>
      <x:c r="G247" s="2"/>
    </x:row>
    <x:row r="248" ht="23" customHeight="1">
      <x:c r="A248" s="4" t="n">
        <x:v>45597</x:v>
      </x:c>
      <x:c r="B248" s="30" t="n">
        <x:v>11064.005964</x:v>
      </x:c>
      <x:c r="C248" s="30" t="n">
        <x:v>4796.444767</x:v>
      </x:c>
      <x:c r="D248" s="30" t="n">
        <x:v>4254.044165</x:v>
      </x:c>
      <x:c r="E248" s="30" t="n">
        <x:v>2013.517032</x:v>
      </x:c>
      <x:c r="F248" s="2"/>
      <x:c r="G248" s="2"/>
    </x:row>
    <x:row r="249" ht="23" customHeight="1">
      <x:c r="A249" s="4" t="n">
        <x:v>45627</x:v>
      </x:c>
      <x:c r="B249" s="30" t="n">
        <x:v>11498.928525</x:v>
      </x:c>
      <x:c r="C249" s="30" t="n">
        <x:v>5178.579117</x:v>
      </x:c>
      <x:c r="D249" s="30" t="n">
        <x:v>4441.356097</x:v>
      </x:c>
      <x:c r="E249" s="30" t="n">
        <x:v>1878.993311</x:v>
      </x:c>
      <x:c r="F249" s="2"/>
      <x:c r="G249" s="2"/>
    </x:row>
    <x:row r="250" ht="23" customHeight="1">
      <x:c r="A250" s="4" t="n">
        <x:v>45658</x:v>
      </x:c>
      <x:c r="B250" s="30" t="n">
        <x:v>13605.512563</x:v>
      </x:c>
      <x:c r="C250" s="30" t="n">
        <x:v>6855.336501</x:v>
      </x:c>
      <x:c r="D250" s="30" t="n">
        <x:v>4830.369119</x:v>
      </x:c>
      <x:c r="E250" s="30" t="n">
        <x:v>1919.806943</x:v>
      </x:c>
      <x:c r="F250" s="2"/>
      <x:c r="G250" s="2"/>
    </x:row>
    <x:row r="251" ht="23" customHeight="1">
      <x:c r="A251" s="4" t="n">
        <x:v>45689</x:v>
      </x:c>
      <x:c r="B251" s="30" t="n">
        <x:v>12908.058921</x:v>
      </x:c>
      <x:c r="C251" s="30" t="n">
        <x:v>6269.121595</x:v>
      </x:c>
      <x:c r="D251" s="30" t="n">
        <x:v>4692.326965</x:v>
      </x:c>
      <x:c r="E251" s="30" t="n">
        <x:v>1946.610361</x:v>
      </x:c>
      <x:c r="F251" s="2"/>
      <x:c r="G251" s="2"/>
    </x:row>
    <x:row r="252" ht="23" customHeight="1">
      <x:c r="A252" s="4" t="n">
        <x:v>45717</x:v>
      </x:c>
      <x:c r="B252" s="30" t="n">
        <x:v>11653.169774</x:v>
      </x:c>
      <x:c r="C252" s="30" t="n">
        <x:v>5266.22306</x:v>
      </x:c>
      <x:c r="D252" s="30" t="n">
        <x:v>4403.502136</x:v>
      </x:c>
      <x:c r="E252" s="30" t="n">
        <x:v>1983.444578</x:v>
      </x:c>
      <x:c r="F252" s="2"/>
      <x:c r="G252" s="2"/>
    </x:row>
    <x:row r="253" ht="23" customHeight="1">
      <x:c r="A253" s="4" t="n">
        <x:v>45748</x:v>
      </x:c>
      <x:c r="B253" s="30" t="n">
        <x:v>9822.82491</x:v>
      </x:c>
      <x:c r="C253" s="30" t="n">
        <x:v>3991.322629</x:v>
      </x:c>
      <x:c r="D253" s="30" t="n">
        <x:v>3917.565116</x:v>
      </x:c>
      <x:c r="E253" s="30" t="n">
        <x:v>1913.937165</x:v>
      </x:c>
      <x:c r="F253" s="2"/>
      <x:c r="G253" s="2"/>
    </x:row>
    <x:row r="254" ht="23" customHeight="1">
      <x:c r="A254" s="4" t="n">
        <x:v>45778</x:v>
      </x:c>
      <x:c r="B254" s="30" t="n">
        <x:v>10944.561146</x:v>
      </x:c>
      <x:c r="C254" s="30" t="n">
        <x:v>4887.294621</x:v>
      </x:c>
      <x:c r="D254" s="30" t="n">
        <x:v>4071.122618</x:v>
      </x:c>
      <x:c r="E254" s="30" t="n">
        <x:v>1986.143907</x:v>
      </x:c>
      <x:c r="F254" s="2"/>
      <x:c r="G254" s="2"/>
    </x:row>
    <x:row r="255" ht="23" customHeight="1">
      <x:c r="A255" s="4" t="n">
        <x:v>45809</x:v>
      </x:c>
      <x:c r="B255" s="30" t="n">
        <x:v>12685.14374</x:v>
      </x:c>
      <x:c r="C255" s="30" t="n">
        <x:v>6598.754185</x:v>
      </x:c>
      <x:c r="D255" s="30" t="n">
        <x:v>4157.164483</x:v>
      </x:c>
      <x:c r="E255" s="30" t="n">
        <x:v>1929.225072</x:v>
      </x:c>
      <x:c r="F255" s="2"/>
      <x:c r="G255" s="2"/>
    </x:row>
    <x:row r="256" ht="23" customHeight="1">
      <x:c r="A256" s="4" t="n">
        <x:v>45839</x:v>
      </x:c>
      <x:c r="B256" s="30" t="n">
        <x:v>12901.61855</x:v>
      </x:c>
      <x:c r="C256" s="30" t="n">
        <x:v>6564.070558</x:v>
      </x:c>
      <x:c r="D256" s="30" t="n">
        <x:v>4293.969131</x:v>
      </x:c>
      <x:c r="E256" s="30" t="n">
        <x:v>2043.578861</x:v>
      </x:c>
      <x:c r="F256" s="2"/>
      <x:c r="G256" s="2"/>
    </x:row>
    <x:row r="257" ht="23" customHeight="1">
      <x:c r="A257" s="4" t="n">
        <x:v>45870</x:v>
      </x:c>
      <x:c r="B257" s="30" t="n">
        <x:v>11718.756339</x:v>
      </x:c>
      <x:c r="C257" s="30" t="n">
        <x:v>5598.129769</x:v>
      </x:c>
      <x:c r="D257" s="30" t="n">
        <x:v>4122.105814</x:v>
      </x:c>
      <x:c r="E257" s="30" t="n">
        <x:v>1998.520756</x:v>
      </x:c>
      <x:c r="F257" s="2"/>
      <x:c r="G257" s="2"/>
    </x:row>
    <x:row r="258" ht="23" customHeight="1">
      <x:c r="A258" s="4" t="n">
        <x:v>45901</x:v>
      </x:c>
      <x:c r="B258" s="30" t="n">
        <x:v>10631.54053</x:v>
      </x:c>
      <x:c r="C258" s="30" t="n">
        <x:v>4674.102166</x:v>
      </x:c>
      <x:c r="D258" s="30" t="n">
        <x:v>3922.582062</x:v>
      </x:c>
      <x:c r="E258" s="30" t="n">
        <x:v>2034.856302</x:v>
      </x:c>
      <x:c r="F258" s="2"/>
      <x:c r="G258" s="2"/>
    </x:row>
    <x:row r="259" ht="23" customHeight="1">
      <x:c r="A259" s="4" t="n">
        <x:v>45931</x:v>
      </x:c>
      <x:c r="B259" s="30" t="n">
        <x:v>10591.335541</x:v>
      </x:c>
      <x:c r="C259" s="30" t="n">
        <x:v>4469.04875</x:v>
      </x:c>
      <x:c r="D259" s="30" t="n">
        <x:v>4046.719766</x:v>
      </x:c>
      <x:c r="E259" s="30" t="n">
        <x:v>2075.567025</x:v>
      </x:c>
      <x:c r="F259" s="2"/>
      <x:c r="G259" s="2"/>
    </x:row>
    <x:row r="260" ht="23" customHeight="1">
      <x:c r="A260" s="4" t="n">
        <x:v>45962</x:v>
      </x:c>
      <x:c r="B260" s="30" t="n">
        <x:v>10711.334192</x:v>
      </x:c>
      <x:c r="C260" s="30" t="n">
        <x:v>4656.511036</x:v>
      </x:c>
      <x:c r="D260" s="30" t="n">
        <x:v>4027.227775</x:v>
      </x:c>
      <x:c r="E260" s="30" t="n">
        <x:v>2027.595381</x:v>
      </x:c>
      <x:c r="F260" s="2"/>
      <x:c r="G260" s="2"/>
    </x:row>
    <x:row r="261" ht="23" customHeight="1">
      <x:c r="A261" s="4" t="n">
        <x:v>45992</x:v>
      </x:c>
      <x:c r="B261" s="30" t="n">
        <x:v>13077.047231</x:v>
      </x:c>
      <x:c r="C261" s="30" t="n">
        <x:v>6562.09712</x:v>
      </x:c>
      <x:c r="D261" s="30" t="n">
        <x:v>4537.296748</x:v>
      </x:c>
      <x:c r="E261" s="30" t="n">
        <x:v>1977.653363</x:v>
      </x:c>
      <x:c r="F261" s="2"/>
      <x:c r="G261" s="2"/>
    </x:row>
    <x:row r="262" ht="23" customHeight="1">
      <x:c r="A262" s="4" t="n">
        <x:v>46023</x:v>
      </x:c>
      <x:c r="B262" s="30" t="n">
        <x:v>13145.374526</x:v>
      </x:c>
      <x:c r="C262" s="30" t="n">
        <x:v>6497.141379</x:v>
      </x:c>
      <x:c r="D262" s="30" t="n">
        <x:v>4635.405535</x:v>
      </x:c>
      <x:c r="E262" s="30" t="n">
        <x:v>2012.827612</x:v>
      </x:c>
      <x:c r="F262" s="2"/>
      <x:c r="G262" s="2"/>
    </x:row>
    <x:row r="263" ht="23" customHeight="1">
      <x:c r="A263" s="4" t="n">
        <x:v>46054</x:v>
      </x:c>
      <x:c r="B263" s="30" t="n">
        <x:v>11780.616317</x:v>
      </x:c>
      <x:c r="C263" s="30" t="n">
        <x:v>5561.497525</x:v>
      </x:c>
      <x:c r="D263" s="30" t="n">
        <x:v>4284.903268</x:v>
      </x:c>
      <x:c r="E263" s="30" t="n">
        <x:v>1934.215524</x:v>
      </x:c>
      <x:c r="F263" s="2"/>
      <x:c r="G263" s="2"/>
    </x:row>
    <x:row r="264" ht="23" customHeight="1">
      <x:c r="A264" s="4" t="n">
        <x:v>46082</x:v>
      </x:c>
      <x:c r="B264" s="30" t="n">
        <x:v>11945.035338</x:v>
      </x:c>
      <x:c r="C264" s="30" t="n">
        <x:v>5323.151414</x:v>
      </x:c>
      <x:c r="D264" s="30" t="n">
        <x:v>4382.336102</x:v>
      </x:c>
      <x:c r="E264" s="30" t="n">
        <x:v>2239.547822</x:v>
      </x:c>
      <x:c r="F264" s="2"/>
      <x:c r="G264" s="2"/>
    </x:row>
    <x:row r="265" ht="23" customHeight="1">
      <x:c r="A265" s="4" t="n">
        <x:v>46113</x:v>
      </x:c>
      <x:c r="B265" s="30" t="n">
        <x:v>10579.342832</x:v>
      </x:c>
      <x:c r="C265" s="30" t="n">
        <x:v>4463.562615</x:v>
      </x:c>
      <x:c r="D265" s="30" t="n">
        <x:v>3969.723032</x:v>
      </x:c>
      <x:c r="E265" s="30" t="n">
        <x:v>2146.057185</x:v>
      </x:c>
      <x:c r="F265" s="2"/>
      <x:c r="G265" s="2"/>
    </x:row>
    <x:row r="266" ht="23" customHeight="1">
      <x:c r="A266" s="4" t="n">
        <x:v>46143</x:v>
      </x:c>
      <x:c r="B266" s="30" t="n">
        <x:v>12151.531183</x:v>
      </x:c>
      <x:c r="C266" s="30" t="n">
        <x:v>5825.605102</x:v>
      </x:c>
      <x:c r="D266" s="30" t="n">
        <x:v>4075.780308</x:v>
      </x:c>
      <x:c r="E266" s="30" t="n">
        <x:v>2250.145773</x:v>
      </x:c>
      <x:c r="F266" s="2"/>
      <x:c r="G266" s="2"/>
    </x:row>
    <x:row r="267" ht="23" customHeight="1">
      <x:c r="A267" s="4" t="n">
        <x:v>46174</x:v>
      </x:c>
      <x:c r="B267" s="30" t="n">
        <x:v>12641.171137</x:v>
      </x:c>
      <x:c r="C267" s="30" t="n">
        <x:v>6339.790452</x:v>
      </x:c>
      <x:c r="D267" s="30" t="n">
        <x:v>4114.308993</x:v>
      </x:c>
      <x:c r="E267" s="30" t="n">
        <x:v>2187.071692</x:v>
      </x:c>
      <x:c r="F267" s="2"/>
      <x:c r="G267" s="2"/>
    </x:row>
    <x:row r="268" ht="23" customHeight="1">
      <x:c r="A268" s="4" t="n">
        <x:v>46204</x:v>
      </x:c>
      <x:c r="B268" s="30" t="n">
        <x:v>13063.214629</x:v>
      </x:c>
      <x:c r="C268" s="30" t="n">
        <x:v>6643.194389</x:v>
      </x:c>
      <x:c r="D268" s="30" t="n">
        <x:v>4211.154804</x:v>
      </x:c>
      <x:c r="E268" s="30" t="n">
        <x:v>2208.865436</x:v>
      </x:c>
      <x:c r="F268" s="2"/>
      <x:c r="G268" s="2"/>
    </x:row>
    <x:row r="269" ht="23" customHeight="1">
      <x:c r="A269" s="4" t="n">
        <x:v>46235</x:v>
      </x:c>
      <x:c r="B269" s="30" t="n">
        <x:v>12432.027715</x:v>
      </x:c>
      <x:c r="C269" s="30" t="n">
        <x:v>6093.065132</x:v>
      </x:c>
      <x:c r="D269" s="30" t="n">
        <x:v>4100.504724</x:v>
      </x:c>
      <x:c r="E269" s="30" t="n">
        <x:v>2238.457859</x:v>
      </x:c>
      <x:c r="F269" s="2"/>
      <x:c r="G269" s="2"/>
    </x:row>
  </x:sheetData>
  <x:pageMargins left="0.7" right="0.7" top="0.75" bottom="0.75" header="0.3" footer="0.3"/>
  <x:tableParts count="1">
    <x:tablePart xmlns:r="http://schemas.openxmlformats.org/officeDocument/2006/relationships" r:id="Re6022b696ea040fe"/>
  </x:tableParts>
</x:worksheet>
</file>

<file path=xl/worksheets/sheet3.xml><?xml version="1.0" encoding="utf-8"?>
<x:worksheet xmlns:x="http://schemas.openxmlformats.org/spreadsheetml/2006/main">
  <x:sheetPr>
    <x:tabColor rgb="FFB86838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42" hidden="0" customWidth="1"/>
    <x:col min="2" max="2" width="19" hidden="0" customWidth="1"/>
    <x:col min="3" max="3" width="16" hidden="0" customWidth="1"/>
    <x:col min="4" max="4" width="12" hidden="0" customWidth="1"/>
    <x:col min="5" max="5" width="27" hidden="0" customWidth="1"/>
    <x:col min="6" max="6" width="45" hidden="0" customWidth="1"/>
    <x:col min="7" max="7" width="28" hidden="0" customWidth="1"/>
  </x:cols>
  <x:sheetData>
    <x:row r="1" ht="25" customHeight="1">
      <x:c r="A1" s="32"/>
      <x:c r="B1" s="32"/>
      <x:c r="C1" s="32"/>
      <x:c r="D1" s="32"/>
      <x:c r="E1" s="32"/>
      <x:c r="F1" s="32"/>
      <x:c r="G1" s="32"/>
    </x:row>
    <x:row r="2" ht="35" customHeight="1">
      <x:c r="A2" s="33" t="str">
        <x:v>IA y electricidad: evidencia internacional y lectura argentina</x:v>
      </x:c>
      <x:c r="B2" s="32"/>
      <x:c r="C2" s="32"/>
      <x:c r="D2" s="32"/>
      <x:c r="E2" s="32"/>
      <x:c r="F2" s="32"/>
      <x:c r="G2" s="32"/>
    </x:row>
    <x:row r="3" ht="32" customHeight="1">
      <x:c r="A3" s="32" t="str">
        <x:v>Revisión: 2026-09-24. El contexto internacional no representa la información disponible en cada mes histórico.</x:v>
      </x:c>
      <x:c r="B3" s="32"/>
      <x:c r="C3" s="32"/>
      <x:c r="D3" s="32"/>
      <x:c r="E3" s="32"/>
      <x:c r="F3" s="32"/>
      <x:c r="G3" s="32"/>
    </x:row>
    <x:row r="4" ht="50" customHeight="1">
      <x:c r="A4" s="32" t="str">
        <x:v>Hay evidencia internacional de crecimiento eléctrico en centros de datos orientados a IA. Las series argentinas incorporadas no permiten medir qué parte del consumo sectorial corresponde a IA; no identificable no significa cero.</x:v>
      </x:c>
      <x:c r="B4" s="32"/>
      <x:c r="C4" s="32"/>
      <x:c r="D4" s="32"/>
      <x:c r="E4" s="32"/>
      <x:c r="F4" s="32"/>
      <x:c r="G4" s="32"/>
    </x:row>
    <x:row r="5" ht="25" customHeight="1">
      <x:c r="A5" s="32"/>
      <x:c r="B5" s="32"/>
      <x:c r="C5" s="32"/>
      <x:c r="D5" s="32"/>
      <x:c r="E5" s="32"/>
      <x:c r="F5" s="32"/>
      <x:c r="G5" s="32"/>
    </x:row>
    <x:row r="6" ht="25" customHeight="1">
      <x:c r="A6" s="32" t="str">
        <x:v>Mes local (vinculado a Informe)</x:v>
      </x:c>
      <x:c r="B6" s="34" t="n">
        <x:f>'Informe'!B4</x:f>
        <x:v>46235</x:v>
      </x:c>
      <x:c r="C6" s="32"/>
      <x:c r="D6" s="32"/>
      <x:c r="E6" s="32"/>
      <x:c r="F6" s="32"/>
      <x:c r="G6" s="32"/>
    </x:row>
    <x:row r="7" ht="38" customHeight="1">
      <x:c r="A7" s="8" t="str">
        <x:v>Sector argentino</x:v>
      </x:c>
      <x:c r="B7" s="8" t="str">
        <x:v>Interanual %</x:v>
      </x:c>
      <x:c r="C7" s="8" t="str">
        <x:v>Atribución IA</x:v>
      </x:c>
      <x:c r="D7" s="32"/>
      <x:c r="E7" s="32"/>
      <x:c r="F7" s="32"/>
      <x:c r="G7" s="32"/>
    </x:row>
    <x:row r="8" ht="25" customHeight="1">
      <x:c r="A8" s="32" t="str">
        <x:v>Comercio e industria</x:v>
      </x:c>
      <x:c r="B8" s="35" t="n">
        <x:f>'Informe'!E11</x:f>
        <x:v>-0.00524030458573745</x:v>
      </x:c>
      <x:c r="C8" s="32" t="str">
        <x:v>No identificable</x:v>
      </x:c>
      <x:c r="D8" s="32" t="str">
        <x:v>Variaciones sectoriales no son efectos de IA. No identificable no significa 0 GWh.</x:v>
      </x:c>
      <x:c r="E8" s="32"/>
      <x:c r="F8" s="32"/>
      <x:c r="G8" s="32"/>
    </x:row>
    <x:row r="9" ht="25" customHeight="1">
      <x:c r="A9" s="32" t="str">
        <x:v>Grandes usuarios</x:v>
      </x:c>
      <x:c r="B9" s="35" t="n">
        <x:f>'Informe'!E12</x:f>
        <x:v>0.12005734855625398</x:v>
      </x:c>
      <x:c r="C9" s="32" t="str">
        <x:v>No identificable</x:v>
      </x:c>
      <x:c r="D9" s="32"/>
      <x:c r="E9" s="32"/>
      <x:c r="F9" s="32"/>
      <x:c r="G9" s="32"/>
    </x:row>
    <x:row r="10" ht="25" customHeight="1">
      <x:c r="A10" s="32"/>
      <x:c r="B10" s="32"/>
      <x:c r="C10" s="32"/>
      <x:c r="D10" s="32"/>
      <x:c r="E10" s="32"/>
      <x:c r="F10" s="32"/>
      <x:c r="G10" s="32"/>
    </x:row>
    <x:row r="11" ht="38" customHeight="1">
      <x:c r="A11" s="8" t="str">
        <x:v>Indicador</x:v>
      </x:c>
      <x:c r="B11" s="8" t="str">
        <x:v>Ámbito / período</x:v>
      </x:c>
      <x:c r="C11" s="8" t="str">
        <x:v>Valor</x:v>
      </x:c>
      <x:c r="D11" s="8" t="str">
        <x:v>Unidad</x:v>
      </x:c>
      <x:c r="E11" s="8" t="str">
        <x:v>Tipo de evidencia</x:v>
      </x:c>
      <x:c r="F11" s="8" t="str">
        <x:v>Límite de interpretación</x:v>
      </x:c>
      <x:c r="G11" s="8" t="str">
        <x:v>Fuente ID</x:v>
      </x:c>
    </x:row>
    <x:row r="12" ht="80" customHeight="1">
      <x:c r="A12" s="32" t="str">
        <x:v>Electricidad de todos los centros de
datos</x:v>
      </x:c>
      <x:c r="B12" s="32" t="str">
        <x:v>Mundo
2025</x:v>
      </x:c>
      <x:c r="C12" s="37" t="n">
        <x:v>485</x:v>
      </x:c>
      <x:c r="D12" s="32" t="str">
        <x:v>TWh</x:v>
      </x:c>
      <x:c r="E12" s="32" t="str">
        <x:v>Estimación histórica</x:v>
      </x:c>
      <x:c r="F12" s="32" t="str">
        <x:v>Incluye usos distintos de IA; no es una
medición argentina.</x:v>
      </x:c>
      <x:c r="G12" s="32" t="str">
        <x:v>IEA_AI_2026</x:v>
      </x:c>
    </x:row>
    <x:row r="13" ht="80" customHeight="1">
      <x:c r="A13" s="32" t="str">
        <x:v>Crecimiento eléctrico de todos los
centros de datos</x:v>
      </x:c>
      <x:c r="B13" s="32" t="str">
        <x:v>Mundo
2025 vs 2024</x:v>
      </x:c>
      <x:c r="C13" s="37" t="n">
        <x:v>17</x:v>
      </x:c>
      <x:c r="D13" s="32" t="str">
        <x:v>%</x:v>
      </x:c>
      <x:c r="E13" s="32" t="str">
        <x:v>Estimación histórica</x:v>
      </x:c>
      <x:c r="F13" s="32" t="str">
        <x:v>No equivale al crecimiento atribuible
exclusivamente a IA.</x:v>
      </x:c>
      <x:c r="G13" s="32" t="str">
        <x:v>IEA_AI_2026</x:v>
      </x:c>
    </x:row>
    <x:row r="14" ht="80" customHeight="1">
      <x:c r="A14" s="32" t="str">
        <x:v>Crecimiento eléctrico de centros de
datos orientados a IA</x:v>
      </x:c>
      <x:c r="B14" s="32" t="str">
        <x:v>Mundo
2025 vs 2024</x:v>
      </x:c>
      <x:c r="C14" s="37" t="n">
        <x:v>50</x:v>
      </x:c>
      <x:c r="D14" s="32" t="str">
        <x:v>%</x:v>
      </x:c>
      <x:c r="E14" s="32" t="str">
        <x:v>Estimación histórica</x:v>
      </x:c>
      <x:c r="F14" s="32" t="str">
        <x:v>Tasa de crecimiento, no participación de IA
en los 485 TWh.</x:v>
      </x:c>
      <x:c r="G14" s="32" t="str">
        <x:v>IEA_AI_2026</x:v>
      </x:c>
    </x:row>
    <x:row r="15" ht="80" customHeight="1">
      <x:c r="A15" s="32" t="str">
        <x:v>Incremento eléctrico de todos los
centros de datos</x:v>
      </x:c>
      <x:c r="B15" s="32" t="str">
        <x:v>Mundo
2025 vs 2024</x:v>
      </x:c>
      <x:c r="C15" s="37" t="n">
        <x:v>70</x:v>
      </x:c>
      <x:c r="D15" s="32" t="str">
        <x:v>TWh</x:v>
      </x:c>
      <x:c r="E15" s="32" t="str">
        <x:v>Estimación histórica
aproximada</x:v>
      </x:c>
      <x:c r="F15" s="32" t="str">
        <x:v>Todos los centros de datos; no solo IA.</x:v>
      </x:c>
      <x:c r="G15" s="32" t="str">
        <x:v>IEA_GER_2026</x:v>
      </x:c>
    </x:row>
    <x:row r="16" ht="80" customHeight="1">
      <x:c r="A16" s="32" t="str">
        <x:v>Incremento de la demanda eléctrica
total</x:v>
      </x:c>
      <x:c r="B16" s="32" t="str">
        <x:v>Mundo
2025 vs 2024</x:v>
      </x:c>
      <x:c r="C16" s="37" t="n">
        <x:v>800</x:v>
      </x:c>
      <x:c r="D16" s="32" t="str">
        <x:v>TWh</x:v>
      </x:c>
      <x:c r="E16" s="32" t="str">
        <x:v>Estimación histórica
aproximada</x:v>
      </x:c>
      <x:c r="F16" s="32" t="str">
        <x:v>Denominador mundial; no comparable
directamente con un mes argentino.</x:v>
      </x:c>
      <x:c r="G16" s="32" t="str">
        <x:v>IEA_GER_2026</x:v>
      </x:c>
    </x:row>
    <x:row r="17" ht="80" customHeight="1">
      <x:c r="A17" s="38" t="str">
        <x:v>Electricidad de todos los centros de
datos</x:v>
      </x:c>
      <x:c r="B17" s="38" t="str">
        <x:v>Mundo
2030</x:v>
      </x:c>
      <x:c r="C17" s="39" t="n">
        <x:v>950</x:v>
      </x:c>
      <x:c r="D17" s="38" t="str">
        <x:v>TWh</x:v>
      </x:c>
      <x:c r="E17" s="38" t="str">
        <x:v>Proyección, no observado</x:v>
      </x:c>
      <x:c r="F17" s="38" t="str">
        <x:v>Escenario de la AIE; no dato realizado ni
pronóstico propio.</x:v>
      </x:c>
      <x:c r="G17" s="38" t="str">
        <x:v>IEA_AI_2026</x:v>
      </x:c>
    </x:row>
    <x:row r="18" ht="80" customHeight="1">
      <x:c r="A18" s="32" t="str">
        <x:v>Carta de intención OpenAI / Sur Energy
para explorar un proyecto</x:v>
      </x:c>
      <x:c r="B18" s="32" t="str">
        <x:v>Argentina
2025-10-14</x:v>
      </x:c>
      <x:c r="C18" s="37"/>
      <x:c r="D18" s="32" t="str">
        <x:v>Sin GWh informados</x:v>
      </x:c>
      <x:c r="E18" s="32" t="str">
        <x:v>Anuncio empresarial</x:v>
      </x:c>
      <x:c r="F18" s="32" t="str">
        <x:v>Esta fuente acredita una intención; no
aporta consumo medido ni acredita puesta en
servicio.</x:v>
      </x:c>
      <x:c r="G18" s="32" t="str">
        <x:v>OPENAI_AR_2025</x:v>
      </x:c>
    </x:row>
    <x:row r="19" ht="25" customHeight="1">
      <x:c r="A19" s="32"/>
      <x:c r="B19" s="32"/>
      <x:c r="C19" s="32"/>
      <x:c r="D19" s="32"/>
      <x:c r="E19" s="32"/>
      <x:c r="F19" s="32"/>
      <x:c r="G19" s="32"/>
    </x:row>
    <x:row r="20" ht="30" customHeight="1">
      <x:c r="A20" s="32" t="str">
        <x:v>Aporte aproximado de todos los centros de datos al aumento eléctrico mundial de 2025</x:v>
      </x:c>
      <x:c r="B20" s="32"/>
      <x:c r="C20" s="32"/>
      <x:c r="D20" s="32"/>
      <x:c r="E20" s="32"/>
      <x:c r="F20" s="32"/>
      <x:c r="G20" s="32"/>
    </x:row>
    <x:row r="21" ht="25" customHeight="1">
      <x:c r="A21" s="32" t="str">
        <x:v>Incremento centros de datos (TWh)</x:v>
      </x:c>
      <x:c r="B21" s="32" t="n">
        <x:f>C15</x:f>
        <x:v>70</x:v>
      </x:c>
      <x:c r="C21" s="32"/>
      <x:c r="D21" s="32" t="str">
        <x:v>Cálculo propio con estimaciones redondeadas de AIE: 70 / 800. No mide el aporte exclusivo de IA ni la participación en el consumo total.</x:v>
      </x:c>
      <x:c r="E21" s="32"/>
      <x:c r="F21" s="32"/>
      <x:c r="G21" s="32"/>
    </x:row>
    <x:row r="22" ht="25" customHeight="1">
      <x:c r="A22" s="32" t="str">
        <x:v>Incremento mundial total (TWh)</x:v>
      </x:c>
      <x:c r="B22" s="32" t="n">
        <x:f>C16</x:f>
        <x:v>800</x:v>
      </x:c>
      <x:c r="C22" s="32"/>
      <x:c r="D22" s="32"/>
      <x:c r="E22" s="32"/>
      <x:c r="F22" s="32"/>
      <x:c r="G22" s="32"/>
    </x:row>
    <x:row r="23" ht="25" customHeight="1">
      <x:c r="A23" s="32" t="str">
        <x:v>Aporte al incremento mundial (%)</x:v>
      </x:c>
      <x:c r="B23" s="40" t="n">
        <x:f>B21/B22</x:f>
        <x:v>0.0875</x:v>
      </x:c>
      <x:c r="C23" s="32"/>
      <x:c r="D23" s="32"/>
      <x:c r="E23" s="32"/>
      <x:c r="F23" s="32"/>
      <x:c r="G23" s="32"/>
    </x:row>
    <x:row r="24" ht="25" customHeight="1">
      <x:c r="A24" s="32"/>
      <x:c r="B24" s="32"/>
      <x:c r="C24" s="32"/>
      <x:c r="D24" s="32"/>
      <x:c r="E24" s="32"/>
      <x:c r="F24" s="32"/>
      <x:c r="G24" s="32"/>
    </x:row>
    <x:row r="25" ht="65" customHeight="1">
      <x:c r="A25" s="32" t="str">
        <x:v>Centros de datos no equivale a industria ni todo centro de datos se dedica a IA. El cómputo contratado por una empresa argentina puede ejecutarse fuera del país. Adoptar IA tampoco implica necesariamente mayor consumo neto de la fábrica: deben medirse tanto el cómputo como los cambios de eficiencia y producción.</x:v>
      </x:c>
      <x:c r="B25" s="32"/>
      <x:c r="C25" s="32"/>
      <x:c r="D25" s="32"/>
      <x:c r="E25" s="32"/>
      <x:c r="F25" s="32"/>
      <x:c r="G25" s="32"/>
    </x:row>
    <x:row r="26" ht="70" customHeight="1">
      <x:c r="A26" s="32" t="str">
        <x:v>Para estimar una relación local hacen falta consumos mensuales por establecimiento, ubicación del cómputo, fecha de adopción de IA y proporción de carga dedicada a IA. Comparar establecimientos semejantes antes y después, controlando producción, clima, calendario y tarifas; verificar tendencias previas antes de interpretar causalmente.</x:v>
      </x:c>
      <x:c r="B26" s="32"/>
      <x:c r="C26" s="32"/>
      <x:c r="D26" s="32"/>
      <x:c r="E26" s="32"/>
      <x:c r="F26" s="32"/>
      <x:c r="G26" s="32"/>
    </x:row>
    <x:row r="27" ht="25" customHeight="1">
      <x:c r="A27" s="32"/>
      <x:c r="B27" s="32"/>
      <x:c r="C27" s="32"/>
      <x:c r="D27" s="32"/>
      <x:c r="E27" s="32"/>
      <x:c r="F27" s="32"/>
      <x:c r="G27" s="32"/>
    </x:row>
    <x:row r="28" ht="30" customHeight="1">
      <x:c r="A28" s="32" t="str">
        <x:v>Fuentes de los indicadores (la fecha de revisión no es la del dato)</x:v>
      </x:c>
      <x:c r="B28" s="32"/>
      <x:c r="C28" s="32"/>
      <x:c r="D28" s="32"/>
      <x:c r="E28" s="32"/>
      <x:c r="F28" s="32"/>
      <x:c r="G28" s="32"/>
    </x:row>
    <x:row r="29" ht="30" customHeight="1">
      <x:c r="A29" s="32" t="str">
        <x:v>IEA_AI_2026: AIE / IEA. Key Questions on Energy and AI (2026)</x:v>
      </x:c>
      <x:c r="B29" s="32"/>
      <x:c r="C29" s="32"/>
      <x:c r="D29" s="32"/>
      <x:c r="E29" s="32"/>
      <x:c r="F29" s="32"/>
      <x:c r="G29" s="32"/>
    </x:row>
    <x:row r="30" ht="35" customHeight="1">
      <x:c r="A30" s="32" t="str">
        <x:v>https://www.iea.org/reports/key-questions-on-energy-and-ai/executive-summary</x:v>
      </x:c>
      <x:c r="B30" s="32"/>
      <x:c r="C30" s="32"/>
      <x:c r="D30" s="32"/>
      <x:c r="E30" s="32"/>
      <x:c r="F30" s="32"/>
      <x:c r="G30" s="32"/>
    </x:row>
    <x:row r="31" ht="30" customHeight="1">
      <x:c r="A31" s="32" t="str">
        <x:v>IEA_GER_2026: AIE / IEA. Global Energy Review 2026 — Electricity demand</x:v>
      </x:c>
      <x:c r="B31" s="32"/>
      <x:c r="C31" s="32"/>
      <x:c r="D31" s="32"/>
      <x:c r="E31" s="32"/>
      <x:c r="F31" s="32"/>
      <x:c r="G31" s="32"/>
    </x:row>
    <x:row r="32" ht="35" customHeight="1">
      <x:c r="A32" s="32" t="str">
        <x:v>https://www.iea.org/reports/global-energy-review-2026/electricity-demand</x:v>
      </x:c>
      <x:c r="B32" s="32"/>
      <x:c r="C32" s="32"/>
      <x:c r="D32" s="32"/>
      <x:c r="E32" s="32"/>
      <x:c r="F32" s="32"/>
      <x:c r="G32" s="32"/>
    </x:row>
    <x:row r="33" ht="30" customHeight="1">
      <x:c r="A33" s="32" t="str">
        <x:v>OPENAI_AR_2025: OpenAI. Argentina’s AI opportunity — 14 octubre 2025</x:v>
      </x:c>
      <x:c r="B33" s="32"/>
      <x:c r="C33" s="32"/>
      <x:c r="D33" s="32"/>
      <x:c r="E33" s="32"/>
      <x:c r="F33" s="32"/>
      <x:c r="G33" s="32"/>
    </x:row>
    <x:row r="34" ht="35" customHeight="1">
      <x:c r="A34" s="32" t="str">
        <x:v>https://openai.com/global-affairs/argentinas-ai-opportunity/</x:v>
      </x:c>
      <x:c r="B34" s="32"/>
      <x:c r="C34" s="32"/>
      <x:c r="D34" s="32"/>
      <x:c r="E34" s="32"/>
      <x:c r="F34" s="32"/>
      <x:c r="G34" s="32"/>
    </x:row>
    <x:row r="35" ht="25" customHeight="1">
      <x:c r="A35" s="32"/>
      <x:c r="B35" s="32"/>
      <x:c r="C35" s="32"/>
      <x:c r="D35" s="32"/>
      <x:c r="E35" s="32"/>
      <x:c r="F35" s="32"/>
      <x:c r="G35" s="32"/>
    </x:row>
    <x:row r="36" ht="32" customHeight="1">
      <x:c r="A36" s="32" t="str">
        <x:v>Unidades: 1 TWh = 1.000 GWh. La tabla combina ámbitos y períodos distintos: sus filas no se suman.</x:v>
      </x:c>
      <x:c r="B36" s="32"/>
      <x:c r="C36" s="32"/>
      <x:c r="D36" s="32"/>
      <x:c r="E36" s="32"/>
      <x:c r="F36" s="32"/>
      <x:c r="G36" s="32"/>
    </x:row>
    <x:row r="37" ht="25" customHeight="1">
      <x:c r="A37" s="32"/>
      <x:c r="B37" s="32"/>
      <x:c r="C37" s="32"/>
      <x:c r="D37" s="32"/>
      <x:c r="E37" s="32"/>
      <x:c r="F37" s="32"/>
      <x:c r="G37" s="32"/>
    </x:row>
    <x:row r="38" ht="25" customHeight="1">
      <x:c r="A38" s="32"/>
      <x:c r="B38" s="32"/>
      <x:c r="C38" s="32"/>
      <x:c r="D38" s="32"/>
      <x:c r="E38" s="32"/>
      <x:c r="F38" s="32"/>
      <x:c r="G38" s="32"/>
    </x:row>
  </x:sheetData>
  <x:mergeCells>
    <x:mergeCell ref="A2:G2"/>
    <x:mergeCell ref="A3:G3"/>
    <x:mergeCell ref="A4:G4"/>
    <x:mergeCell ref="D8:G9"/>
    <x:mergeCell ref="A20:G20"/>
    <x:mergeCell ref="D21:G23"/>
    <x:mergeCell ref="A25:G25"/>
    <x:mergeCell ref="A26:G26"/>
    <x:mergeCell ref="A28:G28"/>
    <x:mergeCell ref="A29:G29"/>
    <x:mergeCell ref="A30:G30"/>
    <x:mergeCell ref="A31:G31"/>
    <x:mergeCell ref="A32:G32"/>
    <x:mergeCell ref="A33:G33"/>
    <x:mergeCell ref="A34:G34"/>
    <x:mergeCell ref="A36:G3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5E4B"/>
  </x:sheetPr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18" hidden="0" customWidth="1"/>
    <x:col min="9" max="9" width="3" hidden="0" customWidth="1"/>
    <x:col min="10" max="10" width="6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Concentración del crecimiento eléctrico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Mes vinculado a Informe</x:v>
      </x:c>
      <x:c r="B4" s="4" t="n">
        <x:f>'Informe'!B4</x:f>
        <x:v>46235</x:v>
      </x:c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 t="str">
        <x:v>Demanda nacional. Mes y acumulado enero al mes seleccionado. Fuente original en Datos.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42" customHeight="1">
      <x:c r="A7" s="60" t="str">
        <x:v>Sector</x:v>
      </x:c>
      <x:c r="B7" s="60" t="str">
        <x:v>Cambio mes GWh</x:v>
      </x:c>
      <x:c r="C7" s="60" t="str">
        <x:v>% aumento mes</x:v>
      </x:c>
      <x:c r="D7" s="60" t="str">
        <x:v>Aporte mes pp</x:v>
      </x:c>
      <x:c r="E7" s="60" t="str">
        <x:v>Cambio YTD GWh</x:v>
      </x:c>
      <x:c r="F7" s="60" t="str">
        <x:v>% aumento YTD</x:v>
      </x:c>
      <x:c r="G7" s="60" t="str">
        <x:v>Aporte YTD pp</x:v>
      </x:c>
      <x:c r="H7" s="2"/>
      <x:c r="I7" s="2"/>
      <x:c r="J7" s="2"/>
    </x:row>
    <x:row r="8" ht="24" customHeight="1">
      <x:c r="A8" s="2" t="str">
        <x:f>'Informe'!A10</x:f>
        <x:v>Residencial</x:v>
      </x:c>
      <x:c r="B8" s="10" t="n">
        <x:f>'Informe'!D10</x:f>
        <x:v>494.9353629999996</x:v>
      </x:c>
      <x:c r="C8" s="11" t="n">
        <x:f>IF(ISNUMBER('Informe'!D13),IF('Informe'!D13&gt;0,B8/'Informe'!D13,"n.a."),"n.a.")</x:f>
        <x:v>0.6938948900144833</x:v>
      </x:c>
      <x:c r="D8" s="13" t="n">
        <x:f>'Informe'!F10</x:f>
        <x:v>4.223446146353052</x:v>
      </x:c>
      <x:c r="E8" s="10" t="n">
        <x:f>'Informe'!D19</x:f>
        <x:v>716.755090000006</x:v>
      </x:c>
      <x:c r="F8" s="11" t="n">
        <x:f>IF(ISNUMBER('Informe'!D22),IF('Informe'!D22&gt;0,E8/'Informe'!D22,"n.a."),"n.a.")</x:f>
        <x:v>0.47826150769721243</x:v>
      </x:c>
      <x:c r="G8" s="13" t="n">
        <x:f>'Informe'!F19</x:f>
        <x:v>0.7447607303382221</x:v>
      </x:c>
      <x:c r="H8" s="2"/>
      <x:c r="I8" s="2"/>
      <x:c r="J8" s="2"/>
    </x:row>
    <x:row r="9" ht="24" customHeight="1">
      <x:c r="A9" s="2" t="str">
        <x:f>'Informe'!A11</x:f>
        <x:v>Comercio e industria</x:v>
      </x:c>
      <x:c r="B9" s="10" t="n">
        <x:f>'Informe'!D11</x:f>
        <x:v>-21.601089999999203</x:v>
      </x:c>
      <x:c r="C9" s="11" t="n">
        <x:f>IF(ISNUMBER('Informe'!D13),IF('Informe'!D13&gt;0,B9/'Informe'!D13,"n.a."),"n.a.")</x:f>
        <x:v>-0.030284532264756386</x:v>
      </x:c>
      <x:c r="D9" s="13" t="n">
        <x:f>'Informe'!F11</x:f>
        <x:v>-0.18432920162450017</x:v>
      </x:c>
      <x:c r="E9" s="10" t="n">
        <x:f>'Informe'!D20</x:f>
        <x:v>-714.0086160000064</x:v>
      </x:c>
      <x:c r="F9" s="11" t="n">
        <x:f>IF(ISNUMBER('Informe'!D22),IF('Informe'!D22&gt;0,E9/'Informe'!D22,"n.a."),"n.a.")</x:f>
        <x:v>-0.47642889734757266</x:v>
      </x:c>
      <x:c r="G9" s="13" t="n">
        <x:f>'Informe'!F20</x:f>
        <x:v>-0.7419069438627126</x:v>
      </x:c>
      <x:c r="H9" s="2"/>
      <x:c r="I9" s="2"/>
      <x:c r="J9" s="2"/>
    </x:row>
    <x:row r="10" ht="24" customHeight="1">
      <x:c r="A10" s="2" t="str">
        <x:f>'Informe'!A12</x:f>
        <x:v>Grandes usuarios</x:v>
      </x:c>
      <x:c r="B10" s="10" t="n">
        <x:f>'Informe'!D12</x:f>
        <x:v>239.9371030000002</x:v>
      </x:c>
      <x:c r="C10" s="11" t="n">
        <x:f>IF(ISNUMBER('Informe'!D13),IF('Informe'!D13&gt;0,B10/'Informe'!D13,"n.a."),"n.a.")</x:f>
        <x:v>0.33638964225027307</x:v>
      </x:c>
      <x:c r="D10" s="13" t="n">
        <x:f>'Informe'!F12</x:f>
        <x:v>2.047462171403718</x:v>
      </x:c>
      <x:c r="E10" s="10" t="n">
        <x:f>'Informe'!D21</x:f>
        <x:v>1495.9212600000028</x:v>
      </x:c>
      <x:c r="F10" s="11" t="n">
        <x:f>IF(ISNUMBER('Informe'!D22),IF('Informe'!D22&gt;0,E10/'Informe'!D22,"n.a."),"n.a.")</x:f>
        <x:v>0.9981673896503602</x:v>
      </x:c>
      <x:c r="G10" s="13" t="n">
        <x:f>'Informe'!F21</x:f>
        <x:v>1.5543711173729735</x:v>
      </x:c>
      <x:c r="H10" s="2"/>
      <x:c r="I10" s="2"/>
      <x:c r="J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4" customHeight="1">
      <x:c r="A12" s="2" t="str">
        <x:v>El % del aumento usa el cambio neto como denominador. Puede superar 100%; si el total no crece, n.a.</x:v>
      </x:c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2" t="str">
        <x:v>Grandes demandas: muestra mensual GUMA/GUME/GUDI, distinta de GUMAs + AUTO de Actividades.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4" customHeight="1">
      <x:c r="A15" s="2" t="str">
        <x:v>Cobertura declarada: 98% hasta julio de 2026; 90% en agosto. No se confirmó el motivo.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 t="str">
        <x:v>Disponibilidad por ramas</x:v>
      </x:c>
      <x:c r="B17" s="2" t="str">
        <x:f>IF(COUNTIFS($A$34:$A$81,$B$4)=4,"Disponible","Sin apertura")</x:f>
        <x:v>Disponible</x:v>
      </x:c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42" customHeight="1">
      <x:c r="A20" s="60" t="str">
        <x:v>Componente</x:v>
      </x:c>
      <x:c r="B20" s="60" t="str">
        <x:v>Actual MW</x:v>
      </x:c>
      <x:c r="C20" s="60" t="str">
        <x:v>Anterior MW</x:v>
      </x:c>
      <x:c r="D20" s="60" t="str">
        <x:v>Cambio MW</x:v>
      </x:c>
      <x:c r="E20" s="60" t="str">
        <x:v>Aporte pp</x:v>
      </x:c>
      <x:c r="F20" s="60" t="str">
        <x:v>% aumento neto</x:v>
      </x:c>
      <x:c r="G20" s="60" t="str">
        <x:v>% nivel actual</x:v>
      </x:c>
      <x:c r="H20" s="2"/>
      <x:c r="I20" s="2"/>
      <x:c r="J20" s="2"/>
    </x:row>
    <x:row r="21" ht="24" customHeight="1">
      <x:c r="A21" s="2" t="str">
        <x:v>Alimentación, comercios y servicios</x:v>
      </x:c>
      <x:c r="B21" s="45" t="n">
        <x:f>IF($B$17="Disponible",SUMIFS($C$34:$C$81,$A$34:$A$81,$B$4,$B$34:$B$81,A21),"n.a.")</x:f>
        <x:v>1554</x:v>
      </x:c>
      <x:c r="C21" s="45" t="n">
        <x:f>IF($B$17="Disponible",SUMIFS($D$34:$D$81,$A$34:$A$81,$B$4,$B$34:$B$81,A21),"n.a.")</x:f>
        <x:v>1576</x:v>
      </x:c>
      <x:c r="D21" s="45" t="n">
        <x:f>IF($B$17="Disponible",B21-C21,"n.a.")</x:f>
        <x:v>-22</x:v>
      </x:c>
      <x:c r="E21" s="13" t="n">
        <x:f>IF($B$17="Disponible",D21/$C$25*100,"n.a.")</x:f>
        <x:v>-0.5765199161425576</x:v>
      </x:c>
      <x:c r="F21" s="12" t="n">
        <x:f>IF($B$17="Disponible",IF($D$25&gt;0,D21/$D$25,"n.a."),"n.a.")</x:f>
        <x:v>-0.16793893129770993</x:v>
      </x:c>
      <x:c r="G21" s="12" t="n">
        <x:f>IF($B$17="Disponible",B21/$B$25,"n.a.")</x:f>
        <x:v>0.393716746896377</x:v>
      </x:c>
      <x:c r="H21" s="2"/>
      <x:c r="I21" s="2"/>
      <x:c r="J21" s="2"/>
    </x:row>
    <x:row r="22" ht="24" customHeight="1">
      <x:c r="A22" s="2" t="str">
        <x:v>Industrias sin Aluar</x:v>
      </x:c>
      <x:c r="B22" s="45" t="n">
        <x:f>IF($B$17="Disponible",SUMIFS($C$34:$C$81,$A$34:$A$81,$B$4,$B$34:$B$81,A22),"n.a.")</x:f>
        <x:v>1644</x:v>
      </x:c>
      <x:c r="C22" s="45" t="n">
        <x:f>IF($B$17="Disponible",SUMIFS($D$34:$D$81,$A$34:$A$81,$B$4,$B$34:$B$81,A22),"n.a.")</x:f>
        <x:v>1655</x:v>
      </x:c>
      <x:c r="D22" s="45" t="n">
        <x:f>IF($B$17="Disponible",B22-C22,"n.a.")</x:f>
        <x:v>-11</x:v>
      </x:c>
      <x:c r="E22" s="13" t="n">
        <x:f>IF($B$17="Disponible",D22/$C$25*100,"n.a.")</x:f>
        <x:v>-0.2882599580712788</x:v>
      </x:c>
      <x:c r="F22" s="12" t="n">
        <x:f>IF($B$17="Disponible",IF($D$25&gt;0,D22/$D$25,"n.a."),"n.a.")</x:f>
        <x:v>-0.08396946564885496</x:v>
      </x:c>
      <x:c r="G22" s="12" t="n">
        <x:f>IF($B$17="Disponible",B22/$B$25,"n.a.")</x:f>
        <x:v>0.41651887509500884</x:v>
      </x:c>
      <x:c r="H22" s="2"/>
      <x:c r="I22" s="2"/>
      <x:c r="J22" s="2"/>
    </x:row>
    <x:row r="23" ht="24" customHeight="1">
      <x:c r="A23" s="2" t="str">
        <x:v>Petróleos y minerales</x:v>
      </x:c>
      <x:c r="B23" s="45" t="n">
        <x:f>IF($B$17="Disponible",SUMIFS($C$34:$C$81,$A$34:$A$81,$B$4,$B$34:$B$81,A23),"n.a.")</x:f>
        <x:v>202</x:v>
      </x:c>
      <x:c r="C23" s="45" t="n">
        <x:f>IF($B$17="Disponible",SUMIFS($D$34:$D$81,$A$34:$A$81,$B$4,$B$34:$B$81,A23),"n.a.")</x:f>
        <x:v>209</x:v>
      </x:c>
      <x:c r="D23" s="45" t="n">
        <x:f>IF($B$17="Disponible",B23-C23,"n.a.")</x:f>
        <x:v>-7</x:v>
      </x:c>
      <x:c r="E23" s="13" t="n">
        <x:f>IF($B$17="Disponible",D23/$C$25*100,"n.a.")</x:f>
        <x:v>-0.18343815513626835</x:v>
      </x:c>
      <x:c r="F23" s="12" t="n">
        <x:f>IF($B$17="Disponible",IF($D$25&gt;0,D23/$D$25,"n.a."),"n.a.")</x:f>
        <x:v>-0.05343511450381679</x:v>
      </x:c>
      <x:c r="G23" s="12" t="n">
        <x:f>IF($B$17="Disponible",B23/$B$25,"n.a.")</x:f>
        <x:v>0.05117810995692931</x:v>
      </x:c>
      <x:c r="H23" s="2"/>
      <x:c r="I23" s="2"/>
      <x:c r="J23" s="2"/>
    </x:row>
    <x:row r="24" ht="24" customHeight="1">
      <x:c r="A24" s="2" t="str">
        <x:v>Aluar</x:v>
      </x:c>
      <x:c r="B24" s="45" t="n">
        <x:f>IF($B$17="Disponible",SUMIFS($C$34:$C$81,$A$34:$A$81,$B$4,$B$34:$B$81,A24),"n.a.")</x:f>
        <x:v>547</x:v>
      </x:c>
      <x:c r="C24" s="45" t="n">
        <x:f>IF($B$17="Disponible",SUMIFS($D$34:$D$81,$A$34:$A$81,$B$4,$B$34:$B$81,A24),"n.a.")</x:f>
        <x:v>376</x:v>
      </x:c>
      <x:c r="D24" s="45" t="n">
        <x:f>IF($B$17="Disponible",B24-C24,"n.a.")</x:f>
        <x:v>171</x:v>
      </x:c>
      <x:c r="E24" s="13" t="n">
        <x:f>IF($B$17="Disponible",D24/$C$25*100,"n.a.")</x:f>
        <x:v>4.481132075471698</x:v>
      </x:c>
      <x:c r="F24" s="12" t="n">
        <x:f>IF($B$17="Disponible",IF($D$25&gt;0,D24/$D$25,"n.a."),"n.a.")</x:f>
        <x:v>1.3053435114503817</x:v>
      </x:c>
      <x:c r="G24" s="12" t="n">
        <x:f>IF($B$17="Disponible",B24/$B$25,"n.a.")</x:f>
        <x:v>0.13858626805168484</x:v>
      </x:c>
      <x:c r="H24" s="2"/>
      <x:c r="I24" s="2"/>
      <x:c r="J24" s="2"/>
    </x:row>
    <x:row r="25" ht="24" customHeight="1">
      <x:c r="A25" s="2" t="str">
        <x:v>Total publicado</x:v>
      </x:c>
      <x:c r="B25" s="45" t="n">
        <x:f>IF(B17="Disponible",SUMIFS($F$34:$F$81,$A$34:$A$81,$B$4,$B$34:$B$81,$A$21),"n.a.")</x:f>
        <x:v>3947</x:v>
      </x:c>
      <x:c r="C25" s="45" t="n">
        <x:f>IF(B17="Disponible",SUMIFS($G$34:$G$81,$A$34:$A$81,$B$4,$B$34:$B$81,$A$21),"n.a.")</x:f>
        <x:v>3816</x:v>
      </x:c>
      <x:c r="D25" s="45" t="n">
        <x:f>IF(B17="Disponible",B25-C25,"n.a.")</x:f>
        <x:v>131</x:v>
      </x:c>
      <x:c r="E25" s="2"/>
      <x:c r="F25" s="2"/>
      <x:c r="G25" s="2"/>
      <x:c r="H25" s="2"/>
      <x:c r="I25" s="2"/>
      <x:c r="J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 t="str">
        <x:v>Residuo redondeo MW</x:v>
      </x:c>
      <x:c r="B27" s="46" t="n">
        <x:f>IF(B17="Disponible",D25-SUM(D21:D24),"n.a.")</x:f>
        <x:v>0</x:v>
      </x:c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 t="str">
        <x:v>Datos por publicación. No se suman potencias de meses distintos ni se atribuyen causas.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42" customHeight="1">
      <x:c r="A33" s="60" t="str">
        <x:v>Mes</x:v>
      </x:c>
      <x:c r="B33" s="60" t="str">
        <x:v>Componente</x:v>
      </x:c>
      <x:c r="C33" s="60" t="str">
        <x:v>Actual MW</x:v>
      </x:c>
      <x:c r="D33" s="60" t="str">
        <x:v>Anterior MW</x:v>
      </x:c>
      <x:c r="E33" s="60" t="str">
        <x:v>Tasa publicada</x:v>
      </x:c>
      <x:c r="F33" s="60" t="str">
        <x:v>Total actual MW</x:v>
      </x:c>
      <x:c r="G33" s="60" t="str">
        <x:v>Total anterior MW</x:v>
      </x:c>
      <x:c r="H33" s="60" t="str">
        <x:v>Cobertura %</x:v>
      </x:c>
      <x:c r="I33" s="2"/>
      <x:c r="J33" s="2" t="str">
        <x:v>Fuente original (PDF)</x:v>
      </x:c>
    </x:row>
    <x:row r="34" ht="42" customHeight="1">
      <x:c r="A34" s="61" t="n">
        <x:v>45901</x:v>
      </x:c>
      <x:c r="B34" s="32" t="str">
        <x:v>Alimentación, comercios y servicios</x:v>
      </x:c>
      <x:c r="C34" s="2" t="n">
        <x:v>1609</x:v>
      </x:c>
      <x:c r="D34" s="2" t="n">
        <x:v>1603</x:v>
      </x:c>
      <x:c r="E34" s="11" t="n">
        <x:v>0.004</x:v>
      </x:c>
      <x:c r="F34" s="2" t="n">
        <x:v>3990</x:v>
      </x:c>
      <x:c r="G34" s="2" t="n">
        <x:v>3985</x:v>
      </x:c>
      <x:c r="H34" s="47" t="n">
        <x:v>0.98</x:v>
      </x:c>
      <x:c r="I34" s="2"/>
      <x:c r="J34" s="2" t="str">
        <x:v>https://cammesaweb.cammesa.com/download/evolucion-de-la-demanda-por-rama-y-actividad-2025-09/?wpdmdl=51226</x:v>
      </x:c>
    </x:row>
    <x:row r="35" ht="42" customHeight="1">
      <x:c r="A35" s="61" t="n">
        <x:v>45901</x:v>
      </x:c>
      <x:c r="B35" s="32" t="str">
        <x:v>Industrias sin Aluar</x:v>
      </x:c>
      <x:c r="C35" s="2" t="n">
        <x:v>1719</x:v>
      </x:c>
      <x:c r="D35" s="2" t="n">
        <x:v>1747</x:v>
      </x:c>
      <x:c r="E35" s="11" t="n">
        <x:v>-0.016</x:v>
      </x:c>
      <x:c r="F35" s="2" t="n">
        <x:v>3990</x:v>
      </x:c>
      <x:c r="G35" s="2" t="n">
        <x:v>3985</x:v>
      </x:c>
      <x:c r="H35" s="47" t="n">
        <x:v>0.98</x:v>
      </x:c>
      <x:c r="I35" s="2"/>
      <x:c r="J35" s="2" t="str">
        <x:v>https://cammesaweb.cammesa.com/download/evolucion-de-la-demanda-por-rama-y-actividad-2025-09/?wpdmdl=51226</x:v>
      </x:c>
    </x:row>
    <x:row r="36" ht="42" customHeight="1">
      <x:c r="A36" s="61" t="n">
        <x:v>45901</x:v>
      </x:c>
      <x:c r="B36" s="32" t="str">
        <x:v>Petróleos y minerales</x:v>
      </x:c>
      <x:c r="C36" s="2" t="n">
        <x:v>220</x:v>
      </x:c>
      <x:c r="D36" s="2" t="n">
        <x:v>209</x:v>
      </x:c>
      <x:c r="E36" s="11" t="n">
        <x:v>0.054000000000000006</x:v>
      </x:c>
      <x:c r="F36" s="2" t="n">
        <x:v>3990</x:v>
      </x:c>
      <x:c r="G36" s="2" t="n">
        <x:v>3985</x:v>
      </x:c>
      <x:c r="H36" s="47" t="n">
        <x:v>0.98</x:v>
      </x:c>
      <x:c r="I36" s="2"/>
      <x:c r="J36" s="2" t="str">
        <x:v>https://cammesaweb.cammesa.com/download/evolucion-de-la-demanda-por-rama-y-actividad-2025-09/?wpdmdl=51226</x:v>
      </x:c>
    </x:row>
    <x:row r="37" ht="42" customHeight="1">
      <x:c r="A37" s="61" t="n">
        <x:v>45901</x:v>
      </x:c>
      <x:c r="B37" s="32" t="str">
        <x:v>Aluar</x:v>
      </x:c>
      <x:c r="C37" s="2" t="n">
        <x:v>441</x:v>
      </x:c>
      <x:c r="D37" s="2" t="n">
        <x:v>426</x:v>
      </x:c>
      <x:c r="E37" s="11" t="n">
        <x:v>0.037000000000000005</x:v>
      </x:c>
      <x:c r="F37" s="2" t="n">
        <x:v>3990</x:v>
      </x:c>
      <x:c r="G37" s="2" t="n">
        <x:v>3985</x:v>
      </x:c>
      <x:c r="H37" s="47" t="n">
        <x:v>0.98</x:v>
      </x:c>
      <x:c r="I37" s="2"/>
      <x:c r="J37" s="2" t="str">
        <x:v>https://cammesaweb.cammesa.com/download/evolucion-de-la-demanda-por-rama-y-actividad-2025-09/?wpdmdl=51226</x:v>
      </x:c>
    </x:row>
    <x:row r="38" ht="42" customHeight="1">
      <x:c r="A38" s="61" t="n">
        <x:v>45931</x:v>
      </x:c>
      <x:c r="B38" s="32" t="str">
        <x:v>Alimentación, comercios y servicios</x:v>
      </x:c>
      <x:c r="C38" s="2" t="n">
        <x:v>1571</x:v>
      </x:c>
      <x:c r="D38" s="2" t="n">
        <x:v>1594</x:v>
      </x:c>
      <x:c r="E38" s="11" t="n">
        <x:v>-0.015</x:v>
      </x:c>
      <x:c r="F38" s="2" t="n">
        <x:v>3896</x:v>
      </x:c>
      <x:c r="G38" s="2" t="n">
        <x:v>3886</x:v>
      </x:c>
      <x:c r="H38" s="47" t="n">
        <x:v>0.98</x:v>
      </x:c>
      <x:c r="I38" s="2"/>
      <x:c r="J38" s="2" t="str">
        <x:v>https://cammesaweb.cammesa.com/download/evolucion-de-la-demanda-por-rama-y-actividad-2025-10/?wpdmdl=51345</x:v>
      </x:c>
    </x:row>
    <x:row r="39" ht="42" customHeight="1">
      <x:c r="A39" s="61" t="n">
        <x:v>45931</x:v>
      </x:c>
      <x:c r="B39" s="32" t="str">
        <x:v>Industrias sin Aluar</x:v>
      </x:c>
      <x:c r="C39" s="2" t="n">
        <x:v>1716</x:v>
      </x:c>
      <x:c r="D39" s="2" t="n">
        <x:v>1725</x:v>
      </x:c>
      <x:c r="E39" s="11" t="n">
        <x:v>-0.005</x:v>
      </x:c>
      <x:c r="F39" s="2" t="n">
        <x:v>3896</x:v>
      </x:c>
      <x:c r="G39" s="2" t="n">
        <x:v>3886</x:v>
      </x:c>
      <x:c r="H39" s="47" t="n">
        <x:v>0.98</x:v>
      </x:c>
      <x:c r="I39" s="2"/>
      <x:c r="J39" s="2" t="str">
        <x:v>https://cammesaweb.cammesa.com/download/evolucion-de-la-demanda-por-rama-y-actividad-2025-10/?wpdmdl=51345</x:v>
      </x:c>
    </x:row>
    <x:row r="40" ht="42" customHeight="1">
      <x:c r="A40" s="61" t="n">
        <x:v>45931</x:v>
      </x:c>
      <x:c r="B40" s="32" t="str">
        <x:v>Petróleos y minerales</x:v>
      </x:c>
      <x:c r="C40" s="2" t="n">
        <x:v>220</x:v>
      </x:c>
      <x:c r="D40" s="2" t="n">
        <x:v>215</x:v>
      </x:c>
      <x:c r="E40" s="11" t="n">
        <x:v>0.024</x:v>
      </x:c>
      <x:c r="F40" s="2" t="n">
        <x:v>3896</x:v>
      </x:c>
      <x:c r="G40" s="2" t="n">
        <x:v>3886</x:v>
      </x:c>
      <x:c r="H40" s="47" t="n">
        <x:v>0.98</x:v>
      </x:c>
      <x:c r="I40" s="2"/>
      <x:c r="J40" s="2" t="str">
        <x:v>https://cammesaweb.cammesa.com/download/evolucion-de-la-demanda-por-rama-y-actividad-2025-10/?wpdmdl=51345</x:v>
      </x:c>
    </x:row>
    <x:row r="41" ht="42" customHeight="1">
      <x:c r="A41" s="61" t="n">
        <x:v>45931</x:v>
      </x:c>
      <x:c r="B41" s="32" t="str">
        <x:v>Aluar</x:v>
      </x:c>
      <x:c r="C41" s="2" t="n">
        <x:v>390</x:v>
      </x:c>
      <x:c r="D41" s="2" t="n">
        <x:v>352</x:v>
      </x:c>
      <x:c r="E41" s="11" t="n">
        <x:v>0.106</x:v>
      </x:c>
      <x:c r="F41" s="2" t="n">
        <x:v>3896</x:v>
      </x:c>
      <x:c r="G41" s="2" t="n">
        <x:v>3886</x:v>
      </x:c>
      <x:c r="H41" s="47" t="n">
        <x:v>0.98</x:v>
      </x:c>
      <x:c r="I41" s="2"/>
      <x:c r="J41" s="2" t="str">
        <x:v>https://cammesaweb.cammesa.com/download/evolucion-de-la-demanda-por-rama-y-actividad-2025-10/?wpdmdl=51345</x:v>
      </x:c>
    </x:row>
    <x:row r="42" ht="42" customHeight="1">
      <x:c r="A42" s="61" t="n">
        <x:v>45962</x:v>
      </x:c>
      <x:c r="B42" s="32" t="str">
        <x:v>Alimentación, comercios y servicios</x:v>
      </x:c>
      <x:c r="C42" s="2" t="n">
        <x:v>1652</x:v>
      </x:c>
      <x:c r="D42" s="2" t="n">
        <x:v>1700</x:v>
      </x:c>
      <x:c r="E42" s="11" t="n">
        <x:v>-0.0282</x:v>
      </x:c>
      <x:c r="F42" s="2" t="n">
        <x:v>4027</x:v>
      </x:c>
      <x:c r="G42" s="2" t="n">
        <x:v>4058</x:v>
      </x:c>
      <x:c r="H42" s="47" t="n">
        <x:v>0.98</x:v>
      </x:c>
      <x:c r="I42" s="2"/>
      <x:c r="J42" s="2" t="str">
        <x:v>https://cammesaweb.cammesa.com/download/evolucion-de-la-demanda-por-rama-y-actividad-2025-11/?wpdmdl=51437</x:v>
      </x:c>
    </x:row>
    <x:row r="43" ht="42" customHeight="1">
      <x:c r="A43" s="61" t="n">
        <x:v>45962</x:v>
      </x:c>
      <x:c r="B43" s="32" t="str">
        <x:v>Industrias sin Aluar</x:v>
      </x:c>
      <x:c r="C43" s="2" t="n">
        <x:v>1735</x:v>
      </x:c>
      <x:c r="D43" s="2" t="n">
        <x:v>1785</x:v>
      </x:c>
      <x:c r="E43" s="11" t="n">
        <x:v>-0.027999999999999997</x:v>
      </x:c>
      <x:c r="F43" s="2" t="n">
        <x:v>4027</x:v>
      </x:c>
      <x:c r="G43" s="2" t="n">
        <x:v>4058</x:v>
      </x:c>
      <x:c r="H43" s="47" t="n">
        <x:v>0.98</x:v>
      </x:c>
      <x:c r="I43" s="2"/>
      <x:c r="J43" s="2" t="str">
        <x:v>https://cammesaweb.cammesa.com/download/evolucion-de-la-demanda-por-rama-y-actividad-2025-11/?wpdmdl=51437</x:v>
      </x:c>
    </x:row>
    <x:row r="44" ht="42" customHeight="1">
      <x:c r="A44" s="61" t="n">
        <x:v>45962</x:v>
      </x:c>
      <x:c r="B44" s="32" t="str">
        <x:v>Petróleos y minerales</x:v>
      </x:c>
      <x:c r="C44" s="2" t="n">
        <x:v>233</x:v>
      </x:c>
      <x:c r="D44" s="2" t="n">
        <x:v>214</x:v>
      </x:c>
      <x:c r="E44" s="11" t="n">
        <x:v>0.0898</x:v>
      </x:c>
      <x:c r="F44" s="2" t="n">
        <x:v>4027</x:v>
      </x:c>
      <x:c r="G44" s="2" t="n">
        <x:v>4058</x:v>
      </x:c>
      <x:c r="H44" s="47" t="n">
        <x:v>0.98</x:v>
      </x:c>
      <x:c r="I44" s="2"/>
      <x:c r="J44" s="2" t="str">
        <x:v>https://cammesaweb.cammesa.com/download/evolucion-de-la-demanda-por-rama-y-actividad-2025-11/?wpdmdl=51437</x:v>
      </x:c>
    </x:row>
    <x:row r="45" ht="42" customHeight="1">
      <x:c r="A45" s="61" t="n">
        <x:v>45962</x:v>
      </x:c>
      <x:c r="B45" s="32" t="str">
        <x:v>Aluar</x:v>
      </x:c>
      <x:c r="C45" s="2" t="n">
        <x:v>407</x:v>
      </x:c>
      <x:c r="D45" s="2" t="n">
        <x:v>360</x:v>
      </x:c>
      <x:c r="E45" s="11" t="n">
        <x:v>0.132</x:v>
      </x:c>
      <x:c r="F45" s="2" t="n">
        <x:v>4027</x:v>
      </x:c>
      <x:c r="G45" s="2" t="n">
        <x:v>4058</x:v>
      </x:c>
      <x:c r="H45" s="47" t="n">
        <x:v>0.98</x:v>
      </x:c>
      <x:c r="I45" s="2"/>
      <x:c r="J45" s="2" t="str">
        <x:v>https://cammesaweb.cammesa.com/download/evolucion-de-la-demanda-por-rama-y-actividad-2025-11/?wpdmdl=51437</x:v>
      </x:c>
    </x:row>
    <x:row r="46" ht="42" customHeight="1">
      <x:c r="A46" s="61" t="n">
        <x:v>45992</x:v>
      </x:c>
      <x:c r="B46" s="32" t="str">
        <x:v>Alimentación, comercios y servicios</x:v>
      </x:c>
      <x:c r="C46" s="2" t="n">
        <x:v>1696</x:v>
      </x:c>
      <x:c r="D46" s="2" t="n">
        <x:v>1668</x:v>
      </x:c>
      <x:c r="E46" s="11" t="n">
        <x:v>0.017</x:v>
      </x:c>
      <x:c r="F46" s="2" t="n">
        <x:v>3801</x:v>
      </x:c>
      <x:c r="G46" s="2" t="n">
        <x:v>3749</x:v>
      </x:c>
      <x:c r="H46" s="47" t="n">
        <x:v>0.98</x:v>
      </x:c>
      <x:c r="I46" s="2"/>
      <x:c r="J46" s="2" t="str">
        <x:v>https://cammesaweb.cammesa.com/download/evolucion-de-la-demanda-por-rama-y-actividad-2025-12/?wpdmdl=51544</x:v>
      </x:c>
    </x:row>
    <x:row r="47" ht="42" customHeight="1">
      <x:c r="A47" s="61" t="n">
        <x:v>45992</x:v>
      </x:c>
      <x:c r="B47" s="32" t="str">
        <x:v>Industrias sin Aluar</x:v>
      </x:c>
      <x:c r="C47" s="2" t="n">
        <x:v>1537</x:v>
      </x:c>
      <x:c r="D47" s="2" t="n">
        <x:v>1504</x:v>
      </x:c>
      <x:c r="E47" s="11" t="n">
        <x:v>0.022000000000000002</x:v>
      </x:c>
      <x:c r="F47" s="2" t="n">
        <x:v>3801</x:v>
      </x:c>
      <x:c r="G47" s="2" t="n">
        <x:v>3749</x:v>
      </x:c>
      <x:c r="H47" s="47" t="n">
        <x:v>0.98</x:v>
      </x:c>
      <x:c r="I47" s="2"/>
      <x:c r="J47" s="2" t="str">
        <x:v>https://cammesaweb.cammesa.com/download/evolucion-de-la-demanda-por-rama-y-actividad-2025-12/?wpdmdl=51544</x:v>
      </x:c>
    </x:row>
    <x:row r="48" ht="42" customHeight="1">
      <x:c r="A48" s="61" t="n">
        <x:v>45992</x:v>
      </x:c>
      <x:c r="B48" s="32" t="str">
        <x:v>Petróleos y minerales</x:v>
      </x:c>
      <x:c r="C48" s="2" t="n">
        <x:v>199</x:v>
      </x:c>
      <x:c r="D48" s="2" t="n">
        <x:v>210</x:v>
      </x:c>
      <x:c r="E48" s="11" t="n">
        <x:v>-0.053</x:v>
      </x:c>
      <x:c r="F48" s="2" t="n">
        <x:v>3801</x:v>
      </x:c>
      <x:c r="G48" s="2" t="n">
        <x:v>3749</x:v>
      </x:c>
      <x:c r="H48" s="47" t="n">
        <x:v>0.98</x:v>
      </x:c>
      <x:c r="I48" s="2"/>
      <x:c r="J48" s="2" t="str">
        <x:v>https://cammesaweb.cammesa.com/download/evolucion-de-la-demanda-por-rama-y-actividad-2025-12/?wpdmdl=51544</x:v>
      </x:c>
    </x:row>
    <x:row r="49" ht="42" customHeight="1">
      <x:c r="A49" s="61" t="n">
        <x:v>45992</x:v>
      </x:c>
      <x:c r="B49" s="32" t="str">
        <x:v>Aluar</x:v>
      </x:c>
      <x:c r="C49" s="2" t="n">
        <x:v>370</x:v>
      </x:c>
      <x:c r="D49" s="2" t="n">
        <x:v>367</x:v>
      </x:c>
      <x:c r="E49" s="11" t="n">
        <x:v>0.008</x:v>
      </x:c>
      <x:c r="F49" s="2" t="n">
        <x:v>3801</x:v>
      </x:c>
      <x:c r="G49" s="2" t="n">
        <x:v>3749</x:v>
      </x:c>
      <x:c r="H49" s="47" t="n">
        <x:v>0.98</x:v>
      </x:c>
      <x:c r="I49" s="2"/>
      <x:c r="J49" s="2" t="str">
        <x:v>https://cammesaweb.cammesa.com/download/evolucion-de-la-demanda-por-rama-y-actividad-2025-12/?wpdmdl=51544</x:v>
      </x:c>
    </x:row>
    <x:row r="50" ht="42" customHeight="1">
      <x:c r="A50" s="61" t="n">
        <x:v>46023</x:v>
      </x:c>
      <x:c r="B50" s="32" t="str">
        <x:v>Alimentación, comercios y servicios</x:v>
      </x:c>
      <x:c r="C50" s="2" t="n">
        <x:v>1730</x:v>
      </x:c>
      <x:c r="D50" s="2" t="n">
        <x:v>1770</x:v>
      </x:c>
      <x:c r="E50" s="11" t="n">
        <x:v>-0.023</x:v>
      </x:c>
      <x:c r="F50" s="2" t="n">
        <x:v>3852</x:v>
      </x:c>
      <x:c r="G50" s="2" t="n">
        <x:v>3830</x:v>
      </x:c>
      <x:c r="H50" s="47" t="n">
        <x:v>0.98</x:v>
      </x:c>
      <x:c r="I50" s="2"/>
      <x:c r="J50" s="2" t="str">
        <x:v>https://cammesaweb.cammesa.com/download/evolucion-de-la-demanda-por-rama-y-actividad-2026-01/?wpdmdl=51745</x:v>
      </x:c>
    </x:row>
    <x:row r="51" ht="42" customHeight="1">
      <x:c r="A51" s="61" t="n">
        <x:v>46023</x:v>
      </x:c>
      <x:c r="B51" s="32" t="str">
        <x:v>Industrias sin Aluar</x:v>
      </x:c>
      <x:c r="C51" s="2" t="n">
        <x:v>1537</x:v>
      </x:c>
      <x:c r="D51" s="2" t="n">
        <x:v>1499</x:v>
      </x:c>
      <x:c r="E51" s="11" t="n">
        <x:v>0.026000000000000002</x:v>
      </x:c>
      <x:c r="F51" s="2" t="n">
        <x:v>3852</x:v>
      </x:c>
      <x:c r="G51" s="2" t="n">
        <x:v>3830</x:v>
      </x:c>
      <x:c r="H51" s="47" t="n">
        <x:v>0.98</x:v>
      </x:c>
      <x:c r="I51" s="2"/>
      <x:c r="J51" s="2" t="str">
        <x:v>https://cammesaweb.cammesa.com/download/evolucion-de-la-demanda-por-rama-y-actividad-2026-01/?wpdmdl=51745</x:v>
      </x:c>
    </x:row>
    <x:row r="52" ht="42" customHeight="1">
      <x:c r="A52" s="61" t="n">
        <x:v>46023</x:v>
      </x:c>
      <x:c r="B52" s="32" t="str">
        <x:v>Petróleos y minerales</x:v>
      </x:c>
      <x:c r="C52" s="2" t="n">
        <x:v>199</x:v>
      </x:c>
      <x:c r="D52" s="2" t="n">
        <x:v>204</x:v>
      </x:c>
      <x:c r="E52" s="11" t="n">
        <x:v>-0.024</x:v>
      </x:c>
      <x:c r="F52" s="2" t="n">
        <x:v>3852</x:v>
      </x:c>
      <x:c r="G52" s="2" t="n">
        <x:v>3830</x:v>
      </x:c>
      <x:c r="H52" s="47" t="n">
        <x:v>0.98</x:v>
      </x:c>
      <x:c r="I52" s="2"/>
      <x:c r="J52" s="2" t="str">
        <x:v>https://cammesaweb.cammesa.com/download/evolucion-de-la-demanda-por-rama-y-actividad-2026-01/?wpdmdl=51745</x:v>
      </x:c>
    </x:row>
    <x:row r="53" ht="42" customHeight="1">
      <x:c r="A53" s="61" t="n">
        <x:v>46023</x:v>
      </x:c>
      <x:c r="B53" s="32" t="str">
        <x:v>Aluar</x:v>
      </x:c>
      <x:c r="C53" s="2" t="n">
        <x:v>386</x:v>
      </x:c>
      <x:c r="D53" s="2" t="n">
        <x:v>358</x:v>
      </x:c>
      <x:c r="E53" s="11" t="n">
        <x:v>0.079</x:v>
      </x:c>
      <x:c r="F53" s="2" t="n">
        <x:v>3852</x:v>
      </x:c>
      <x:c r="G53" s="2" t="n">
        <x:v>3830</x:v>
      </x:c>
      <x:c r="H53" s="47" t="n">
        <x:v>0.98</x:v>
      </x:c>
      <x:c r="I53" s="2"/>
      <x:c r="J53" s="2" t="str">
        <x:v>https://cammesaweb.cammesa.com/download/evolucion-de-la-demanda-por-rama-y-actividad-2026-01/?wpdmdl=51745</x:v>
      </x:c>
    </x:row>
    <x:row r="54" ht="42" customHeight="1">
      <x:c r="A54" s="61" t="n">
        <x:v>46054</x:v>
      </x:c>
      <x:c r="B54" s="32" t="str">
        <x:v>Alimentación, comercios y servicios</x:v>
      </x:c>
      <x:c r="C54" s="2" t="n">
        <x:v>1810</x:v>
      </x:c>
      <x:c r="D54" s="2" t="n">
        <x:v>1969</x:v>
      </x:c>
      <x:c r="E54" s="11" t="n">
        <x:v>-0.081</x:v>
      </x:c>
      <x:c r="F54" s="2" t="n">
        <x:v>4056</x:v>
      </x:c>
      <x:c r="G54" s="2" t="n">
        <x:v>4325</x:v>
      </x:c>
      <x:c r="H54" s="47" t="n">
        <x:v>0.98</x:v>
      </x:c>
      <x:c r="I54" s="2"/>
      <x:c r="J54" s="2" t="str">
        <x:v>https://cammesaweb.cammesa.com/download/evolucion-de-la-demanda-por-rama-y-actividad-2026-02/?wpdmdl=51965</x:v>
      </x:c>
    </x:row>
    <x:row r="55" ht="42" customHeight="1">
      <x:c r="A55" s="61" t="n">
        <x:v>46054</x:v>
      </x:c>
      <x:c r="B55" s="32" t="str">
        <x:v>Industrias sin Aluar</x:v>
      </x:c>
      <x:c r="C55" s="2" t="n">
        <x:v>1655</x:v>
      </x:c>
      <x:c r="D55" s="2" t="n">
        <x:v>1779</x:v>
      </x:c>
      <x:c r="E55" s="11" t="n">
        <x:v>-0.069</x:v>
      </x:c>
      <x:c r="F55" s="2" t="n">
        <x:v>4056</x:v>
      </x:c>
      <x:c r="G55" s="2" t="n">
        <x:v>4325</x:v>
      </x:c>
      <x:c r="H55" s="47" t="n">
        <x:v>0.98</x:v>
      </x:c>
      <x:c r="I55" s="2"/>
      <x:c r="J55" s="2" t="str">
        <x:v>https://cammesaweb.cammesa.com/download/evolucion-de-la-demanda-por-rama-y-actividad-2026-02/?wpdmdl=51965</x:v>
      </x:c>
    </x:row>
    <x:row r="56" ht="42" customHeight="1">
      <x:c r="A56" s="61" t="n">
        <x:v>46054</x:v>
      </x:c>
      <x:c r="B56" s="32" t="str">
        <x:v>Petróleos y minerales</x:v>
      </x:c>
      <x:c r="C56" s="2" t="n">
        <x:v>210</x:v>
      </x:c>
      <x:c r="D56" s="2" t="n">
        <x:v>204</x:v>
      </x:c>
      <x:c r="E56" s="11" t="n">
        <x:v>0.03</x:v>
      </x:c>
      <x:c r="F56" s="2" t="n">
        <x:v>4056</x:v>
      </x:c>
      <x:c r="G56" s="2" t="n">
        <x:v>4325</x:v>
      </x:c>
      <x:c r="H56" s="47" t="n">
        <x:v>0.98</x:v>
      </x:c>
      <x:c r="I56" s="2"/>
      <x:c r="J56" s="2" t="str">
        <x:v>https://cammesaweb.cammesa.com/download/evolucion-de-la-demanda-por-rama-y-actividad-2026-02/?wpdmdl=51965</x:v>
      </x:c>
    </x:row>
    <x:row r="57" ht="42" customHeight="1">
      <x:c r="A57" s="61" t="n">
        <x:v>46054</x:v>
      </x:c>
      <x:c r="B57" s="32" t="str">
        <x:v>Aluar</x:v>
      </x:c>
      <x:c r="C57" s="2" t="n">
        <x:v>380</x:v>
      </x:c>
      <x:c r="D57" s="2" t="n">
        <x:v>373</x:v>
      </x:c>
      <x:c r="E57" s="11" t="n">
        <x:v>0.018000000000000002</x:v>
      </x:c>
      <x:c r="F57" s="2" t="n">
        <x:v>4056</x:v>
      </x:c>
      <x:c r="G57" s="2" t="n">
        <x:v>4325</x:v>
      </x:c>
      <x:c r="H57" s="47" t="n">
        <x:v>0.98</x:v>
      </x:c>
      <x:c r="I57" s="2"/>
      <x:c r="J57" s="2" t="str">
        <x:v>https://cammesaweb.cammesa.com/download/evolucion-de-la-demanda-por-rama-y-actividad-2026-02/?wpdmdl=51965</x:v>
      </x:c>
    </x:row>
    <x:row r="58" ht="42" customHeight="1">
      <x:c r="A58" s="61" t="n">
        <x:v>46082</x:v>
      </x:c>
      <x:c r="B58" s="32" t="str">
        <x:v>Alimentación, comercios y servicios</x:v>
      </x:c>
      <x:c r="C58" s="2" t="n">
        <x:v>1680</x:v>
      </x:c>
      <x:c r="D58" s="2" t="n">
        <x:v>1685</x:v>
      </x:c>
      <x:c r="E58" s="11" t="n">
        <x:v>-0.003</x:v>
      </x:c>
      <x:c r="F58" s="2" t="n">
        <x:v>4057</x:v>
      </x:c>
      <x:c r="G58" s="2" t="n">
        <x:v>3881</x:v>
      </x:c>
      <x:c r="H58" s="47" t="n">
        <x:v>0.98</x:v>
      </x:c>
      <x:c r="I58" s="2"/>
      <x:c r="J58" s="2" t="str">
        <x:v>https://cammesaweb.cammesa.com/download/evolucion-de-la-demanda-por-rama-y-actividad-2026-03/?wpdmdl=52189</x:v>
      </x:c>
    </x:row>
    <x:row r="59" ht="42" customHeight="1">
      <x:c r="A59" s="61" t="n">
        <x:v>46082</x:v>
      </x:c>
      <x:c r="B59" s="32" t="str">
        <x:v>Industrias sin Aluar</x:v>
      </x:c>
      <x:c r="C59" s="2" t="n">
        <x:v>1736</x:v>
      </x:c>
      <x:c r="D59" s="2" t="n">
        <x:v>1611</x:v>
      </x:c>
      <x:c r="E59" s="11" t="n">
        <x:v>0.078</x:v>
      </x:c>
      <x:c r="F59" s="2" t="n">
        <x:v>4057</x:v>
      </x:c>
      <x:c r="G59" s="2" t="n">
        <x:v>3881</x:v>
      </x:c>
      <x:c r="H59" s="47" t="n">
        <x:v>0.98</x:v>
      </x:c>
      <x:c r="I59" s="2"/>
      <x:c r="J59" s="2" t="str">
        <x:v>https://cammesaweb.cammesa.com/download/evolucion-de-la-demanda-por-rama-y-actividad-2026-03/?wpdmdl=52189</x:v>
      </x:c>
    </x:row>
    <x:row r="60" ht="42" customHeight="1">
      <x:c r="A60" s="61" t="n">
        <x:v>46082</x:v>
      </x:c>
      <x:c r="B60" s="32" t="str">
        <x:v>Petróleos y minerales</x:v>
      </x:c>
      <x:c r="C60" s="2" t="n">
        <x:v>211</x:v>
      </x:c>
      <x:c r="D60" s="2" t="n">
        <x:v>208</x:v>
      </x:c>
      <x:c r="E60" s="11" t="n">
        <x:v>0.013999999999999999</x:v>
      </x:c>
      <x:c r="F60" s="2" t="n">
        <x:v>4057</x:v>
      </x:c>
      <x:c r="G60" s="2" t="n">
        <x:v>3881</x:v>
      </x:c>
      <x:c r="H60" s="47" t="n">
        <x:v>0.98</x:v>
      </x:c>
      <x:c r="I60" s="2"/>
      <x:c r="J60" s="2" t="str">
        <x:v>https://cammesaweb.cammesa.com/download/evolucion-de-la-demanda-por-rama-y-actividad-2026-03/?wpdmdl=52189</x:v>
      </x:c>
    </x:row>
    <x:row r="61" ht="42" customHeight="1">
      <x:c r="A61" s="61" t="n">
        <x:v>46082</x:v>
      </x:c>
      <x:c r="B61" s="32" t="str">
        <x:v>Aluar</x:v>
      </x:c>
      <x:c r="C61" s="2" t="n">
        <x:v>429</x:v>
      </x:c>
      <x:c r="D61" s="2" t="n">
        <x:v>376</x:v>
      </x:c>
      <x:c r="E61" s="11" t="n">
        <x:v>0.142</x:v>
      </x:c>
      <x:c r="F61" s="2" t="n">
        <x:v>4057</x:v>
      </x:c>
      <x:c r="G61" s="2" t="n">
        <x:v>3881</x:v>
      </x:c>
      <x:c r="H61" s="47" t="n">
        <x:v>0.98</x:v>
      </x:c>
      <x:c r="I61" s="2"/>
      <x:c r="J61" s="2" t="str">
        <x:v>https://cammesaweb.cammesa.com/download/evolucion-de-la-demanda-por-rama-y-actividad-2026-03/?wpdmdl=52189</x:v>
      </x:c>
    </x:row>
    <x:row r="62" ht="42" customHeight="1">
      <x:c r="A62" s="61" t="n">
        <x:v>46113</x:v>
      </x:c>
      <x:c r="B62" s="32" t="str">
        <x:v>Alimentación, comercios y servicios</x:v>
      </x:c>
      <x:c r="C62" s="2" t="n">
        <x:v>1642</x:v>
      </x:c>
      <x:c r="D62" s="2" t="n">
        <x:v>1612</x:v>
      </x:c>
      <x:c r="E62" s="11" t="n">
        <x:v>0.018000000000000002</x:v>
      </x:c>
      <x:c r="F62" s="2" t="n">
        <x:v>4054</x:v>
      </x:c>
      <x:c r="G62" s="2" t="n">
        <x:v>3855</x:v>
      </x:c>
      <x:c r="H62" s="47" t="n">
        <x:v>0.98</x:v>
      </x:c>
      <x:c r="I62" s="2"/>
      <x:c r="J62" s="2" t="str">
        <x:v>https://cammesaweb.cammesa.com/download/evolucion-de-la-demanda-por-rama-y-actividad-2026-04/?wpdmdl=52369</x:v>
      </x:c>
    </x:row>
    <x:row r="63" ht="42" customHeight="1">
      <x:c r="A63" s="61" t="n">
        <x:v>46113</x:v>
      </x:c>
      <x:c r="B63" s="32" t="str">
        <x:v>Industrias sin Aluar</x:v>
      </x:c>
      <x:c r="C63" s="2" t="n">
        <x:v>1758</x:v>
      </x:c>
      <x:c r="D63" s="2" t="n">
        <x:v>1666</x:v>
      </x:c>
      <x:c r="E63" s="11" t="n">
        <x:v>0.055</x:v>
      </x:c>
      <x:c r="F63" s="2" t="n">
        <x:v>4054</x:v>
      </x:c>
      <x:c r="G63" s="2" t="n">
        <x:v>3855</x:v>
      </x:c>
      <x:c r="H63" s="47" t="n">
        <x:v>0.98</x:v>
      </x:c>
      <x:c r="I63" s="2"/>
      <x:c r="J63" s="2" t="str">
        <x:v>https://cammesaweb.cammesa.com/download/evolucion-de-la-demanda-por-rama-y-actividad-2026-04/?wpdmdl=52369</x:v>
      </x:c>
    </x:row>
    <x:row r="64" ht="42" customHeight="1">
      <x:c r="A64" s="61" t="n">
        <x:v>46113</x:v>
      </x:c>
      <x:c r="B64" s="32" t="str">
        <x:v>Petróleos y minerales</x:v>
      </x:c>
      <x:c r="C64" s="2" t="n">
        <x:v>214</x:v>
      </x:c>
      <x:c r="D64" s="2" t="n">
        <x:v>208</x:v>
      </x:c>
      <x:c r="E64" s="11" t="n">
        <x:v>0.027000000000000003</x:v>
      </x:c>
      <x:c r="F64" s="2" t="n">
        <x:v>4054</x:v>
      </x:c>
      <x:c r="G64" s="2" t="n">
        <x:v>3855</x:v>
      </x:c>
      <x:c r="H64" s="47" t="n">
        <x:v>0.98</x:v>
      </x:c>
      <x:c r="I64" s="2"/>
      <x:c r="J64" s="2" t="str">
        <x:v>https://cammesaweb.cammesa.com/download/evolucion-de-la-demanda-por-rama-y-actividad-2026-04/?wpdmdl=52369</x:v>
      </x:c>
    </x:row>
    <x:row r="65" ht="42" customHeight="1">
      <x:c r="A65" s="61" t="n">
        <x:v>46113</x:v>
      </x:c>
      <x:c r="B65" s="32" t="str">
        <x:v>Aluar</x:v>
      </x:c>
      <x:c r="C65" s="2" t="n">
        <x:v>440</x:v>
      </x:c>
      <x:c r="D65" s="2" t="n">
        <x:v>368</x:v>
      </x:c>
      <x:c r="E65" s="11" t="n">
        <x:v>0.196</x:v>
      </x:c>
      <x:c r="F65" s="2" t="n">
        <x:v>4054</x:v>
      </x:c>
      <x:c r="G65" s="2" t="n">
        <x:v>3855</x:v>
      </x:c>
      <x:c r="H65" s="47" t="n">
        <x:v>0.98</x:v>
      </x:c>
      <x:c r="I65" s="2"/>
      <x:c r="J65" s="2" t="str">
        <x:v>https://cammesaweb.cammesa.com/download/evolucion-de-la-demanda-por-rama-y-actividad-2026-04/?wpdmdl=52369</x:v>
      </x:c>
    </x:row>
    <x:row r="66" ht="42" customHeight="1">
      <x:c r="A66" s="61" t="n">
        <x:v>46143</x:v>
      </x:c>
      <x:c r="B66" s="32" t="str">
        <x:v>Alimentación, comercios y servicios</x:v>
      </x:c>
      <x:c r="C66" s="2" t="n">
        <x:v>1531</x:v>
      </x:c>
      <x:c r="D66" s="2" t="n">
        <x:v>1568</x:v>
      </x:c>
      <x:c r="E66" s="11" t="n">
        <x:v>-0.023</x:v>
      </x:c>
      <x:c r="F66" s="2" t="n">
        <x:v>3976</x:v>
      </x:c>
      <x:c r="G66" s="2" t="n">
        <x:v>3827</x:v>
      </x:c>
      <x:c r="H66" s="47" t="n">
        <x:v>0.98</x:v>
      </x:c>
      <x:c r="I66" s="2"/>
      <x:c r="J66" s="2" t="str">
        <x:v>https://cammesaweb.cammesa.com/download/evolucion-de-la-demanda-por-rama-y-actividad-2026-05/?wpdmdl=52574</x:v>
      </x:c>
    </x:row>
    <x:row r="67" ht="42" customHeight="1">
      <x:c r="A67" s="61" t="n">
        <x:v>46143</x:v>
      </x:c>
      <x:c r="B67" s="32" t="str">
        <x:v>Industrias sin Aluar</x:v>
      </x:c>
      <x:c r="C67" s="2" t="n">
        <x:v>1697</x:v>
      </x:c>
      <x:c r="D67" s="2" t="n">
        <x:v>1665</x:v>
      </x:c>
      <x:c r="E67" s="11" t="n">
        <x:v>0.019</x:v>
      </x:c>
      <x:c r="F67" s="2" t="n">
        <x:v>3976</x:v>
      </x:c>
      <x:c r="G67" s="2" t="n">
        <x:v>3827</x:v>
      </x:c>
      <x:c r="H67" s="47" t="n">
        <x:v>0.98</x:v>
      </x:c>
      <x:c r="I67" s="2"/>
      <x:c r="J67" s="2" t="str">
        <x:v>https://cammesaweb.cammesa.com/download/evolucion-de-la-demanda-por-rama-y-actividad-2026-05/?wpdmdl=52574</x:v>
      </x:c>
    </x:row>
    <x:row r="68" ht="42" customHeight="1">
      <x:c r="A68" s="61" t="n">
        <x:v>46143</x:v>
      </x:c>
      <x:c r="B68" s="32" t="str">
        <x:v>Petróleos y minerales</x:v>
      </x:c>
      <x:c r="C68" s="2" t="n">
        <x:v>209</x:v>
      </x:c>
      <x:c r="D68" s="2" t="n">
        <x:v>218</x:v>
      </x:c>
      <x:c r="E68" s="11" t="n">
        <x:v>-0.040999999999999995</x:v>
      </x:c>
      <x:c r="F68" s="2" t="n">
        <x:v>3976</x:v>
      </x:c>
      <x:c r="G68" s="2" t="n">
        <x:v>3827</x:v>
      </x:c>
      <x:c r="H68" s="47" t="n">
        <x:v>0.98</x:v>
      </x:c>
      <x:c r="I68" s="2"/>
      <x:c r="J68" s="2" t="str">
        <x:v>https://cammesaweb.cammesa.com/download/evolucion-de-la-demanda-por-rama-y-actividad-2026-05/?wpdmdl=52574</x:v>
      </x:c>
    </x:row>
    <x:row r="69" ht="42" customHeight="1">
      <x:c r="A69" s="61" t="n">
        <x:v>46143</x:v>
      </x:c>
      <x:c r="B69" s="32" t="str">
        <x:v>Aluar</x:v>
      </x:c>
      <x:c r="C69" s="2" t="n">
        <x:v>539</x:v>
      </x:c>
      <x:c r="D69" s="2" t="n">
        <x:v>377</x:v>
      </x:c>
      <x:c r="E69" s="11" t="n">
        <x:v>0.43200000000000005</x:v>
      </x:c>
      <x:c r="F69" s="2" t="n">
        <x:v>3976</x:v>
      </x:c>
      <x:c r="G69" s="2" t="n">
        <x:v>3827</x:v>
      </x:c>
      <x:c r="H69" s="47" t="n">
        <x:v>0.98</x:v>
      </x:c>
      <x:c r="I69" s="2"/>
      <x:c r="J69" s="2" t="str">
        <x:v>https://cammesaweb.cammesa.com/download/evolucion-de-la-demanda-por-rama-y-actividad-2026-05/?wpdmdl=52574</x:v>
      </x:c>
    </x:row>
    <x:row r="70" ht="42" customHeight="1">
      <x:c r="A70" s="61" t="n">
        <x:v>46174</x:v>
      </x:c>
      <x:c r="B70" s="32" t="str">
        <x:v>Alimentación, comercios y servicios</x:v>
      </x:c>
      <x:c r="C70" s="2" t="n">
        <x:v>1571</x:v>
      </x:c>
      <x:c r="D70" s="2" t="n">
        <x:v>1587</x:v>
      </x:c>
      <x:c r="E70" s="11" t="n">
        <x:v>-0.01</x:v>
      </x:c>
      <x:c r="F70" s="2" t="n">
        <x:v>3998</x:v>
      </x:c>
      <x:c r="G70" s="2" t="n">
        <x:v>3849</x:v>
      </x:c>
      <x:c r="H70" s="47" t="n">
        <x:v>0.98</x:v>
      </x:c>
      <x:c r="I70" s="2"/>
      <x:c r="J70" s="2" t="str">
        <x:v>https://cammesaweb.cammesa.com/download/evolucion-de-la-demanda-por-rama-y-actividad-2026-06/?wpdmdl=52689</x:v>
      </x:c>
    </x:row>
    <x:row r="71" ht="42" customHeight="1">
      <x:c r="A71" s="61" t="n">
        <x:v>46174</x:v>
      </x:c>
      <x:c r="B71" s="32" t="str">
        <x:v>Industrias sin Aluar</x:v>
      </x:c>
      <x:c r="C71" s="2" t="n">
        <x:v>1686</x:v>
      </x:c>
      <x:c r="D71" s="2" t="n">
        <x:v>1650</x:v>
      </x:c>
      <x:c r="E71" s="11" t="n">
        <x:v>0.022000000000000002</x:v>
      </x:c>
      <x:c r="F71" s="2" t="n">
        <x:v>3998</x:v>
      </x:c>
      <x:c r="G71" s="2" t="n">
        <x:v>3849</x:v>
      </x:c>
      <x:c r="H71" s="47" t="n">
        <x:v>0.98</x:v>
      </x:c>
      <x:c r="I71" s="2"/>
      <x:c r="J71" s="2" t="str">
        <x:v>https://cammesaweb.cammesa.com/download/evolucion-de-la-demanda-por-rama-y-actividad-2026-06/?wpdmdl=52689</x:v>
      </x:c>
    </x:row>
    <x:row r="72" ht="42" customHeight="1">
      <x:c r="A72" s="61" t="n">
        <x:v>46174</x:v>
      </x:c>
      <x:c r="B72" s="32" t="str">
        <x:v>Petróleos y minerales</x:v>
      </x:c>
      <x:c r="C72" s="2" t="n">
        <x:v>215</x:v>
      </x:c>
      <x:c r="D72" s="2" t="n">
        <x:v>212</x:v>
      </x:c>
      <x:c r="E72" s="11" t="n">
        <x:v>0.013999999999999999</x:v>
      </x:c>
      <x:c r="F72" s="2" t="n">
        <x:v>3998</x:v>
      </x:c>
      <x:c r="G72" s="2" t="n">
        <x:v>3849</x:v>
      </x:c>
      <x:c r="H72" s="47" t="n">
        <x:v>0.98</x:v>
      </x:c>
      <x:c r="I72" s="2"/>
      <x:c r="J72" s="2" t="str">
        <x:v>https://cammesaweb.cammesa.com/download/evolucion-de-la-demanda-por-rama-y-actividad-2026-06/?wpdmdl=52689</x:v>
      </x:c>
    </x:row>
    <x:row r="73" ht="42" customHeight="1">
      <x:c r="A73" s="61" t="n">
        <x:v>46174</x:v>
      </x:c>
      <x:c r="B73" s="32" t="str">
        <x:v>Aluar</x:v>
      </x:c>
      <x:c r="C73" s="2" t="n">
        <x:v>525</x:v>
      </x:c>
      <x:c r="D73" s="2" t="n">
        <x:v>400</x:v>
      </x:c>
      <x:c r="E73" s="11" t="n">
        <x:v>0.311</x:v>
      </x:c>
      <x:c r="F73" s="2" t="n">
        <x:v>3998</x:v>
      </x:c>
      <x:c r="G73" s="2" t="n">
        <x:v>3849</x:v>
      </x:c>
      <x:c r="H73" s="47" t="n">
        <x:v>0.98</x:v>
      </x:c>
      <x:c r="I73" s="2"/>
      <x:c r="J73" s="2" t="str">
        <x:v>https://cammesaweb.cammesa.com/download/evolucion-de-la-demanda-por-rama-y-actividad-2026-06/?wpdmdl=52689</x:v>
      </x:c>
    </x:row>
    <x:row r="74" ht="42" customHeight="1">
      <x:c r="A74" s="61" t="n">
        <x:v>46204</x:v>
      </x:c>
      <x:c r="B74" s="32" t="str">
        <x:v>Alimentación, comercios y servicios</x:v>
      </x:c>
      <x:c r="C74" s="2" t="n">
        <x:v>1541</x:v>
      </x:c>
      <x:c r="D74" s="2" t="n">
        <x:v>1564</x:v>
      </x:c>
      <x:c r="E74" s="11" t="n">
        <x:v>-0.015</x:v>
      </x:c>
      <x:c r="F74" s="2" t="n">
        <x:v>3924</x:v>
      </x:c>
      <x:c r="G74" s="2" t="n">
        <x:v>3891</x:v>
      </x:c>
      <x:c r="H74" s="47" t="n">
        <x:v>0.98</x:v>
      </x:c>
      <x:c r="I74" s="2"/>
      <x:c r="J74" s="2" t="str">
        <x:v>https://cammesaweb.cammesa.com/download/evolucion-de-la-demanda-por-rama-y-actividad-2026-07/?wpdmdl=52837</x:v>
      </x:c>
    </x:row>
    <x:row r="75" ht="42" customHeight="1">
      <x:c r="A75" s="61" t="n">
        <x:v>46204</x:v>
      </x:c>
      <x:c r="B75" s="32" t="str">
        <x:v>Industrias sin Aluar</x:v>
      </x:c>
      <x:c r="C75" s="2" t="n">
        <x:v>1629</x:v>
      </x:c>
      <x:c r="D75" s="2" t="n">
        <x:v>1655</x:v>
      </x:c>
      <x:c r="E75" s="11" t="n">
        <x:v>-0.015</x:v>
      </x:c>
      <x:c r="F75" s="2" t="n">
        <x:v>3924</x:v>
      </x:c>
      <x:c r="G75" s="2" t="n">
        <x:v>3891</x:v>
      </x:c>
      <x:c r="H75" s="47" t="n">
        <x:v>0.98</x:v>
      </x:c>
      <x:c r="I75" s="2"/>
      <x:c r="J75" s="2" t="str">
        <x:v>https://cammesaweb.cammesa.com/download/evolucion-de-la-demanda-por-rama-y-actividad-2026-07/?wpdmdl=52837</x:v>
      </x:c>
    </x:row>
    <x:row r="76" ht="42" customHeight="1">
      <x:c r="A76" s="61" t="n">
        <x:v>46204</x:v>
      </x:c>
      <x:c r="B76" s="32" t="str">
        <x:v>Petróleos y minerales</x:v>
      </x:c>
      <x:c r="C76" s="2" t="n">
        <x:v>208</x:v>
      </x:c>
      <x:c r="D76" s="2" t="n">
        <x:v>210</x:v>
      </x:c>
      <x:c r="E76" s="11" t="n">
        <x:v>-0.01</x:v>
      </x:c>
      <x:c r="F76" s="2" t="n">
        <x:v>3924</x:v>
      </x:c>
      <x:c r="G76" s="2" t="n">
        <x:v>3891</x:v>
      </x:c>
      <x:c r="H76" s="47" t="n">
        <x:v>0.98</x:v>
      </x:c>
      <x:c r="I76" s="2"/>
      <x:c r="J76" s="2" t="str">
        <x:v>https://cammesaweb.cammesa.com/download/evolucion-de-la-demanda-por-rama-y-actividad-2026-07/?wpdmdl=52837</x:v>
      </x:c>
    </x:row>
    <x:row r="77" ht="42" customHeight="1">
      <x:c r="A77" s="61" t="n">
        <x:v>46204</x:v>
      </x:c>
      <x:c r="B77" s="32" t="str">
        <x:v>Aluar</x:v>
      </x:c>
      <x:c r="C77" s="2" t="n">
        <x:v>546</x:v>
      </x:c>
      <x:c r="D77" s="2" t="n">
        <x:v>462</x:v>
      </x:c>
      <x:c r="E77" s="11" t="n">
        <x:v>0.18100000000000002</x:v>
      </x:c>
      <x:c r="F77" s="2" t="n">
        <x:v>3924</x:v>
      </x:c>
      <x:c r="G77" s="2" t="n">
        <x:v>3891</x:v>
      </x:c>
      <x:c r="H77" s="47" t="n">
        <x:v>0.98</x:v>
      </x:c>
      <x:c r="I77" s="2"/>
      <x:c r="J77" s="2" t="str">
        <x:v>https://cammesaweb.cammesa.com/download/evolucion-de-la-demanda-por-rama-y-actividad-2026-07/?wpdmdl=52837</x:v>
      </x:c>
    </x:row>
    <x:row r="78" ht="42" customHeight="1">
      <x:c r="A78" s="61" t="n">
        <x:v>46235</x:v>
      </x:c>
      <x:c r="B78" s="32" t="str">
        <x:v>Alimentación, comercios y servicios</x:v>
      </x:c>
      <x:c r="C78" s="2" t="n">
        <x:v>1554</x:v>
      </x:c>
      <x:c r="D78" s="2" t="n">
        <x:v>1576</x:v>
      </x:c>
      <x:c r="E78" s="11" t="n">
        <x:v>-0.013999999999999999</x:v>
      </x:c>
      <x:c r="F78" s="2" t="n">
        <x:v>3947</x:v>
      </x:c>
      <x:c r="G78" s="2" t="n">
        <x:v>3816</x:v>
      </x:c>
      <x:c r="H78" s="47" t="n">
        <x:v>0.9</x:v>
      </x:c>
      <x:c r="I78" s="2"/>
      <x:c r="J78" s="2" t="str">
        <x:v>https://cammesaweb.cammesa.com/download/evolucion-de-la-demanda-por-rama-y-actividad-2026-08/?wpdmdl=53075</x:v>
      </x:c>
    </x:row>
    <x:row r="79" ht="42" customHeight="1">
      <x:c r="A79" s="61" t="n">
        <x:v>46235</x:v>
      </x:c>
      <x:c r="B79" s="32" t="str">
        <x:v>Industrias sin Aluar</x:v>
      </x:c>
      <x:c r="C79" s="2" t="n">
        <x:v>1644</x:v>
      </x:c>
      <x:c r="D79" s="2" t="n">
        <x:v>1655</x:v>
      </x:c>
      <x:c r="E79" s="11" t="n">
        <x:v>-0.006999999999999999</x:v>
      </x:c>
      <x:c r="F79" s="2" t="n">
        <x:v>3947</x:v>
      </x:c>
      <x:c r="G79" s="2" t="n">
        <x:v>3816</x:v>
      </x:c>
      <x:c r="H79" s="47" t="n">
        <x:v>0.9</x:v>
      </x:c>
      <x:c r="I79" s="2"/>
      <x:c r="J79" s="2" t="str">
        <x:v>https://cammesaweb.cammesa.com/download/evolucion-de-la-demanda-por-rama-y-actividad-2026-08/?wpdmdl=53075</x:v>
      </x:c>
    </x:row>
    <x:row r="80" ht="42" customHeight="1">
      <x:c r="A80" s="61" t="n">
        <x:v>46235</x:v>
      </x:c>
      <x:c r="B80" s="32" t="str">
        <x:v>Petróleos y minerales</x:v>
      </x:c>
      <x:c r="C80" s="2" t="n">
        <x:v>202</x:v>
      </x:c>
      <x:c r="D80" s="2" t="n">
        <x:v>209</x:v>
      </x:c>
      <x:c r="E80" s="11" t="n">
        <x:v>-0.032</x:v>
      </x:c>
      <x:c r="F80" s="2" t="n">
        <x:v>3947</x:v>
      </x:c>
      <x:c r="G80" s="2" t="n">
        <x:v>3816</x:v>
      </x:c>
      <x:c r="H80" s="47" t="n">
        <x:v>0.9</x:v>
      </x:c>
      <x:c r="I80" s="2"/>
      <x:c r="J80" s="2" t="str">
        <x:v>https://cammesaweb.cammesa.com/download/evolucion-de-la-demanda-por-rama-y-actividad-2026-08/?wpdmdl=53075</x:v>
      </x:c>
    </x:row>
    <x:row r="81" ht="42" customHeight="1">
      <x:c r="A81" s="61" t="n">
        <x:v>46235</x:v>
      </x:c>
      <x:c r="B81" s="32" t="str">
        <x:v>Aluar</x:v>
      </x:c>
      <x:c r="C81" s="2" t="n">
        <x:v>547</x:v>
      </x:c>
      <x:c r="D81" s="2" t="n">
        <x:v>376</x:v>
      </x:c>
      <x:c r="E81" s="11" t="n">
        <x:v>0.456</x:v>
      </x:c>
      <x:c r="F81" s="2" t="n">
        <x:v>3947</x:v>
      </x:c>
      <x:c r="G81" s="2" t="n">
        <x:v>3816</x:v>
      </x:c>
      <x:c r="H81" s="47" t="n">
        <x:v>0.9</x:v>
      </x:c>
      <x:c r="I81" s="2"/>
      <x:c r="J81" s="2" t="str">
        <x:v>https://cammesaweb.cammesa.com/download/evolucion-de-la-demanda-por-rama-y-actividad-2026-08/?wpdmdl=53075</x:v>
      </x:c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5E4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6" hidden="0" customWidth="1"/>
    <x:col min="8" max="8" width="22" hidden="0" customWidth="1"/>
    <x:col min="9" max="9" width="23" hidden="0" customWidth="1"/>
    <x:col min="10" max="10" width="3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Aluar: consumo y abastecimiento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Puerto Madryn, División Primario. Comparación anual julio-junio, separada del mes de agosto.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42" customHeight="1">
      <x:c r="A6" s="60" t="str">
        <x:v>Indicador</x:v>
      </x:c>
      <x:c r="B6" s="60" t="str">
        <x:v>Unidad</x:v>
      </x:c>
      <x:c r="C6" s="60" t="str">
        <x:v>2024-2025</x:v>
      </x:c>
      <x:c r="D6" s="60" t="str">
        <x:v>2025-2026</x:v>
      </x:c>
      <x:c r="E6" s="60" t="str">
        <x:v>Cambio</x:v>
      </x:c>
      <x:c r="F6" s="60" t="str">
        <x:v>Variación</x:v>
      </x:c>
      <x:c r="G6" s="2"/>
      <x:c r="H6" s="2"/>
      <x:c r="I6" s="2"/>
      <x:c r="J6" s="2"/>
    </x:row>
    <x:row r="7" ht="24" customHeight="1">
      <x:c r="A7" s="2" t="str">
        <x:v>Producción aluminio líquido</x:v>
      </x:c>
      <x:c r="B7" s="2" t="str">
        <x:v>t</x:v>
      </x:c>
      <x:c r="C7" s="45" t="n">
        <x:v>445327</x:v>
      </x:c>
      <x:c r="D7" s="45" t="n">
        <x:v>450677</x:v>
      </x:c>
      <x:c r="E7" s="45" t="n">
        <x:f>D7-C7</x:f>
        <x:v>5350</x:v>
      </x:c>
      <x:c r="F7" s="11" t="n">
        <x:f>IF(C7=0,"n.a.",E7/C7)</x:f>
        <x:v>0.012013643906612444</x:v>
      </x:c>
      <x:c r="G7" s="2"/>
      <x:c r="H7" s="2"/>
      <x:c r="I7" s="2"/>
      <x:c r="J7" s="2"/>
    </x:row>
    <x:row r="8" ht="24" customHeight="1">
      <x:c r="A8" s="2" t="str">
        <x:v>Consumo eléctrico total</x:v>
      </x:c>
      <x:c r="B8" s="2" t="str">
        <x:v>MWh</x:v>
      </x:c>
      <x:c r="C8" s="45" t="n">
        <x:v>6706909</x:v>
      </x:c>
      <x:c r="D8" s="45" t="n">
        <x:v>6819827</x:v>
      </x:c>
      <x:c r="E8" s="45" t="n">
        <x:f>D8-C8</x:f>
        <x:v>112918</x:v>
      </x:c>
      <x:c r="F8" s="11" t="n">
        <x:f>IF(C8=0,"n.a.",E8/C8)</x:f>
        <x:v>0.016836071579322157</x:v>
      </x:c>
      <x:c r="G8" s="2"/>
      <x:c r="H8" s="2"/>
      <x:c r="I8" s="2"/>
      <x:c r="J8" s="2"/>
    </x:row>
    <x:row r="9" ht="24" customHeight="1">
      <x:c r="A9" s="2" t="str">
        <x:v>Sistema nacional / Futaleufú</x:v>
      </x:c>
      <x:c r="B9" s="2" t="str">
        <x:v>MWh</x:v>
      </x:c>
      <x:c r="C9" s="45" t="n">
        <x:v>2716304</x:v>
      </x:c>
      <x:c r="D9" s="45" t="n">
        <x:v>2946785</x:v>
      </x:c>
      <x:c r="E9" s="45" t="n">
        <x:f>D9-C9</x:f>
        <x:v>230481</x:v>
      </x:c>
      <x:c r="F9" s="11" t="n">
        <x:f>IF(C9=0,"n.a.",E9/C9)</x:f>
        <x:v>0.08485095924462063</x:v>
      </x:c>
      <x:c r="G9" s="2"/>
      <x:c r="H9" s="2"/>
      <x:c r="I9" s="2"/>
      <x:c r="J9" s="2"/>
    </x:row>
    <x:row r="10" ht="24" customHeight="1">
      <x:c r="A10" s="2" t="str">
        <x:v>Abastecimiento térmico propio</x:v>
      </x:c>
      <x:c r="B10" s="2" t="str">
        <x:v>MWh</x:v>
      </x:c>
      <x:c r="C10" s="45" t="n">
        <x:v>3198634</x:v>
      </x:c>
      <x:c r="D10" s="45" t="n">
        <x:v>3048718</x:v>
      </x:c>
      <x:c r="E10" s="45" t="n">
        <x:f>D10-C10</x:f>
        <x:v>-149916</x:v>
      </x:c>
      <x:c r="F10" s="11" t="n">
        <x:f>IF(C10=0,"n.a.",E10/C10)</x:f>
        <x:v>-0.04686875710068736</x:v>
      </x:c>
      <x:c r="G10" s="2"/>
      <x:c r="H10" s="2"/>
      <x:c r="I10" s="2"/>
      <x:c r="J10" s="2"/>
    </x:row>
    <x:row r="11" ht="24" customHeight="1">
      <x:c r="A11" s="2" t="str">
        <x:v>Abastecimiento eólico propio</x:v>
      </x:c>
      <x:c r="B11" s="2" t="str">
        <x:v>MWh</x:v>
      </x:c>
      <x:c r="C11" s="45" t="n">
        <x:v>791586</x:v>
      </x:c>
      <x:c r="D11" s="45" t="n">
        <x:v>824324</x:v>
      </x:c>
      <x:c r="E11" s="45" t="n">
        <x:f>D11-C11</x:f>
        <x:v>32738</x:v>
      </x:c>
      <x:c r="F11" s="11" t="n">
        <x:f>IF(C11=0,"n.a.",E11/C11)</x:f>
        <x:v>0.04135747726715733</x:v>
      </x:c>
      <x:c r="G11" s="2"/>
      <x:c r="H11" s="2"/>
      <x:c r="I11" s="2"/>
      <x:c r="J11" s="2"/>
    </x:row>
    <x:row r="12" ht="24" customHeight="1">
      <x:c r="A12" s="2" t="str">
        <x:v>Residuo documental</x:v>
      </x:c>
      <x:c r="B12" s="2" t="str">
        <x:v>MWh</x:v>
      </x:c>
      <x:c r="C12" s="45" t="n">
        <x:v>385</x:v>
      </x:c>
      <x:c r="D12" s="45" t="n">
        <x:v>0</x:v>
      </x:c>
      <x:c r="E12" s="45" t="n">
        <x:f>D12-C12</x:f>
        <x:v>-385</x:v>
      </x:c>
      <x:c r="F12" s="11" t="n">
        <x:f>IF(C12=0,"n.a.",E12/C12)</x:f>
        <x:v>-1</x:v>
      </x:c>
      <x:c r="G12" s="2"/>
      <x:c r="H12" s="2"/>
      <x:c r="I12" s="2"/>
      <x:c r="J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4" customHeight="1">
      <x:c r="A14" s="2" t="str">
        <x:v>Balance anual del cambio (MWh)</x:v>
      </x:c>
      <x:c r="B14" s="2"/>
      <x:c r="C14" s="45" t="n">
        <x:f>SUM(E9:E12)</x:f>
        <x:v>112918</x:v>
      </x:c>
      <x:c r="D14" s="2"/>
      <x:c r="E14" s="2"/>
      <x:c r="F14" s="2"/>
      <x:c r="G14" s="2"/>
      <x:c r="H14" s="2"/>
      <x:c r="I14" s="2"/>
      <x:c r="J14" s="2"/>
    </x:row>
    <x:row r="15" ht="24" customHeight="1">
      <x:c r="A15" s="2" t="str">
        <x:v>El residuo de 385 MWh de 2025 se conserva: no es una tecnología de generación.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 t="str">
        <x:v>Datos mensuales: energía neta tomada de la red, calculada desde MW medios diarios.</x:v>
      </x:c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 t="str">
        <x:v>Las cinco columnas faltantes quedan vacías. No se distribuye producción trimestral entre meses.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4" customHeight="1">
      <x:c r="A19" s="2" t="str">
        <x:v>Sin balance bruto ni autogeneración utilizada, no se identifica la causa mensual ni el aporte de IA.</x:v>
      </x:c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42" customHeight="1">
      <x:c r="A21" s="60" t="str">
        <x:v>Mes</x:v>
      </x:c>
      <x:c r="B21" s="60" t="str">
        <x:v>Días</x:v>
      </x:c>
      <x:c r="C21" s="60" t="str">
        <x:v>Red MW medios</x:v>
      </x:c>
      <x:c r="D21" s="60" t="str">
        <x:v>Red neta GWh</x:v>
      </x:c>
      <x:c r="E21" s="60" t="str">
        <x:v>Producción t</x:v>
      </x:c>
      <x:c r="F21" s="60" t="str">
        <x:v>Consumo bruto MWh</x:v>
      </x:c>
      <x:c r="G21" s="60" t="str">
        <x:v>Térmica utilizada MWh</x:v>
      </x:c>
      <x:c r="H21" s="60" t="str">
        <x:v>Eólica utilizada MWh</x:v>
      </x:c>
      <x:c r="I21" s="60" t="str">
        <x:v>Ventas y pérdidas MWh</x:v>
      </x:c>
      <x:c r="J21" s="60" t="str">
        <x:v>Estado del período</x:v>
      </x:c>
    </x:row>
    <x:row r="22" ht="24" customHeight="1">
      <x:c r="A22" s="4" t="n">
        <x:v>44562</x:v>
      </x:c>
      <x:c r="B22" s="2" t="n">
        <x:v>31</x:v>
      </x:c>
      <x:c r="C22" s="48" t="n">
        <x:v>175.07797715053763</x:v>
      </x:c>
      <x:c r="D22" s="48" t="n">
        <x:f>C22*B22*$B$82/$B$83</x:f>
        <x:v>130.258015</x:v>
      </x:c>
      <x:c r="E22" s="2"/>
      <x:c r="F22" s="2"/>
      <x:c r="G22" s="2"/>
      <x:c r="H22" s="2"/>
      <x:c r="I22" s="2"/>
      <x:c r="J22" s="2" t="str">
        <x:v>Completo</x:v>
      </x:c>
    </x:row>
    <x:row r="23" ht="24" customHeight="1">
      <x:c r="A23" s="4" t="n">
        <x:v>44593</x:v>
      </x:c>
      <x:c r="B23" s="2" t="n">
        <x:v>28</x:v>
      </x:c>
      <x:c r="C23" s="48" t="n">
        <x:v>229.79165327380952</x:v>
      </x:c>
      <x:c r="D23" s="48" t="n">
        <x:f>C23*B23*$B$82/$B$83</x:f>
        <x:v>154.41999099999998</x:v>
      </x:c>
      <x:c r="E23" s="2"/>
      <x:c r="F23" s="2"/>
      <x:c r="G23" s="2"/>
      <x:c r="H23" s="2"/>
      <x:c r="I23" s="2"/>
      <x:c r="J23" s="2" t="str">
        <x:v>Completo</x:v>
      </x:c>
    </x:row>
    <x:row r="24" ht="24" customHeight="1">
      <x:c r="A24" s="4" t="n">
        <x:v>44621</x:v>
      </x:c>
      <x:c r="B24" s="2" t="n">
        <x:v>31</x:v>
      </x:c>
      <x:c r="C24" s="48" t="n">
        <x:v>296.8301559139785</x:v>
      </x:c>
      <x:c r="D24" s="48" t="n">
        <x:f>C24*B24*$B$82/$B$83</x:f>
        <x:v>220.841636</x:v>
      </x:c>
      <x:c r="E24" s="2"/>
      <x:c r="F24" s="2"/>
      <x:c r="G24" s="2"/>
      <x:c r="H24" s="2"/>
      <x:c r="I24" s="2"/>
      <x:c r="J24" s="2" t="str">
        <x:v>Completo</x:v>
      </x:c>
    </x:row>
    <x:row r="25" ht="24" customHeight="1">
      <x:c r="A25" s="4" t="n">
        <x:v>44652</x:v>
      </x:c>
      <x:c r="B25" s="2" t="n">
        <x:v>30</x:v>
      </x:c>
      <x:c r="C25" s="48" t="n">
        <x:v>375.24285</x:v>
      </x:c>
      <x:c r="D25" s="48" t="n">
        <x:f>C25*B25*$B$82/$B$83</x:f>
        <x:v>270.174852</x:v>
      </x:c>
      <x:c r="E25" s="2"/>
      <x:c r="F25" s="2"/>
      <x:c r="G25" s="2"/>
      <x:c r="H25" s="2"/>
      <x:c r="I25" s="2"/>
      <x:c r="J25" s="2" t="str">
        <x:v>Completo</x:v>
      </x:c>
    </x:row>
    <x:row r="26" ht="24" customHeight="1">
      <x:c r="A26" s="4" t="n">
        <x:v>44682</x:v>
      </x:c>
      <x:c r="B26" s="2" t="n">
        <x:v>31</x:v>
      </x:c>
      <x:c r="C26" s="48" t="n">
        <x:v>332.32777822580647</x:v>
      </x:c>
      <x:c r="D26" s="48" t="n">
        <x:f>C26*B26*$B$82/$B$83</x:f>
        <x:v>247.25186700000003</x:v>
      </x:c>
      <x:c r="E26" s="2"/>
      <x:c r="F26" s="2"/>
      <x:c r="G26" s="2"/>
      <x:c r="H26" s="2"/>
      <x:c r="I26" s="2"/>
      <x:c r="J26" s="2" t="str">
        <x:v>Completo</x:v>
      </x:c>
    </x:row>
    <x:row r="27" ht="24" customHeight="1">
      <x:c r="A27" s="4" t="n">
        <x:v>44713</x:v>
      </x:c>
      <x:c r="B27" s="2" t="n">
        <x:v>30</x:v>
      </x:c>
      <x:c r="C27" s="48" t="n">
        <x:v>303.6497097222222</x:v>
      </x:c>
      <x:c r="D27" s="48" t="n">
        <x:f>C27*B27*$B$82/$B$83</x:f>
        <x:v>218.62779100000003</x:v>
      </x:c>
      <x:c r="E27" s="2"/>
      <x:c r="F27" s="2"/>
      <x:c r="G27" s="2"/>
      <x:c r="H27" s="2"/>
      <x:c r="I27" s="2"/>
      <x:c r="J27" s="2" t="str">
        <x:v>Completo</x:v>
      </x:c>
    </x:row>
    <x:row r="28" ht="24" customHeight="1">
      <x:c r="A28" s="4" t="n">
        <x:v>44743</x:v>
      </x:c>
      <x:c r="B28" s="2" t="n">
        <x:v>31</x:v>
      </x:c>
      <x:c r="C28" s="48" t="n">
        <x:v>267.1094233870968</x:v>
      </x:c>
      <x:c r="D28" s="48" t="n">
        <x:f>C28*B28*$B$82/$B$83</x:f>
        <x:v>198.72941100000003</x:v>
      </x:c>
      <x:c r="E28" s="2"/>
      <x:c r="F28" s="2"/>
      <x:c r="G28" s="2"/>
      <x:c r="H28" s="2"/>
      <x:c r="I28" s="2"/>
      <x:c r="J28" s="2" t="str">
        <x:v>Completo</x:v>
      </x:c>
    </x:row>
    <x:row r="29" ht="24" customHeight="1">
      <x:c r="A29" s="4" t="n">
        <x:v>44774</x:v>
      </x:c>
      <x:c r="B29" s="2" t="n">
        <x:v>31</x:v>
      </x:c>
      <x:c r="C29" s="48" t="n">
        <x:v>267.01675403225806</x:v>
      </x:c>
      <x:c r="D29" s="48" t="n">
        <x:f>C29*B29*$B$82/$B$83</x:f>
        <x:v>198.660465</x:v>
      </x:c>
      <x:c r="E29" s="2"/>
      <x:c r="F29" s="2"/>
      <x:c r="G29" s="2"/>
      <x:c r="H29" s="2"/>
      <x:c r="I29" s="2"/>
      <x:c r="J29" s="2" t="str">
        <x:v>Completo</x:v>
      </x:c>
    </x:row>
    <x:row r="30" ht="24" customHeight="1">
      <x:c r="A30" s="4" t="n">
        <x:v>44805</x:v>
      </x:c>
      <x:c r="B30" s="2" t="n">
        <x:v>30</x:v>
      </x:c>
      <x:c r="C30" s="48" t="n">
        <x:v>326.3877694444445</x:v>
      </x:c>
      <x:c r="D30" s="48" t="n">
        <x:f>C30*B30*$B$82/$B$83</x:f>
        <x:v>234.99919400000002</x:v>
      </x:c>
      <x:c r="E30" s="2"/>
      <x:c r="F30" s="2"/>
      <x:c r="G30" s="2"/>
      <x:c r="H30" s="2"/>
      <x:c r="I30" s="2"/>
      <x:c r="J30" s="2" t="str">
        <x:v>Completo</x:v>
      </x:c>
    </x:row>
    <x:row r="31" ht="24" customHeight="1">
      <x:c r="A31" s="4" t="n">
        <x:v>44835</x:v>
      </x:c>
      <x:c r="B31" s="2" t="n">
        <x:v>31</x:v>
      </x:c>
      <x:c r="C31" s="48" t="n">
        <x:v>283.89480241935485</x:v>
      </x:c>
      <x:c r="D31" s="48" t="n">
        <x:f>C31*B31*$B$82/$B$83</x:f>
        <x:v>211.217733</x:v>
      </x:c>
      <x:c r="E31" s="2"/>
      <x:c r="F31" s="2"/>
      <x:c r="G31" s="2"/>
      <x:c r="H31" s="2"/>
      <x:c r="I31" s="2"/>
      <x:c r="J31" s="2" t="str">
        <x:v>Completo</x:v>
      </x:c>
    </x:row>
    <x:row r="32" ht="24" customHeight="1">
      <x:c r="A32" s="4" t="n">
        <x:v>44866</x:v>
      </x:c>
      <x:c r="B32" s="2" t="n">
        <x:v>30</x:v>
      </x:c>
      <x:c r="C32" s="48" t="n">
        <x:v>334.8559319444445</x:v>
      </x:c>
      <x:c r="D32" s="48" t="n">
        <x:f>C32*B32*$B$82/$B$83</x:f>
        <x:v>241.096271</x:v>
      </x:c>
      <x:c r="E32" s="2"/>
      <x:c r="F32" s="2"/>
      <x:c r="G32" s="2"/>
      <x:c r="H32" s="2"/>
      <x:c r="I32" s="2"/>
      <x:c r="J32" s="2" t="str">
        <x:v>Completo</x:v>
      </x:c>
    </x:row>
    <x:row r="33" ht="24" customHeight="1">
      <x:c r="A33" s="4" t="n">
        <x:v>44896</x:v>
      </x:c>
      <x:c r="B33" s="2" t="n">
        <x:v>31</x:v>
      </x:c>
      <x:c r="C33" s="48" t="n">
        <x:v>348.4676330645161</x:v>
      </x:c>
      <x:c r="D33" s="48" t="n">
        <x:f>C33*B33*$B$82/$B$83</x:f>
        <x:v>259.25991899999997</x:v>
      </x:c>
      <x:c r="E33" s="2"/>
      <x:c r="F33" s="2"/>
      <x:c r="G33" s="2"/>
      <x:c r="H33" s="2"/>
      <x:c r="I33" s="2"/>
      <x:c r="J33" s="2" t="str">
        <x:v>Completo</x:v>
      </x:c>
    </x:row>
    <x:row r="34" ht="24" customHeight="1">
      <x:c r="A34" s="4" t="n">
        <x:v>44927</x:v>
      </x:c>
      <x:c r="B34" s="2" t="n">
        <x:v>31</x:v>
      </x:c>
      <x:c r="C34" s="48" t="n">
        <x:v>289.45479838709673</x:v>
      </x:c>
      <x:c r="D34" s="48" t="n">
        <x:f>C34*B34*$B$82/$B$83</x:f>
        <x:v>215.35437</x:v>
      </x:c>
      <x:c r="E34" s="2"/>
      <x:c r="F34" s="2"/>
      <x:c r="G34" s="2"/>
      <x:c r="H34" s="2"/>
      <x:c r="I34" s="2"/>
      <x:c r="J34" s="2" t="str">
        <x:v>Completo</x:v>
      </x:c>
    </x:row>
    <x:row r="35" ht="24" customHeight="1">
      <x:c r="A35" s="4" t="n">
        <x:v>44958</x:v>
      </x:c>
      <x:c r="B35" s="2" t="n">
        <x:v>28</x:v>
      </x:c>
      <x:c r="C35" s="48" t="n">
        <x:v>289.02801636904763</x:v>
      </x:c>
      <x:c r="D35" s="48" t="n">
        <x:f>C35*B35*$B$82/$B$83</x:f>
        <x:v>194.226827</x:v>
      </x:c>
      <x:c r="E35" s="2"/>
      <x:c r="F35" s="2"/>
      <x:c r="G35" s="2"/>
      <x:c r="H35" s="2"/>
      <x:c r="I35" s="2"/>
      <x:c r="J35" s="2" t="str">
        <x:v>Completo</x:v>
      </x:c>
    </x:row>
    <x:row r="36" ht="24" customHeight="1">
      <x:c r="A36" s="4" t="n">
        <x:v>44986</x:v>
      </x:c>
      <x:c r="B36" s="2" t="n">
        <x:v>31</x:v>
      </x:c>
      <x:c r="C36" s="48" t="n">
        <x:v>280.35554704301074</x:v>
      </x:c>
      <x:c r="D36" s="48" t="n">
        <x:f>C36*B36*$B$82/$B$83</x:f>
        <x:v>208.584527</x:v>
      </x:c>
      <x:c r="E36" s="2"/>
      <x:c r="F36" s="2"/>
      <x:c r="G36" s="2"/>
      <x:c r="H36" s="2"/>
      <x:c r="I36" s="2"/>
      <x:c r="J36" s="2" t="str">
        <x:v>Completo</x:v>
      </x:c>
    </x:row>
    <x:row r="37" ht="24" customHeight="1">
      <x:c r="A37" s="4" t="n">
        <x:v>45017</x:v>
      </x:c>
      <x:c r="B37" s="2" t="n">
        <x:v>30</x:v>
      </x:c>
      <x:c r="C37" s="48" t="n">
        <x:v>279.8999416666667</x:v>
      </x:c>
      <x:c r="D37" s="48" t="n">
        <x:f>C37*B37*$B$82/$B$83</x:f>
        <x:v>201.527958</x:v>
      </x:c>
      <x:c r="E37" s="2"/>
      <x:c r="F37" s="2"/>
      <x:c r="G37" s="2"/>
      <x:c r="H37" s="2"/>
      <x:c r="I37" s="2"/>
      <x:c r="J37" s="2" t="str">
        <x:v>Completo</x:v>
      </x:c>
    </x:row>
    <x:row r="38" ht="24" customHeight="1">
      <x:c r="A38" s="4" t="n">
        <x:v>45047</x:v>
      </x:c>
      <x:c r="B38" s="2" t="n">
        <x:v>31</x:v>
      </x:c>
      <x:c r="C38" s="48" t="n">
        <x:v>295.0773696236559</x:v>
      </x:c>
      <x:c r="D38" s="48" t="n">
        <x:f>C38*B38*$B$82/$B$83</x:f>
        <x:v>219.537563</x:v>
      </x:c>
      <x:c r="E38" s="2"/>
      <x:c r="F38" s="2"/>
      <x:c r="G38" s="2"/>
      <x:c r="H38" s="2"/>
      <x:c r="I38" s="2"/>
      <x:c r="J38" s="2" t="str">
        <x:v>Completo</x:v>
      </x:c>
    </x:row>
    <x:row r="39" ht="24" customHeight="1">
      <x:c r="A39" s="4" t="n">
        <x:v>45078</x:v>
      </x:c>
      <x:c r="B39" s="2" t="n">
        <x:v>30</x:v>
      </x:c>
      <x:c r="C39" s="48" t="n">
        <x:v>449.92416388888887</x:v>
      </x:c>
      <x:c r="D39" s="48" t="n">
        <x:f>C39*B39*$B$82/$B$83</x:f>
        <x:v>323.945398</x:v>
      </x:c>
      <x:c r="E39" s="2"/>
      <x:c r="F39" s="2"/>
      <x:c r="G39" s="2"/>
      <x:c r="H39" s="2"/>
      <x:c r="I39" s="2"/>
      <x:c r="J39" s="2" t="str">
        <x:v>Completo</x:v>
      </x:c>
    </x:row>
    <x:row r="40" ht="24" customHeight="1">
      <x:c r="A40" s="4" t="n">
        <x:v>45108</x:v>
      </x:c>
      <x:c r="B40" s="2" t="n">
        <x:v>31</x:v>
      </x:c>
      <x:c r="C40" s="48" t="n">
        <x:v>294.23226478494627</x:v>
      </x:c>
      <x:c r="D40" s="48" t="n">
        <x:f>C40*B40*$B$82/$B$83</x:f>
        <x:v>218.908805</x:v>
      </x:c>
      <x:c r="E40" s="2"/>
      <x:c r="F40" s="2"/>
      <x:c r="G40" s="2"/>
      <x:c r="H40" s="2"/>
      <x:c r="I40" s="2"/>
      <x:c r="J40" s="2" t="str">
        <x:v>Completo</x:v>
      </x:c>
    </x:row>
    <x:row r="41" ht="24" customHeight="1">
      <x:c r="A41" s="4" t="n">
        <x:v>45139</x:v>
      </x:c>
      <x:c r="B41" s="2" t="n">
        <x:v>31</x:v>
      </x:c>
      <x:c r="C41" s="48" t="n">
        <x:v>306.1637271505376</x:v>
      </x:c>
      <x:c r="D41" s="48" t="n">
        <x:f>C41*B41*$B$82/$B$83</x:f>
        <x:v>227.78581300000002</x:v>
      </x:c>
      <x:c r="E41" s="2"/>
      <x:c r="F41" s="2"/>
      <x:c r="G41" s="2"/>
      <x:c r="H41" s="2"/>
      <x:c r="I41" s="2"/>
      <x:c r="J41" s="2" t="str">
        <x:v>Completo</x:v>
      </x:c>
    </x:row>
    <x:row r="42" ht="24" customHeight="1">
      <x:c r="A42" s="4" t="n">
        <x:v>45170</x:v>
      </x:c>
      <x:c r="B42" s="2" t="n">
        <x:v>30</x:v>
      </x:c>
      <x:c r="C42" s="48" t="n">
        <x:v>294.31219027777774</x:v>
      </x:c>
      <x:c r="D42" s="48" t="n">
        <x:f>C42*B42*$B$82/$B$83</x:f>
        <x:v>211.904777</x:v>
      </x:c>
      <x:c r="E42" s="2"/>
      <x:c r="F42" s="2"/>
      <x:c r="G42" s="2"/>
      <x:c r="H42" s="2"/>
      <x:c r="I42" s="2"/>
      <x:c r="J42" s="2" t="str">
        <x:v>Completo</x:v>
      </x:c>
    </x:row>
    <x:row r="43" ht="24" customHeight="1">
      <x:c r="A43" s="4" t="n">
        <x:v>45200</x:v>
      </x:c>
      <x:c r="B43" s="2" t="n">
        <x:v>31</x:v>
      </x:c>
      <x:c r="C43" s="48" t="n">
        <x:v>262.9964731182796</x:v>
      </x:c>
      <x:c r="D43" s="48" t="n">
        <x:f>C43*B43*$B$82/$B$83</x:f>
        <x:v>195.66937600000003</x:v>
      </x:c>
      <x:c r="E43" s="2"/>
      <x:c r="F43" s="2"/>
      <x:c r="G43" s="2"/>
      <x:c r="H43" s="2"/>
      <x:c r="I43" s="2"/>
      <x:c r="J43" s="2" t="str">
        <x:v>Completo</x:v>
      </x:c>
    </x:row>
    <x:row r="44" ht="24" customHeight="1">
      <x:c r="A44" s="4" t="n">
        <x:v>45231</x:v>
      </x:c>
      <x:c r="B44" s="2" t="n">
        <x:v>30</x:v>
      </x:c>
      <x:c r="C44" s="48" t="n">
        <x:v>276.7317916666667</x:v>
      </x:c>
      <x:c r="D44" s="48" t="n">
        <x:f>C44*B44*$B$82/$B$83</x:f>
        <x:v>199.24689</x:v>
      </x:c>
      <x:c r="E44" s="2"/>
      <x:c r="F44" s="2"/>
      <x:c r="G44" s="2"/>
      <x:c r="H44" s="2"/>
      <x:c r="I44" s="2"/>
      <x:c r="J44" s="2" t="str">
        <x:v>Completo</x:v>
      </x:c>
    </x:row>
    <x:row r="45" ht="24" customHeight="1">
      <x:c r="A45" s="4" t="n">
        <x:v>45261</x:v>
      </x:c>
      <x:c r="B45" s="2" t="n">
        <x:v>31</x:v>
      </x:c>
      <x:c r="C45" s="48" t="n">
        <x:v>280.65294489247316</x:v>
      </x:c>
      <x:c r="D45" s="48" t="n">
        <x:f>C45*B45*$B$82/$B$83</x:f>
        <x:v>208.80579100000003</x:v>
      </x:c>
      <x:c r="E45" s="2"/>
      <x:c r="F45" s="2"/>
      <x:c r="G45" s="2"/>
      <x:c r="H45" s="2"/>
      <x:c r="I45" s="2"/>
      <x:c r="J45" s="2" t="str">
        <x:v>Completo</x:v>
      </x:c>
    </x:row>
    <x:row r="46" ht="24" customHeight="1">
      <x:c r="A46" s="4" t="n">
        <x:v>45292</x:v>
      </x:c>
      <x:c r="B46" s="2" t="n">
        <x:v>31</x:v>
      </x:c>
      <x:c r="C46" s="48" t="n">
        <x:v>316.22352419354837</x:v>
      </x:c>
      <x:c r="D46" s="48" t="n">
        <x:f>C46*B46*$B$82/$B$83</x:f>
        <x:v>235.27030199999996</x:v>
      </x:c>
      <x:c r="E46" s="2"/>
      <x:c r="F46" s="2"/>
      <x:c r="G46" s="2"/>
      <x:c r="H46" s="2"/>
      <x:c r="I46" s="2"/>
      <x:c r="J46" s="2" t="str">
        <x:v>Completo</x:v>
      </x:c>
    </x:row>
    <x:row r="47" ht="24" customHeight="1">
      <x:c r="A47" s="4" t="n">
        <x:v>45323</x:v>
      </x:c>
      <x:c r="B47" s="2" t="n">
        <x:v>29</x:v>
      </x:c>
      <x:c r="C47" s="48" t="n">
        <x:v>343.87891810344826</x:v>
      </x:c>
      <x:c r="D47" s="48" t="n">
        <x:f>C47*B47*$B$82/$B$83</x:f>
        <x:v>239.339727</x:v>
      </x:c>
      <x:c r="E47" s="2"/>
      <x:c r="F47" s="2"/>
      <x:c r="G47" s="2"/>
      <x:c r="H47" s="2"/>
      <x:c r="I47" s="2"/>
      <x:c r="J47" s="2" t="str">
        <x:v>Completo</x:v>
      </x:c>
    </x:row>
    <x:row r="48" ht="24" customHeight="1">
      <x:c r="A48" s="4" t="n">
        <x:v>45352</x:v>
      </x:c>
      <x:c r="B48" s="2" t="n">
        <x:v>31</x:v>
      </x:c>
      <x:c r="C48" s="48" t="n">
        <x:v>367.492497311828</x:v>
      </x:c>
      <x:c r="D48" s="48" t="n">
        <x:f>C48*B48*$B$82/$B$83</x:f>
        <x:v>273.414418</x:v>
      </x:c>
      <x:c r="E48" s="2"/>
      <x:c r="F48" s="2"/>
      <x:c r="G48" s="2"/>
      <x:c r="H48" s="2"/>
      <x:c r="I48" s="2"/>
      <x:c r="J48" s="2" t="str">
        <x:v>Completo</x:v>
      </x:c>
    </x:row>
    <x:row r="49" ht="24" customHeight="1">
      <x:c r="A49" s="4" t="n">
        <x:v>45383</x:v>
      </x:c>
      <x:c r="B49" s="2" t="n">
        <x:v>30</x:v>
      </x:c>
      <x:c r="C49" s="48" t="n">
        <x:v>290.9427694444445</x:v>
      </x:c>
      <x:c r="D49" s="48" t="n">
        <x:f>C49*B49*$B$82/$B$83</x:f>
        <x:v>209.478794</x:v>
      </x:c>
      <x:c r="E49" s="2"/>
      <x:c r="F49" s="2"/>
      <x:c r="G49" s="2"/>
      <x:c r="H49" s="2"/>
      <x:c r="I49" s="2"/>
      <x:c r="J49" s="2" t="str">
        <x:v>Completo</x:v>
      </x:c>
    </x:row>
    <x:row r="50" ht="24" customHeight="1">
      <x:c r="A50" s="4" t="n">
        <x:v>45413</x:v>
      </x:c>
      <x:c r="B50" s="2" t="n">
        <x:v>31</x:v>
      </x:c>
      <x:c r="C50" s="48" t="n">
        <x:v>470.35091666666665</x:v>
      </x:c>
      <x:c r="D50" s="48" t="n">
        <x:f>C50*B50*$B$82/$B$83</x:f>
        <x:v>349.941082</x:v>
      </x:c>
      <x:c r="E50" s="2"/>
      <x:c r="F50" s="2"/>
      <x:c r="G50" s="2"/>
      <x:c r="H50" s="2"/>
      <x:c r="I50" s="2"/>
      <x:c r="J50" s="2" t="str">
        <x:v>Completo</x:v>
      </x:c>
    </x:row>
    <x:row r="51" ht="24" customHeight="1">
      <x:c r="A51" s="4" t="n">
        <x:v>45444</x:v>
      </x:c>
      <x:c r="B51" s="2" t="n">
        <x:v>30</x:v>
      </x:c>
      <x:c r="C51" s="48" t="n">
        <x:v>514.5811263888888</x:v>
      </x:c>
      <x:c r="D51" s="48" t="n">
        <x:f>C51*B51*$B$82/$B$83</x:f>
        <x:v>370.498411</x:v>
      </x:c>
      <x:c r="E51" s="2"/>
      <x:c r="F51" s="2"/>
      <x:c r="G51" s="2"/>
      <x:c r="H51" s="2"/>
      <x:c r="I51" s="2"/>
      <x:c r="J51" s="2" t="str">
        <x:v>Completo</x:v>
      </x:c>
    </x:row>
    <x:row r="52" ht="24" customHeight="1">
      <x:c r="A52" s="4" t="n">
        <x:v>45474</x:v>
      </x:c>
      <x:c r="B52" s="2" t="n">
        <x:v>31</x:v>
      </x:c>
      <x:c r="C52" s="48" t="n">
        <x:v>533.3846801075268</x:v>
      </x:c>
      <x:c r="D52" s="48" t="n">
        <x:f>C52*B52*$B$82/$B$83</x:f>
        <x:v>396.8382019999999</x:v>
      </x:c>
      <x:c r="E52" s="2"/>
      <x:c r="F52" s="2"/>
      <x:c r="G52" s="2"/>
      <x:c r="H52" s="2"/>
      <x:c r="I52" s="2"/>
      <x:c r="J52" s="2" t="str">
        <x:v>Completo</x:v>
      </x:c>
    </x:row>
    <x:row r="53" ht="24" customHeight="1">
      <x:c r="A53" s="4" t="n">
        <x:v>45505</x:v>
      </x:c>
      <x:c r="B53" s="2" t="n">
        <x:v>31</x:v>
      </x:c>
      <x:c r="C53" s="48" t="n">
        <x:v>511.9055053763441</x:v>
      </x:c>
      <x:c r="D53" s="48" t="n">
        <x:f>C53*B53*$B$82/$B$83</x:f>
        <x:v>380.857696</x:v>
      </x:c>
      <x:c r="E53" s="2"/>
      <x:c r="F53" s="2"/>
      <x:c r="G53" s="2"/>
      <x:c r="H53" s="2"/>
      <x:c r="I53" s="2"/>
      <x:c r="J53" s="2" t="str">
        <x:v>Completo</x:v>
      </x:c>
    </x:row>
    <x:row r="54" ht="24" customHeight="1">
      <x:c r="A54" s="4" t="n">
        <x:v>45536</x:v>
      </x:c>
      <x:c r="B54" s="2" t="n">
        <x:v>30</x:v>
      </x:c>
      <x:c r="C54" s="48" t="n">
        <x:v>425.6193597222222</x:v>
      </x:c>
      <x:c r="D54" s="48" t="n">
        <x:f>C54*B54*$B$82/$B$83</x:f>
        <x:v>306.445939</x:v>
      </x:c>
      <x:c r="E54" s="2"/>
      <x:c r="F54" s="2"/>
      <x:c r="G54" s="2"/>
      <x:c r="H54" s="2"/>
      <x:c r="I54" s="2"/>
      <x:c r="J54" s="2" t="str">
        <x:v>Completo</x:v>
      </x:c>
    </x:row>
    <x:row r="55" ht="24" customHeight="1">
      <x:c r="A55" s="4" t="n">
        <x:v>45566</x:v>
      </x:c>
      <x:c r="B55" s="2" t="n">
        <x:v>31</x:v>
      </x:c>
      <x:c r="C55" s="48" t="n">
        <x:v>352.3306948924731</x:v>
      </x:c>
      <x:c r="D55" s="48" t="n">
        <x:f>C55*B55*$B$82/$B$83</x:f>
        <x:v>262.13403700000003</x:v>
      </x:c>
      <x:c r="E55" s="2"/>
      <x:c r="F55" s="2"/>
      <x:c r="G55" s="2"/>
      <x:c r="H55" s="2"/>
      <x:c r="I55" s="2"/>
      <x:c r="J55" s="2" t="str">
        <x:v>Completo</x:v>
      </x:c>
    </x:row>
    <x:row r="56" ht="24" customHeight="1">
      <x:c r="A56" s="4" t="n">
        <x:v>45597</x:v>
      </x:c>
      <x:c r="B56" s="2" t="n">
        <x:v>30</x:v>
      </x:c>
      <x:c r="C56" s="48" t="n">
        <x:v>359.8452222222222</x:v>
      </x:c>
      <x:c r="D56" s="48" t="n">
        <x:f>C56*B56*$B$82/$B$83</x:f>
        <x:v>259.08856</x:v>
      </x:c>
      <x:c r="E56" s="2"/>
      <x:c r="F56" s="2"/>
      <x:c r="G56" s="2"/>
      <x:c r="H56" s="2"/>
      <x:c r="I56" s="2"/>
      <x:c r="J56" s="2" t="str">
        <x:v>Completo</x:v>
      </x:c>
    </x:row>
    <x:row r="57" ht="24" customHeight="1">
      <x:c r="A57" s="4" t="n">
        <x:v>45627</x:v>
      </x:c>
      <x:c r="B57" s="2" t="n">
        <x:v>31</x:v>
      </x:c>
      <x:c r="C57" s="48" t="n">
        <x:v>366.53911021505377</x:v>
      </x:c>
      <x:c r="D57" s="48" t="n">
        <x:f>C57*B57*$B$82/$B$83</x:f>
        <x:v>272.705098</x:v>
      </x:c>
      <x:c r="E57" s="2"/>
      <x:c r="F57" s="2"/>
      <x:c r="G57" s="2"/>
      <x:c r="H57" s="2"/>
      <x:c r="I57" s="2"/>
      <x:c r="J57" s="2" t="str">
        <x:v>Completo</x:v>
      </x:c>
    </x:row>
    <x:row r="58" ht="24" customHeight="1">
      <x:c r="A58" s="4" t="n">
        <x:v>45658</x:v>
      </x:c>
      <x:c r="B58" s="2" t="n">
        <x:v>31</x:v>
      </x:c>
      <x:c r="C58" s="48" t="n">
        <x:v>357.9485134408602</x:v>
      </x:c>
      <x:c r="D58" s="48" t="n">
        <x:f>C58*B58*$B$82/$B$83</x:f>
        <x:v>266.313694</x:v>
      </x:c>
      <x:c r="E58" s="2"/>
      <x:c r="F58" s="2"/>
      <x:c r="G58" s="2"/>
      <x:c r="H58" s="2"/>
      <x:c r="I58" s="2"/>
      <x:c r="J58" s="2" t="str">
        <x:v>Completo</x:v>
      </x:c>
    </x:row>
    <x:row r="59" ht="24" customHeight="1">
      <x:c r="A59" s="4" t="n">
        <x:v>45689</x:v>
      </x:c>
      <x:c r="B59" s="2" t="n">
        <x:v>28</x:v>
      </x:c>
      <x:c r="C59" s="48" t="n">
        <x:v>373.41121279761904</x:v>
      </x:c>
      <x:c r="D59" s="48" t="n">
        <x:f>C59*B59*$B$82/$B$83</x:f>
        <x:v>250.932335</x:v>
      </x:c>
      <x:c r="E59" s="2"/>
      <x:c r="F59" s="2"/>
      <x:c r="G59" s="2"/>
      <x:c r="H59" s="2"/>
      <x:c r="I59" s="2"/>
      <x:c r="J59" s="2" t="str">
        <x:v>Completo</x:v>
      </x:c>
    </x:row>
    <x:row r="60" ht="24" customHeight="1">
      <x:c r="A60" s="4" t="n">
        <x:v>45717</x:v>
      </x:c>
      <x:c r="B60" s="2" t="n">
        <x:v>31</x:v>
      </x:c>
      <x:c r="C60" s="48" t="n">
        <x:v>375.96816129032254</x:v>
      </x:c>
      <x:c r="D60" s="48" t="n">
        <x:f>C60*B60*$B$82/$B$83</x:f>
        <x:v>279.720312</x:v>
      </x:c>
      <x:c r="E60" s="2"/>
      <x:c r="F60" s="2"/>
      <x:c r="G60" s="2"/>
      <x:c r="H60" s="2"/>
      <x:c r="I60" s="2"/>
      <x:c r="J60" s="2" t="str">
        <x:v>Completo</x:v>
      </x:c>
    </x:row>
    <x:row r="61" ht="24" customHeight="1">
      <x:c r="A61" s="4" t="n">
        <x:v>45748</x:v>
      </x:c>
      <x:c r="B61" s="2" t="n">
        <x:v>30</x:v>
      </x:c>
      <x:c r="C61" s="48" t="n">
        <x:v>367.7452263888889</x:v>
      </x:c>
      <x:c r="D61" s="48" t="n">
        <x:f>C61*B61*$B$82/$B$83</x:f>
        <x:v>264.776563</x:v>
      </x:c>
      <x:c r="E61" s="2"/>
      <x:c r="F61" s="2"/>
      <x:c r="G61" s="2"/>
      <x:c r="H61" s="2"/>
      <x:c r="I61" s="2"/>
      <x:c r="J61" s="2" t="str">
        <x:v>Completo</x:v>
      </x:c>
    </x:row>
    <x:row r="62" ht="24" customHeight="1">
      <x:c r="A62" s="4" t="n">
        <x:v>45778</x:v>
      </x:c>
      <x:c r="B62" s="2" t="n">
        <x:v>31</x:v>
      </x:c>
      <x:c r="C62" s="48" t="n">
        <x:v>376.53041532258067</x:v>
      </x:c>
      <x:c r="D62" s="48" t="n">
        <x:f>C62*B62*$B$82/$B$83</x:f>
        <x:v>280.13862900000004</x:v>
      </x:c>
      <x:c r="E62" s="2"/>
      <x:c r="F62" s="2"/>
      <x:c r="G62" s="2"/>
      <x:c r="H62" s="2"/>
      <x:c r="I62" s="2"/>
      <x:c r="J62" s="2" t="str">
        <x:v>Completo</x:v>
      </x:c>
    </x:row>
    <x:row r="63" ht="24" customHeight="1">
      <x:c r="A63" s="4" t="n">
        <x:v>45809</x:v>
      </x:c>
      <x:c r="B63" s="2" t="n">
        <x:v>30</x:v>
      </x:c>
      <x:c r="C63" s="48" t="n">
        <x:v>400.4519319444444</x:v>
      </x:c>
      <x:c r="D63" s="48" t="n">
        <x:f>C63*B63*$B$82/$B$83</x:f>
        <x:v>288.325391</x:v>
      </x:c>
      <x:c r="E63" s="2"/>
      <x:c r="F63" s="2"/>
      <x:c r="G63" s="2"/>
      <x:c r="H63" s="2"/>
      <x:c r="I63" s="2"/>
      <x:c r="J63" s="2" t="str">
        <x:v>Completo</x:v>
      </x:c>
    </x:row>
    <x:row r="64" ht="24" customHeight="1">
      <x:c r="A64" s="4" t="n">
        <x:v>45839</x:v>
      </x:c>
      <x:c r="B64" s="2" t="n">
        <x:v>31</x:v>
      </x:c>
      <x:c r="C64" s="48" t="n">
        <x:v>462.3067137096774</x:v>
      </x:c>
      <x:c r="D64" s="48" t="n">
        <x:f>C64*B64*$B$82/$B$83</x:f>
        <x:v>343.956195</x:v>
      </x:c>
      <x:c r="E64" s="2"/>
      <x:c r="F64" s="2"/>
      <x:c r="G64" s="2"/>
      <x:c r="H64" s="2"/>
      <x:c r="I64" s="2"/>
      <x:c r="J64" s="2" t="str">
        <x:v>Completo</x:v>
      </x:c>
    </x:row>
    <x:row r="65" ht="24" customHeight="1">
      <x:c r="A65" s="4" t="n">
        <x:v>45870</x:v>
      </x:c>
      <x:c r="B65" s="2" t="n">
        <x:v>31</x:v>
      </x:c>
      <x:c r="C65" s="48" t="n">
        <x:v>375.7153346774193</x:v>
      </x:c>
      <x:c r="D65" s="48" t="n">
        <x:f>C65*B65*$B$82/$B$83</x:f>
        <x:v>279.53220899999997</x:v>
      </x:c>
      <x:c r="E65" s="2"/>
      <x:c r="F65" s="2"/>
      <x:c r="G65" s="2"/>
      <x:c r="H65" s="2"/>
      <x:c r="I65" s="2"/>
      <x:c r="J65" s="2" t="str">
        <x:v>Completo</x:v>
      </x:c>
    </x:row>
    <x:row r="66" ht="24" customHeight="1">
      <x:c r="A66" s="4" t="n">
        <x:v>45901</x:v>
      </x:c>
      <x:c r="B66" s="2" t="n">
        <x:v>30</x:v>
      </x:c>
      <x:c r="C66" s="48" t="n">
        <x:v>441.24354444444447</x:v>
      </x:c>
      <x:c r="D66" s="48" t="n">
        <x:f>C66*B66*$B$82/$B$83</x:f>
        <x:v>317.695352</x:v>
      </x:c>
      <x:c r="E66" s="2"/>
      <x:c r="F66" s="2"/>
      <x:c r="G66" s="2"/>
      <x:c r="H66" s="2"/>
      <x:c r="I66" s="2"/>
      <x:c r="J66" s="2" t="str">
        <x:v>Completo</x:v>
      </x:c>
    </x:row>
    <x:row r="67" ht="24" customHeight="1">
      <x:c r="A67" s="4" t="n">
        <x:v>45931</x:v>
      </x:c>
      <x:c r="B67" s="2" t="n">
        <x:v>31</x:v>
      </x:c>
      <x:c r="C67" s="48" t="n">
        <x:v>389.78196236559137</x:v>
      </x:c>
      <x:c r="D67" s="48" t="n">
        <x:f>C67*B67*$B$82/$B$83</x:f>
        <x:v>289.99778000000003</x:v>
      </x:c>
      <x:c r="E67" s="2"/>
      <x:c r="F67" s="2"/>
      <x:c r="G67" s="2"/>
      <x:c r="H67" s="2"/>
      <x:c r="I67" s="2"/>
      <x:c r="J67" s="2" t="str">
        <x:v>Completo</x:v>
      </x:c>
    </x:row>
    <x:row r="68" ht="24" customHeight="1">
      <x:c r="A68" s="4" t="n">
        <x:v>45962</x:v>
      </x:c>
      <x:c r="B68" s="2" t="n">
        <x:v>30</x:v>
      </x:c>
      <x:c r="C68" s="48" t="n">
        <x:v>407.35884999999996</x:v>
      </x:c>
      <x:c r="D68" s="48" t="n">
        <x:f>C68*B68*$B$82/$B$83</x:f>
        <x:v>293.298372</x:v>
      </x:c>
      <x:c r="E68" s="2"/>
      <x:c r="F68" s="2"/>
      <x:c r="G68" s="2"/>
      <x:c r="H68" s="2"/>
      <x:c r="I68" s="2"/>
      <x:c r="J68" s="2" t="str">
        <x:v>Completo</x:v>
      </x:c>
    </x:row>
    <x:row r="69" ht="24" customHeight="1">
      <x:c r="A69" s="4" t="n">
        <x:v>45992</x:v>
      </x:c>
      <x:c r="B69" s="2" t="n">
        <x:v>31</x:v>
      </x:c>
      <x:c r="C69" s="48" t="n">
        <x:v>369.6520739247312</x:v>
      </x:c>
      <x:c r="D69" s="48" t="n">
        <x:f>C69*B69*$B$82/$B$83</x:f>
        <x:v>275.02114300000005</x:v>
      </x:c>
      <x:c r="E69" s="2"/>
      <x:c r="F69" s="2"/>
      <x:c r="G69" s="2"/>
      <x:c r="H69" s="2"/>
      <x:c r="I69" s="2"/>
      <x:c r="J69" s="2" t="str">
        <x:v>Completo</x:v>
      </x:c>
    </x:row>
    <x:row r="70" ht="24" customHeight="1">
      <x:c r="A70" s="4" t="n">
        <x:v>46023</x:v>
      </x:c>
      <x:c r="B70" s="2" t="n">
        <x:v>31</x:v>
      </x:c>
      <x:c r="C70" s="48" t="n">
        <x:v>386.1554623655914</x:v>
      </x:c>
      <x:c r="D70" s="48" t="n">
        <x:f>C70*B70*$B$82/$B$83</x:f>
        <x:v>287.299664</x:v>
      </x:c>
      <x:c r="E70" s="2"/>
      <x:c r="F70" s="2"/>
      <x:c r="G70" s="2"/>
      <x:c r="H70" s="2"/>
      <x:c r="I70" s="2"/>
      <x:c r="J70" s="2" t="str">
        <x:v>Completo</x:v>
      </x:c>
    </x:row>
    <x:row r="71" ht="24" customHeight="1">
      <x:c r="A71" s="4" t="n">
        <x:v>46054</x:v>
      </x:c>
      <x:c r="B71" s="2" t="n">
        <x:v>28</x:v>
      </x:c>
      <x:c r="C71" s="48" t="n">
        <x:v>380.2738779761905</x:v>
      </x:c>
      <x:c r="D71" s="48" t="n">
        <x:f>C71*B71*$B$82/$B$83</x:f>
        <x:v>255.54404600000004</x:v>
      </x:c>
      <x:c r="E71" s="2"/>
      <x:c r="F71" s="2"/>
      <x:c r="G71" s="2"/>
      <x:c r="H71" s="2"/>
      <x:c r="I71" s="2"/>
      <x:c r="J71" s="2" t="str">
        <x:v>Completo</x:v>
      </x:c>
    </x:row>
    <x:row r="72" ht="24" customHeight="1">
      <x:c r="A72" s="4" t="n">
        <x:v>46082</x:v>
      </x:c>
      <x:c r="B72" s="2" t="n">
        <x:v>31</x:v>
      </x:c>
      <x:c r="C72" s="48" t="n">
        <x:v>429.2034650537634</x:v>
      </x:c>
      <x:c r="D72" s="48" t="n">
        <x:f>C72*B72*$B$82/$B$83</x:f>
        <x:v>319.327378</x:v>
      </x:c>
      <x:c r="E72" s="2"/>
      <x:c r="F72" s="2"/>
      <x:c r="G72" s="2"/>
      <x:c r="H72" s="2"/>
      <x:c r="I72" s="2"/>
      <x:c r="J72" s="2" t="str">
        <x:v>Completo</x:v>
      </x:c>
    </x:row>
    <x:row r="73" ht="24" customHeight="1">
      <x:c r="A73" s="4" t="n">
        <x:v>46113</x:v>
      </x:c>
      <x:c r="B73" s="2" t="n">
        <x:v>30</x:v>
      </x:c>
      <x:c r="C73" s="48" t="n">
        <x:v>439.80491527777775</x:v>
      </x:c>
      <x:c r="D73" s="48" t="n">
        <x:f>C73*B73*$B$82/$B$83</x:f>
        <x:v>316.659539</x:v>
      </x:c>
      <x:c r="E73" s="2"/>
      <x:c r="F73" s="2"/>
      <x:c r="G73" s="2"/>
      <x:c r="H73" s="2"/>
      <x:c r="I73" s="2"/>
      <x:c r="J73" s="2" t="str">
        <x:v>Completo</x:v>
      </x:c>
    </x:row>
    <x:row r="74" ht="24" customHeight="1">
      <x:c r="A74" s="4" t="n">
        <x:v>46143</x:v>
      </x:c>
      <x:c r="B74" s="2" t="n">
        <x:v>31</x:v>
      </x:c>
      <x:c r="C74" s="48" t="n">
        <x:v>539.3291129032258</x:v>
      </x:c>
      <x:c r="D74" s="48" t="n">
        <x:f>C74*B74*$B$82/$B$83</x:f>
        <x:v>401.26086</x:v>
      </x:c>
      <x:c r="E74" s="2"/>
      <x:c r="F74" s="2"/>
      <x:c r="G74" s="2"/>
      <x:c r="H74" s="2"/>
      <x:c r="I74" s="2"/>
      <x:c r="J74" s="2" t="str">
        <x:v>Completo</x:v>
      </x:c>
    </x:row>
    <x:row r="75" ht="24" customHeight="1">
      <x:c r="A75" s="4" t="n">
        <x:v>46174</x:v>
      </x:c>
      <x:c r="B75" s="2" t="n">
        <x:v>30</x:v>
      </x:c>
      <x:c r="C75" s="48" t="n">
        <x:v>525.1162138888889</x:v>
      </x:c>
      <x:c r="D75" s="48" t="n">
        <x:f>C75*B75*$B$82/$B$83</x:f>
        <x:v>378.083674</x:v>
      </x:c>
      <x:c r="E75" s="2"/>
      <x:c r="F75" s="2"/>
      <x:c r="G75" s="2"/>
      <x:c r="H75" s="2"/>
      <x:c r="I75" s="2"/>
      <x:c r="J75" s="2" t="str">
        <x:v>Completo</x:v>
      </x:c>
    </x:row>
    <x:row r="76" ht="24" customHeight="1">
      <x:c r="A76" s="4" t="n">
        <x:v>46204</x:v>
      </x:c>
      <x:c r="B76" s="2" t="n">
        <x:v>31</x:v>
      </x:c>
      <x:c r="C76" s="48" t="n">
        <x:v>471.9185</x:v>
      </x:c>
      <x:c r="D76" s="48" t="n">
        <x:f>C76*B76*$B$82/$B$83</x:f>
        <x:v>351.107364</x:v>
      </x:c>
      <x:c r="E76" s="2"/>
      <x:c r="F76" s="2"/>
      <x:c r="G76" s="2"/>
      <x:c r="H76" s="2"/>
      <x:c r="I76" s="2"/>
      <x:c r="J76" s="2" t="str">
        <x:v>Completo</x:v>
      </x:c>
    </x:row>
    <x:row r="77" ht="24" customHeight="1">
      <x:c r="A77" s="4" t="n">
        <x:v>46235</x:v>
      </x:c>
      <x:c r="B77" s="2" t="n">
        <x:v>31</x:v>
      </x:c>
      <x:c r="C77" s="48" t="n">
        <x:v>547.1720067204301</x:v>
      </x:c>
      <x:c r="D77" s="48" t="n">
        <x:f>C77*B77*$B$82/$B$83</x:f>
        <x:v>407.095973</x:v>
      </x:c>
      <x:c r="E77" s="2"/>
      <x:c r="F77" s="2"/>
      <x:c r="G77" s="2"/>
      <x:c r="H77" s="2"/>
      <x:c r="I77" s="2"/>
      <x:c r="J77" s="2" t="str">
        <x:v>Completo</x:v>
      </x:c>
    </x:row>
    <x:row r="78" ht="24" customHeight="1">
      <x:c r="A78" s="4" t="n">
        <x:v>46266</x:v>
      </x:c>
      <x:c r="B78" s="2" t="n">
        <x:v>23</x:v>
      </x:c>
      <x:c r="C78" s="48" t="n">
        <x:v>544.4114166666667</x:v>
      </x:c>
      <x:c r="D78" s="48" t="n">
        <x:f>C78*B78*$B$82/$B$83</x:f>
        <x:v>300.515102</x:v>
      </x:c>
      <x:c r="E78" s="2"/>
      <x:c r="F78" s="2"/>
      <x:c r="G78" s="2"/>
      <x:c r="H78" s="2"/>
      <x:c r="I78" s="2"/>
      <x:c r="J78" s="2" t="str">
        <x:v>Parcial: 2026-09-23</x:v>
      </x:c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 ht="24" customHeight="1">
      <x:c r="A80" s="2" t="str">
        <x:v>Insumos y fuentes: conversiones exactas y datos operativos provisionales.</x:v>
      </x:c>
      <x:c r="B80" s="2"/>
      <x:c r="C80" s="2"/>
      <x:c r="D80" s="2"/>
      <x:c r="E80" s="2"/>
      <x:c r="F80" s="2"/>
      <x:c r="G80" s="2"/>
      <x:c r="H80" s="2"/>
      <x:c r="I80" s="2"/>
      <x:c r="J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 ht="24" customHeight="1">
      <x:c r="A82" s="2" t="str">
        <x:v>Horas por día</x:v>
      </x:c>
      <x:c r="B82" s="2" t="n">
        <x:v>24</x:v>
      </x:c>
      <x:c r="C82" s="2"/>
      <x:c r="D82" s="2"/>
      <x:c r="E82" s="2"/>
      <x:c r="F82" s="2"/>
      <x:c r="G82" s="2"/>
      <x:c r="H82" s="2"/>
      <x:c r="I82" s="2"/>
      <x:c r="J82" s="2"/>
    </x:row>
    <x:row r="83" ht="24" customHeight="1">
      <x:c r="A83" s="2" t="str">
        <x:v>MWh por GWh</x:v>
      </x:c>
      <x:c r="B83" s="2" t="n">
        <x:v>1000</x:v>
      </x:c>
      <x:c r="C83" s="2"/>
      <x:c r="D83" s="2"/>
      <x:c r="E83" s="2"/>
      <x:c r="F83" s="2"/>
      <x:c r="G83" s="2"/>
      <x:c r="H83" s="2"/>
      <x:c r="I83" s="2"/>
      <x:c r="J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4" customHeight="1">
      <x:c r="A85" s="2" t="str">
        <x:v>CAMMESA, base diaria capturada el 26/09/2026; hoja Base Detalle diaria GUMAs ACT, columna Z.</x:v>
      </x:c>
      <x:c r="B85" s="2"/>
      <x:c r="C85" s="2"/>
      <x:c r="D85" s="2"/>
      <x:c r="E85" s="2"/>
      <x:c r="F85" s="2"/>
      <x:c r="G85" s="2"/>
      <x:c r="H85" s="2"/>
      <x:c r="I85" s="2"/>
      <x:c r="J85" s="2"/>
    </x:row>
    <x:row r="86" ht="24" customHeight="1">
      <x:c r="A86" s="2" t="str">
        <x:v>https://cammesaweb.cammesa.com/download/base-de-datos-2/?wpdmdl=39428</x:v>
      </x:c>
      <x:c r="B86" s="2"/>
      <x:c r="C86" s="2"/>
      <x:c r="D86" s="2"/>
      <x:c r="E86" s="2"/>
      <x:c r="F86" s="2"/>
      <x:c r="G86" s="2"/>
      <x:c r="H86" s="2"/>
      <x:c r="I86" s="2"/>
      <x:c r="J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 ht="24" customHeight="1">
      <x:c r="A88" s="2" t="str">
        <x:v>Las memorias anuales declaran consumos y fuentes. Fuentes originales:</x:v>
      </x:c>
      <x:c r="B88" s="2"/>
      <x:c r="C88" s="2"/>
      <x:c r="D88" s="2"/>
      <x:c r="E88" s="2"/>
      <x:c r="F88" s="2"/>
      <x:c r="G88" s="2"/>
      <x:c r="H88" s="2"/>
      <x:c r="I88" s="2"/>
      <x:c r="J88" s="2"/>
    </x:row>
    <x:row r="89" ht="24" customHeight="1">
      <x:c r="A89" s="2" t="str">
        <x:v>https://cdn.aluar.com.ar/assets/uploads/EEFF_Aluar_Ejercicio_2024_2025_4_T_7869bb3511.pdf</x:v>
      </x:c>
      <x:c r="B89" s="2"/>
      <x:c r="C89" s="2"/>
      <x:c r="D89" s="2"/>
      <x:c r="E89" s="2"/>
      <x:c r="F89" s="2"/>
      <x:c r="G89" s="2"/>
      <x:c r="H89" s="2"/>
      <x:c r="I89" s="2"/>
      <x:c r="J89" s="2"/>
    </x:row>
    <x:row r="90" ht="24" customHeight="1">
      <x:c r="A90" s="2" t="str">
        <x:v>https://cdn.aluar.com.ar/assets/uploads/EEFF_Aluar_Ejercicio_2025_2026_4_T_c41c605c28.pdf</x:v>
      </x:c>
      <x:c r="B90" s="2"/>
      <x:c r="C90" s="2"/>
      <x:c r="D90" s="2"/>
      <x:c r="E90" s="2"/>
      <x:c r="F90" s="2"/>
      <x:c r="G90" s="2"/>
      <x:c r="H90" s="2"/>
      <x:c r="I90" s="2"/>
      <x:c r="J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 ht="24" customHeight="1">
      <x:c r="A92" s="2" t="str">
        <x:v>Trimestre julio-septiembre 2025: 113.363 t. Ventas eólicas/térmicas: 81,8 GWh. No son autoconsumo mensual.</x:v>
      </x:c>
      <x:c r="B92" s="2"/>
      <x:c r="C92" s="2"/>
      <x:c r="D92" s="2"/>
      <x:c r="E92" s="2"/>
      <x:c r="F92" s="2"/>
      <x:c r="G92" s="2"/>
      <x:c r="H92" s="2"/>
      <x:c r="I92" s="2"/>
      <x:c r="J92" s="2"/>
    </x:row>
    <x:row r="93" ht="24" customHeight="1">
      <x:c r="A93" s="2" t="str">
        <x:v>https://cdn.aluar.com.ar/assets/uploads/EEFF_Aluar_Ejercicio_2025_2026_1_T_ec2d20bfc1.pdf</x:v>
      </x:c>
      <x:c r="B93" s="2"/>
      <x:c r="C93" s="2"/>
      <x:c r="D93" s="2"/>
      <x:c r="E93" s="2"/>
      <x:c r="F93" s="2"/>
      <x:c r="G93" s="2"/>
      <x:c r="H93" s="2"/>
      <x:c r="I93" s="2"/>
      <x:c r="J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 ht="24" customHeight="1">
      <x:c r="A95" s="2" t="str">
        <x:v>Faltan producción, consumo bruto, autogeneración utilizada, ventas/inyecciones y pérdidas para agosto.</x:v>
      </x:c>
      <x:c r="B95" s="2"/>
      <x:c r="C95" s="2"/>
      <x:c r="D95" s="2"/>
      <x:c r="E95" s="2"/>
      <x:c r="F95" s="2"/>
      <x:c r="G95" s="2"/>
      <x:c r="H95" s="2"/>
      <x:c r="I95" s="2"/>
      <x:c r="J95" s="2"/>
    </x:row>
    <x:row r="96" ht="24" customHeight="1">
      <x:c r="A96" s="2" t="str">
        <x:v>Los informes privados MEMNet requieren acceso autorizado. No se enviaron solicitudes ni se accedió a datos privados.</x:v>
      </x:c>
      <x:c r="B96" s="2"/>
      <x:c r="C96" s="2"/>
      <x:c r="D96" s="2"/>
      <x:c r="E96" s="2"/>
      <x:c r="F96" s="2"/>
      <x:c r="G96" s="2"/>
      <x:c r="H96" s="2"/>
      <x:c r="I96" s="2"/>
      <x:c r="J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5E4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6" hidden="0" customWidth="1"/>
    <x:col min="2" max="2" width="43" hidden="0" customWidth="1"/>
    <x:col min="3" max="3" width="27" hidden="0" customWidth="1"/>
    <x:col min="4" max="4" width="11" hidden="0" customWidth="1"/>
    <x:col min="5" max="5" width="16" hidden="0" customWidth="1"/>
    <x:col min="6" max="6" width="19" hidden="0" customWidth="1"/>
    <x:col min="7" max="7" width="19" hidden="0" customWidth="1"/>
    <x:col min="8" max="8" width="19" hidden="0" customWidth="1"/>
    <x:col min="9" max="9" width="18" hidden="0" customWidth="1"/>
    <x:col min="10" max="10" width="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Historia eléctrica por actividad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2" t="str">
        <x:v>GUMAs + AUTO. 56 meses completos: enero 2022-agosto 2026. Septiembre parcial, 1-23.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 t="str">
        <x:v>Promedios de todos los días. Usuarios vigentes, no panel fijo. No equivale a GUMA/GUME/GUDI.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 t="str">
        <x:v>https://cammesaweb.cammesa.com/download/base-de-datos-2/?wpdmdl=39428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4" customHeight="1">
      <x:c r="A6" s="2" t="str">
        <x:v>Fuente: hoja Base Detalle diaria GUMAs ACT. Columnas I:X, excluyendo subtotales. Captura 26/09/2026.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24" customHeight="1">
      <x:c r="A7" s="2" t="str">
        <x:v>Agosto: PDF 17/09 = 2.293,1 MW; PDF 24/09 = 2.295,2 MW; esta base = 2.292,0 MW. Causa sin confirmar.</x:v>
      </x:c>
      <x:c r="B7" s="2"/>
      <x:c r="C7" s="2"/>
      <x:c r="D7" s="2"/>
      <x:c r="E7" s="2"/>
      <x:c r="F7" s="2"/>
      <x:c r="G7" s="2"/>
      <x:c r="H7" s="2"/>
      <x:c r="I7" s="2"/>
      <x:c r="J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</x:row>
    <x:row r="9" ht="42" customHeight="1">
      <x:c r="A9" s="60" t="str">
        <x:v>Mes</x:v>
      </x:c>
      <x:c r="B9" s="60" t="str">
        <x:v>Actividad</x:v>
      </x:c>
      <x:c r="C9" s="60" t="str">
        <x:v>Rama</x:v>
      </x:c>
      <x:c r="D9" s="60" t="str">
        <x:v>Días</x:v>
      </x:c>
      <x:c r="E9" s="60" t="str">
        <x:v>Período</x:v>
      </x:c>
      <x:c r="F9" s="60" t="str">
        <x:v>MW medios</x:v>
      </x:c>
      <x:c r="G9" s="60" t="str">
        <x:v>MW año anterior</x:v>
      </x:c>
      <x:c r="H9" s="60" t="str">
        <x:v>Interanual</x:v>
      </x:c>
      <x:c r="I9" s="60" t="str">
        <x:v>% de rama</x:v>
      </x:c>
      <x:c r="J9" s="60" t="str">
        <x:v>Rama MW medios</x:v>
      </x:c>
    </x:row>
    <x:row r="10" ht="65" customHeight="1">
      <x:c r="A10" s="61" t="n">
        <x:v>44562</x:v>
      </x:c>
      <x:c r="B10" s="32" t="str">
        <x:v>Cargas y puertos</x:v>
      </x:c>
      <x:c r="C10" s="32" t="str">
        <x:v>Alimentación, comercios y servicios</x:v>
      </x:c>
      <x:c r="D10" s="62" t="n">
        <x:v>31</x:v>
      </x:c>
      <x:c r="E10" s="2" t="str">
        <x:v>Completo</x:v>
      </x:c>
      <x:c r="F10" s="56" t="n">
        <x:v>9.15655510752688</x:v>
      </x:c>
      <x:c r="G10" s="56" t="str">
        <x:f>"n.a."</x:f>
        <x:v>n.a.</x:v>
      </x:c>
      <x:c r="H10" s="57" t="str">
        <x:f>IF(ISNUMBER(G10),IF(G10=0,"n.a.",F10/G10-1),"n.a.")</x:f>
        <x:v>n.a.</x:v>
      </x:c>
      <x:c r="I10" s="58" t="n">
        <x:f>F10/J10</x:f>
        <x:v>0.024224444027575166</x:v>
      </x:c>
      <x:c r="J10" s="56" t="n">
        <x:v>377.988245967742</x:v>
      </x:c>
    </x:row>
    <x:row r="11" ht="65" customHeight="1">
      <x:c r="A11" s="61" t="n">
        <x:v>44562</x:v>
      </x:c>
      <x:c r="B11" s="32" t="str">
        <x:v>Comercio y servicios: principalmente supermercados y centros comerciales</x:v>
      </x:c>
      <x:c r="C11" s="32" t="str">
        <x:v>Alimentación, comercios y servicios</x:v>
      </x:c>
      <x:c r="D11" s="62" t="n">
        <x:v>31</x:v>
      </x:c>
      <x:c r="E11" s="2" t="str">
        <x:v>Completo</x:v>
      </x:c>
      <x:c r="F11" s="56" t="n">
        <x:v>34.46153897849462</x:v>
      </x:c>
      <x:c r="G11" s="56" t="str">
        <x:f>"n.a."</x:f>
        <x:v>n.a.</x:v>
      </x:c>
      <x:c r="H11" s="57" t="str">
        <x:f>IF(ISNUMBER(G11),IF(G11=0,"n.a.",F11/G11-1),"n.a.")</x:f>
        <x:v>n.a.</x:v>
      </x:c>
      <x:c r="I11" s="58" t="n">
        <x:f>F11/J11</x:f>
        <x:v>0.09117092752517922</x:v>
      </x:c>
      <x:c r="J11" s="56" t="n">
        <x:v>377.988245967742</x:v>
      </x:c>
    </x:row>
    <x:row r="12" ht="65" customHeight="1">
      <x:c r="A12" s="61" t="n">
        <x:v>44562</x:v>
      </x:c>
      <x:c r="B12" s="32" t="str">
        <x:v>Alimentación y artículos de consumo masivo</x:v>
      </x:c>
      <x:c r="C12" s="32" t="str">
        <x:v>Alimentación, comercios y servicios</x:v>
      </x:c>
      <x:c r="D12" s="62" t="n">
        <x:v>31</x:v>
      </x:c>
      <x:c r="E12" s="2" t="str">
        <x:v>Completo</x:v>
      </x:c>
      <x:c r="F12" s="56" t="n">
        <x:v>252.2577674731183</x:v>
      </x:c>
      <x:c r="G12" s="56" t="str">
        <x:f>"n.a."</x:f>
        <x:v>n.a.</x:v>
      </x:c>
      <x:c r="H12" s="57" t="str">
        <x:f>IF(ISNUMBER(G12),IF(G12=0,"n.a.",F12/G12-1),"n.a.")</x:f>
        <x:v>n.a.</x:v>
      </x:c>
      <x:c r="I12" s="58" t="n">
        <x:f>F12/J12</x:f>
        <x:v>0.6673693432643043</x:v>
      </x:c>
      <x:c r="J12" s="56" t="n">
        <x:v>377.988245967742</x:v>
      </x:c>
    </x:row>
    <x:row r="13" ht="65" customHeight="1">
      <x:c r="A13" s="61" t="n">
        <x:v>44562</x:v>
      </x:c>
      <x:c r="B13" s="32" t="str">
        <x:v>Servicios públicos y transporte: agua y transporte en GBA</x:v>
      </x:c>
      <x:c r="C13" s="32" t="str">
        <x:v>Alimentación, comercios y servicios</x:v>
      </x:c>
      <x:c r="D13" s="62" t="n">
        <x:v>31</x:v>
      </x:c>
      <x:c r="E13" s="2" t="str">
        <x:v>Completo</x:v>
      </x:c>
      <x:c r="F13" s="56" t="n">
        <x:v>82.11238440860215</x:v>
      </x:c>
      <x:c r="G13" s="56" t="str">
        <x:f>"n.a."</x:f>
        <x:v>n.a.</x:v>
      </x:c>
      <x:c r="H13" s="57" t="str">
        <x:f>IF(ISNUMBER(G13),IF(G13=0,"n.a.",F13/G13-1),"n.a.")</x:f>
        <x:v>n.a.</x:v>
      </x:c>
      <x:c r="I13" s="58" t="n">
        <x:f>F13/J13</x:f>
        <x:v>0.2172352851829412</x:v>
      </x:c>
      <x:c r="J13" s="56" t="n">
        <x:v>377.988245967742</x:v>
      </x:c>
    </x:row>
    <x:row r="14" ht="65" customHeight="1">
      <x:c r="A14" s="61" t="n">
        <x:v>44562</x:v>
      </x:c>
      <x:c r="B14" s="32" t="str">
        <x:v>Industria automotriz</x:v>
      </x:c>
      <x:c r="C14" s="32" t="str">
        <x:v>Industrias sin Aluar</x:v>
      </x:c>
      <x:c r="D14" s="62" t="n">
        <x:v>31</x:v>
      </x:c>
      <x:c r="E14" s="2" t="str">
        <x:v>Completo</x:v>
      </x:c>
      <x:c r="F14" s="56" t="n">
        <x:v>27.15961559139785</x:v>
      </x:c>
      <x:c r="G14" s="56" t="str">
        <x:f>"n.a."</x:f>
        <x:v>n.a.</x:v>
      </x:c>
      <x:c r="H14" s="57" t="str">
        <x:f>IF(ISNUMBER(G14),IF(G14=0,"n.a.",F14/G14-1),"n.a.")</x:f>
        <x:v>n.a.</x:v>
      </x:c>
      <x:c r="I14" s="58" t="n">
        <x:f>F14/J14</x:f>
        <x:v>0.023605175929647733</x:v>
      </x:c>
      <x:c r="J14" s="56" t="n">
        <x:v>1150.5788252688171</x:v>
      </x:c>
    </x:row>
    <x:row r="15" ht="65" customHeight="1">
      <x:c r="A15" s="61" t="n">
        <x:v>44562</x:v>
      </x:c>
      <x:c r="B15" s="32" t="str">
        <x:v>Derivados de petróleo</x:v>
      </x:c>
      <x:c r="C15" s="32" t="str">
        <x:v>Industrias sin Aluar</x:v>
      </x:c>
      <x:c r="D15" s="62" t="n">
        <x:v>31</x:v>
      </x:c>
      <x:c r="E15" s="2" t="str">
        <x:v>Completo</x:v>
      </x:c>
      <x:c r="F15" s="56" t="n">
        <x:v>166.43643279569895</x:v>
      </x:c>
      <x:c r="G15" s="56" t="str">
        <x:f>"n.a."</x:f>
        <x:v>n.a.</x:v>
      </x:c>
      <x:c r="H15" s="57" t="str">
        <x:f>IF(ISNUMBER(G15),IF(G15=0,"n.a.",F15/G15-1),"n.a.")</x:f>
        <x:v>n.a.</x:v>
      </x:c>
      <x:c r="I15" s="58" t="n">
        <x:f>F15/J15</x:f>
        <x:v>0.14465452443626653</x:v>
      </x:c>
      <x:c r="J15" s="56" t="n">
        <x:v>1150.5788252688171</x:v>
      </x:c>
    </x:row>
    <x:row r="16" ht="65" customHeight="1">
      <x:c r="A16" s="61" t="n">
        <x:v>44562</x:v>
      </x:c>
      <x:c r="B16" s="32" t="str">
        <x:v>Construcción: elaboración de cemento y canteras</x:v>
      </x:c>
      <x:c r="C16" s="32" t="str">
        <x:v>Industrias sin Aluar</x:v>
      </x:c>
      <x:c r="D16" s="62" t="n">
        <x:v>31</x:v>
      </x:c>
      <x:c r="E16" s="2" t="str">
        <x:v>Completo</x:v>
      </x:c>
      <x:c r="F16" s="56" t="n">
        <x:v>169.1680806451613</x:v>
      </x:c>
      <x:c r="G16" s="56" t="str">
        <x:f>"n.a."</x:f>
        <x:v>n.a.</x:v>
      </x:c>
      <x:c r="H16" s="57" t="str">
        <x:f>IF(ISNUMBER(G16),IF(G16=0,"n.a.",F16/G16-1),"n.a.")</x:f>
        <x:v>n.a.</x:v>
      </x:c>
      <x:c r="I16" s="58" t="n">
        <x:f>F16/J16</x:f>
        <x:v>0.14702867541964149</x:v>
      </x:c>
      <x:c r="J16" s="56" t="n">
        <x:v>1150.5788252688171</x:v>
      </x:c>
    </x:row>
    <x:row r="17" ht="65" customHeight="1">
      <x:c r="A17" s="61" t="n">
        <x:v>44562</x:v>
      </x:c>
      <x:c r="B17" s="32" t="str">
        <x:v>Madera y papel</x:v>
      </x:c>
      <x:c r="C17" s="32" t="str">
        <x:v>Industrias sin Aluar</x:v>
      </x:c>
      <x:c r="D17" s="62" t="n">
        <x:v>31</x:v>
      </x:c>
      <x:c r="E17" s="2" t="str">
        <x:v>Completo</x:v>
      </x:c>
      <x:c r="F17" s="56" t="n">
        <x:v>102.87712499999999</x:v>
      </x:c>
      <x:c r="G17" s="56" t="str">
        <x:f>"n.a."</x:f>
        <x:v>n.a.</x:v>
      </x:c>
      <x:c r="H17" s="57" t="str">
        <x:f>IF(ISNUMBER(G17),IF(G17=0,"n.a.",F17/G17-1),"n.a.")</x:f>
        <x:v>n.a.</x:v>
      </x:c>
      <x:c r="I17" s="58" t="n">
        <x:f>F17/J17</x:f>
        <x:v>0.08941336546495555</x:v>
      </x:c>
      <x:c r="J17" s="56" t="n">
        <x:v>1150.5788252688171</x:v>
      </x:c>
    </x:row>
    <x:row r="18" ht="65" customHeight="1">
      <x:c r="A18" s="61" t="n">
        <x:v>44562</x:v>
      </x:c>
      <x:c r="B18" s="32" t="str">
        <x:v>Productos metálicos no automotores</x:v>
      </x:c>
      <x:c r="C18" s="32" t="str">
        <x:v>Industrias sin Aluar</x:v>
      </x:c>
      <x:c r="D18" s="62" t="n">
        <x:v>31</x:v>
      </x:c>
      <x:c r="E18" s="2" t="str">
        <x:v>Completo</x:v>
      </x:c>
      <x:c r="F18" s="56" t="n">
        <x:v>54.45709274193548</x:v>
      </x:c>
      <x:c r="G18" s="56" t="str">
        <x:f>"n.a."</x:f>
        <x:v>n.a.</x:v>
      </x:c>
      <x:c r="H18" s="57" t="str">
        <x:f>IF(ISNUMBER(G18),IF(G18=0,"n.a.",F18/G18-1),"n.a.")</x:f>
        <x:v>n.a.</x:v>
      </x:c>
      <x:c r="I18" s="58" t="n">
        <x:f>F18/J18</x:f>
        <x:v>0.0473301711677271</x:v>
      </x:c>
      <x:c r="J18" s="56" t="n">
        <x:v>1150.5788252688171</x:v>
      </x:c>
    </x:row>
    <x:row r="19" ht="65" customHeight="1">
      <x:c r="A19" s="61" t="n">
        <x:v>44562</x:v>
      </x:c>
      <x:c r="B19" s="32" t="str">
        <x:v>Gran siderurgia</x:v>
      </x:c>
      <x:c r="C19" s="32" t="str">
        <x:v>Industrias sin Aluar</x:v>
      </x:c>
      <x:c r="D19" s="62" t="n">
        <x:v>31</x:v>
      </x:c>
      <x:c r="E19" s="2" t="str">
        <x:v>Completo</x:v>
      </x:c>
      <x:c r="F19" s="56" t="n">
        <x:v>255.77257258064515</x:v>
      </x:c>
      <x:c r="G19" s="56" t="str">
        <x:f>"n.a."</x:f>
        <x:v>n.a.</x:v>
      </x:c>
      <x:c r="H19" s="57" t="str">
        <x:f>IF(ISNUMBER(G19),IF(G19=0,"n.a.",F19/G19-1),"n.a.")</x:f>
        <x:v>n.a.</x:v>
      </x:c>
      <x:c r="I19" s="58" t="n">
        <x:f>F19/J19</x:f>
        <x:v>0.2222990437190493</x:v>
      </x:c>
      <x:c r="J19" s="56" t="n">
        <x:v>1150.5788252688171</x:v>
      </x:c>
    </x:row>
    <x:row r="20" ht="65" customHeight="1">
      <x:c r="A20" s="61" t="n">
        <x:v>44562</x:v>
      </x:c>
      <x:c r="B20" s="32" t="str">
        <x:v>Industria textil</x:v>
      </x:c>
      <x:c r="C20" s="32" t="str">
        <x:v>Industrias sin Aluar</x:v>
      </x:c>
      <x:c r="D20" s="62" t="n">
        <x:v>31</x:v>
      </x:c>
      <x:c r="E20" s="2" t="str">
        <x:v>Completo</x:v>
      </x:c>
      <x:c r="F20" s="56" t="n">
        <x:v>47.675805107526884</x:v>
      </x:c>
      <x:c r="G20" s="56" t="str">
        <x:f>"n.a."</x:f>
        <x:v>n.a.</x:v>
      </x:c>
      <x:c r="H20" s="57" t="str">
        <x:f>IF(ISNUMBER(G20),IF(G20=0,"n.a.",F20/G20-1),"n.a.")</x:f>
        <x:v>n.a.</x:v>
      </x:c>
      <x:c r="I20" s="58" t="n">
        <x:f>F20/J20</x:f>
        <x:v>0.04143636581908074</x:v>
      </x:c>
      <x:c r="J20" s="56" t="n">
        <x:v>1150.5788252688171</x:v>
      </x:c>
    </x:row>
    <x:row r="21" ht="65" customHeight="1">
      <x:c r="A21" s="61" t="n">
        <x:v>44562</x:v>
      </x:c>
      <x:c r="B21" s="32" t="str">
        <x:v>Químicas, caucho, plástico y otros minerales no metálicos</x:v>
      </x:c>
      <x:c r="C21" s="32" t="str">
        <x:v>Industrias sin Aluar</x:v>
      </x:c>
      <x:c r="D21" s="62" t="n">
        <x:v>31</x:v>
      </x:c>
      <x:c r="E21" s="2" t="str">
        <x:v>Completo</x:v>
      </x:c>
      <x:c r="F21" s="56" t="n">
        <x:v>327.0321008064516</x:v>
      </x:c>
      <x:c r="G21" s="56" t="str">
        <x:f>"n.a."</x:f>
        <x:v>n.a.</x:v>
      </x:c>
      <x:c r="H21" s="57" t="str">
        <x:f>IF(ISNUMBER(G21),IF(G21=0,"n.a.",F21/G21-1),"n.a.")</x:f>
        <x:v>n.a.</x:v>
      </x:c>
      <x:c r="I21" s="58" t="n">
        <x:f>F21/J21</x:f>
        <x:v>0.2842326780436316</x:v>
      </x:c>
      <x:c r="J21" s="56" t="n">
        <x:v>1150.5788252688171</x:v>
      </x:c>
    </x:row>
    <x:row r="22" ht="65" customHeight="1">
      <x:c r="A22" s="61" t="n">
        <x:v>44562</x:v>
      </x:c>
      <x:c r="B22" s="32" t="str">
        <x:v>Extracción de minerales</x:v>
      </x:c>
      <x:c r="C22" s="32" t="str">
        <x:v>Petróleos y minerales</x:v>
      </x:c>
      <x:c r="D22" s="62" t="n">
        <x:v>31</x:v>
      </x:c>
      <x:c r="E22" s="2" t="str">
        <x:v>Completo</x:v>
      </x:c>
      <x:c r="F22" s="56" t="n">
        <x:v>14.804048387096774</x:v>
      </x:c>
      <x:c r="G22" s="56" t="str">
        <x:f>"n.a."</x:f>
        <x:v>n.a.</x:v>
      </x:c>
      <x:c r="H22" s="57" t="str">
        <x:f>IF(ISNUMBER(G22),IF(G22=0,"n.a.",F22/G22-1),"n.a.")</x:f>
        <x:v>n.a.</x:v>
      </x:c>
      <x:c r="I22" s="58" t="n">
        <x:f>F22/J22</x:f>
        <x:v>0.08311393156765734</x:v>
      </x:c>
      <x:c r="J22" s="56" t="n">
        <x:v>178.11753225806453</x:v>
      </x:c>
    </x:row>
    <x:row r="23" ht="65" customHeight="1">
      <x:c r="A23" s="61" t="n">
        <x:v>44562</x:v>
      </x:c>
      <x:c r="B23" s="32" t="str">
        <x:v>Extracción de petróleo</x:v>
      </x:c>
      <x:c r="C23" s="32" t="str">
        <x:v>Petróleos y minerales</x:v>
      </x:c>
      <x:c r="D23" s="62" t="n">
        <x:v>31</x:v>
      </x:c>
      <x:c r="E23" s="2" t="str">
        <x:v>Completo</x:v>
      </x:c>
      <x:c r="F23" s="56" t="n">
        <x:v>163.31348387096773</x:v>
      </x:c>
      <x:c r="G23" s="56" t="str">
        <x:f>"n.a."</x:f>
        <x:v>n.a.</x:v>
      </x:c>
      <x:c r="H23" s="57" t="str">
        <x:f>IF(ISNUMBER(G23),IF(G23=0,"n.a.",F23/G23-1),"n.a.")</x:f>
        <x:v>n.a.</x:v>
      </x:c>
      <x:c r="I23" s="58" t="n">
        <x:f>F23/J23</x:f>
        <x:v>0.9168860684323425</x:v>
      </x:c>
      <x:c r="J23" s="56" t="n">
        <x:v>178.11753225806453</x:v>
      </x:c>
    </x:row>
    <x:row r="24" ht="65" customHeight="1">
      <x:c r="A24" s="61" t="n">
        <x:v>44593</x:v>
      </x:c>
      <x:c r="B24" s="32" t="str">
        <x:v>Cargas y puertos</x:v>
      </x:c>
      <x:c r="C24" s="32" t="str">
        <x:v>Alimentación, comercios y servicios</x:v>
      </x:c>
      <x:c r="D24" s="62" t="n">
        <x:v>28</x:v>
      </x:c>
      <x:c r="E24" s="2" t="str">
        <x:v>Completo</x:v>
      </x:c>
      <x:c r="F24" s="56" t="n">
        <x:v>8.332269345238094</x:v>
      </x:c>
      <x:c r="G24" s="56" t="str">
        <x:f>"n.a."</x:f>
        <x:v>n.a.</x:v>
      </x:c>
      <x:c r="H24" s="57" t="str">
        <x:f>IF(ISNUMBER(G24),IF(G24=0,"n.a.",F24/G24-1),"n.a.")</x:f>
        <x:v>n.a.</x:v>
      </x:c>
      <x:c r="I24" s="58" t="n">
        <x:f>F24/J24</x:f>
        <x:v>0.02066072033752179</x:v>
      </x:c>
      <x:c r="J24" s="56" t="n">
        <x:v>403.29036011904765</x:v>
      </x:c>
    </x:row>
    <x:row r="25" ht="65" customHeight="1">
      <x:c r="A25" s="61" t="n">
        <x:v>44593</x:v>
      </x:c>
      <x:c r="B25" s="32" t="str">
        <x:v>Comercio y servicios: principalmente supermercados y centros comerciales</x:v>
      </x:c>
      <x:c r="C25" s="32" t="str">
        <x:v>Alimentación, comercios y servicios</x:v>
      </x:c>
      <x:c r="D25" s="62" t="n">
        <x:v>28</x:v>
      </x:c>
      <x:c r="E25" s="2" t="str">
        <x:v>Completo</x:v>
      </x:c>
      <x:c r="F25" s="56" t="n">
        <x:v>32.13583035714286</x:v>
      </x:c>
      <x:c r="G25" s="56" t="str">
        <x:f>"n.a."</x:f>
        <x:v>n.a.</x:v>
      </x:c>
      <x:c r="H25" s="57" t="str">
        <x:f>IF(ISNUMBER(G25),IF(G25=0,"n.a.",F25/G25-1),"n.a.")</x:f>
        <x:v>n.a.</x:v>
      </x:c>
      <x:c r="I25" s="58" t="n">
        <x:f>F25/J25</x:f>
        <x:v>0.07968410241111802</x:v>
      </x:c>
      <x:c r="J25" s="56" t="n">
        <x:v>403.29036011904765</x:v>
      </x:c>
    </x:row>
    <x:row r="26" ht="65" customHeight="1">
      <x:c r="A26" s="61" t="n">
        <x:v>44593</x:v>
      </x:c>
      <x:c r="B26" s="32" t="str">
        <x:v>Alimentación y artículos de consumo masivo</x:v>
      </x:c>
      <x:c r="C26" s="32" t="str">
        <x:v>Alimentación, comercios y servicios</x:v>
      </x:c>
      <x:c r="D26" s="62" t="n">
        <x:v>28</x:v>
      </x:c>
      <x:c r="E26" s="2" t="str">
        <x:v>Completo</x:v>
      </x:c>
      <x:c r="F26" s="56" t="n">
        <x:v>280.3545535714286</x:v>
      </x:c>
      <x:c r="G26" s="56" t="str">
        <x:f>"n.a."</x:f>
        <x:v>n.a.</x:v>
      </x:c>
      <x:c r="H26" s="57" t="str">
        <x:f>IF(ISNUMBER(G26),IF(G26=0,"n.a.",F26/G26-1),"n.a.")</x:f>
        <x:v>n.a.</x:v>
      </x:c>
      <x:c r="I26" s="58" t="n">
        <x:f>F26/J26</x:f>
        <x:v>0.6951680012601107</x:v>
      </x:c>
      <x:c r="J26" s="56" t="n">
        <x:v>403.29036011904765</x:v>
      </x:c>
    </x:row>
    <x:row r="27" ht="65" customHeight="1">
      <x:c r="A27" s="61" t="n">
        <x:v>44593</x:v>
      </x:c>
      <x:c r="B27" s="32" t="str">
        <x:v>Servicios públicos y transporte: agua y transporte en GBA</x:v>
      </x:c>
      <x:c r="C27" s="32" t="str">
        <x:v>Alimentación, comercios y servicios</x:v>
      </x:c>
      <x:c r="D27" s="62" t="n">
        <x:v>28</x:v>
      </x:c>
      <x:c r="E27" s="2" t="str">
        <x:v>Completo</x:v>
      </x:c>
      <x:c r="F27" s="56" t="n">
        <x:v>82.4677068452381</x:v>
      </x:c>
      <x:c r="G27" s="56" t="str">
        <x:f>"n.a."</x:f>
        <x:v>n.a.</x:v>
      </x:c>
      <x:c r="H27" s="57" t="str">
        <x:f>IF(ISNUMBER(G27),IF(G27=0,"n.a.",F27/G27-1),"n.a.")</x:f>
        <x:v>n.a.</x:v>
      </x:c>
      <x:c r="I27" s="58" t="n">
        <x:f>F27/J27</x:f>
        <x:v>0.20448717599124952</x:v>
      </x:c>
      <x:c r="J27" s="56" t="n">
        <x:v>403.29036011904765</x:v>
      </x:c>
    </x:row>
    <x:row r="28" ht="65" customHeight="1">
      <x:c r="A28" s="61" t="n">
        <x:v>44593</x:v>
      </x:c>
      <x:c r="B28" s="32" t="str">
        <x:v>Industria automotriz</x:v>
      </x:c>
      <x:c r="C28" s="32" t="str">
        <x:v>Industrias sin Aluar</x:v>
      </x:c>
      <x:c r="D28" s="62" t="n">
        <x:v>28</x:v>
      </x:c>
      <x:c r="E28" s="2" t="str">
        <x:v>Completo</x:v>
      </x:c>
      <x:c r="F28" s="56" t="n">
        <x:v>37.02190773809524</x:v>
      </x:c>
      <x:c r="G28" s="56" t="str">
        <x:f>"n.a."</x:f>
        <x:v>n.a.</x:v>
      </x:c>
      <x:c r="H28" s="57" t="str">
        <x:f>IF(ISNUMBER(G28),IF(G28=0,"n.a.",F28/G28-1),"n.a.")</x:f>
        <x:v>n.a.</x:v>
      </x:c>
      <x:c r="I28" s="58" t="n">
        <x:f>F28/J28</x:f>
        <x:v>0.030416685383119726</x:v>
      </x:c>
      <x:c r="J28" s="56" t="n">
        <x:v>1217.1578616071426</x:v>
      </x:c>
    </x:row>
    <x:row r="29" ht="65" customHeight="1">
      <x:c r="A29" s="61" t="n">
        <x:v>44593</x:v>
      </x:c>
      <x:c r="B29" s="32" t="str">
        <x:v>Derivados de petróleo</x:v>
      </x:c>
      <x:c r="C29" s="32" t="str">
        <x:v>Industrias sin Aluar</x:v>
      </x:c>
      <x:c r="D29" s="62" t="n">
        <x:v>28</x:v>
      </x:c>
      <x:c r="E29" s="2" t="str">
        <x:v>Completo</x:v>
      </x:c>
      <x:c r="F29" s="56" t="n">
        <x:v>147.58782291666668</x:v>
      </x:c>
      <x:c r="G29" s="56" t="str">
        <x:f>"n.a."</x:f>
        <x:v>n.a.</x:v>
      </x:c>
      <x:c r="H29" s="57" t="str">
        <x:f>IF(ISNUMBER(G29),IF(G29=0,"n.a.",F29/G29-1),"n.a.")</x:f>
        <x:v>n.a.</x:v>
      </x:c>
      <x:c r="I29" s="58" t="n">
        <x:f>F29/J29</x:f>
        <x:v>0.12125610618970231</x:v>
      </x:c>
      <x:c r="J29" s="56" t="n">
        <x:v>1217.1578616071426</x:v>
      </x:c>
    </x:row>
    <x:row r="30" ht="65" customHeight="1">
      <x:c r="A30" s="61" t="n">
        <x:v>44593</x:v>
      </x:c>
      <x:c r="B30" s="32" t="str">
        <x:v>Construcción: elaboración de cemento y canteras</x:v>
      </x:c>
      <x:c r="C30" s="32" t="str">
        <x:v>Industrias sin Aluar</x:v>
      </x:c>
      <x:c r="D30" s="62" t="n">
        <x:v>28</x:v>
      </x:c>
      <x:c r="E30" s="2" t="str">
        <x:v>Completo</x:v>
      </x:c>
      <x:c r="F30" s="56" t="n">
        <x:v>177.95991220238096</x:v>
      </x:c>
      <x:c r="G30" s="56" t="str">
        <x:f>"n.a."</x:f>
        <x:v>n.a.</x:v>
      </x:c>
      <x:c r="H30" s="57" t="str">
        <x:f>IF(ISNUMBER(G30),IF(G30=0,"n.a.",F30/G30-1),"n.a.")</x:f>
        <x:v>n.a.</x:v>
      </x:c>
      <x:c r="I30" s="58" t="n">
        <x:f>F30/J30</x:f>
        <x:v>0.14620939305884417</x:v>
      </x:c>
      <x:c r="J30" s="56" t="n">
        <x:v>1217.1578616071426</x:v>
      </x:c>
    </x:row>
    <x:row r="31" ht="65" customHeight="1">
      <x:c r="A31" s="61" t="n">
        <x:v>44593</x:v>
      </x:c>
      <x:c r="B31" s="32" t="str">
        <x:v>Madera y papel</x:v>
      </x:c>
      <x:c r="C31" s="32" t="str">
        <x:v>Industrias sin Aluar</x:v>
      </x:c>
      <x:c r="D31" s="62" t="n">
        <x:v>28</x:v>
      </x:c>
      <x:c r="E31" s="2" t="str">
        <x:v>Completo</x:v>
      </x:c>
      <x:c r="F31" s="56" t="n">
        <x:v>110.09395833333333</x:v>
      </x:c>
      <x:c r="G31" s="56" t="str">
        <x:f>"n.a."</x:f>
        <x:v>n.a.</x:v>
      </x:c>
      <x:c r="H31" s="57" t="str">
        <x:f>IF(ISNUMBER(G31),IF(G31=0,"n.a.",F31/G31-1),"n.a.")</x:f>
        <x:v>n.a.</x:v>
      </x:c>
      <x:c r="I31" s="58" t="n">
        <x:f>F31/J31</x:f>
        <x:v>0.09045166761521353</x:v>
      </x:c>
      <x:c r="J31" s="56" t="n">
        <x:v>1217.1578616071426</x:v>
      </x:c>
    </x:row>
    <x:row r="32" ht="65" customHeight="1">
      <x:c r="A32" s="61" t="n">
        <x:v>44593</x:v>
      </x:c>
      <x:c r="B32" s="32" t="str">
        <x:v>Productos metálicos no automotores</x:v>
      </x:c>
      <x:c r="C32" s="32" t="str">
        <x:v>Industrias sin Aluar</x:v>
      </x:c>
      <x:c r="D32" s="62" t="n">
        <x:v>28</x:v>
      </x:c>
      <x:c r="E32" s="2" t="str">
        <x:v>Completo</x:v>
      </x:c>
      <x:c r="F32" s="56" t="n">
        <x:v>64.37421875</x:v>
      </x:c>
      <x:c r="G32" s="56" t="str">
        <x:f>"n.a."</x:f>
        <x:v>n.a.</x:v>
      </x:c>
      <x:c r="H32" s="57" t="str">
        <x:f>IF(ISNUMBER(G32),IF(G32=0,"n.a.",F32/G32-1),"n.a.")</x:f>
        <x:v>n.a.</x:v>
      </x:c>
      <x:c r="I32" s="58" t="n">
        <x:f>F32/J32</x:f>
        <x:v>0.05288896434929146</x:v>
      </x:c>
      <x:c r="J32" s="56" t="n">
        <x:v>1217.1578616071426</x:v>
      </x:c>
    </x:row>
    <x:row r="33" ht="65" customHeight="1">
      <x:c r="A33" s="61" t="n">
        <x:v>44593</x:v>
      </x:c>
      <x:c r="B33" s="32" t="str">
        <x:v>Gran siderurgia</x:v>
      </x:c>
      <x:c r="C33" s="32" t="str">
        <x:v>Industrias sin Aluar</x:v>
      </x:c>
      <x:c r="D33" s="62" t="n">
        <x:v>28</x:v>
      </x:c>
      <x:c r="E33" s="2" t="str">
        <x:v>Completo</x:v>
      </x:c>
      <x:c r="F33" s="56" t="n">
        <x:v>289.5002470238095</x:v>
      </x:c>
      <x:c r="G33" s="56" t="str">
        <x:f>"n.a."</x:f>
        <x:v>n.a.</x:v>
      </x:c>
      <x:c r="H33" s="57" t="str">
        <x:f>IF(ISNUMBER(G33),IF(G33=0,"n.a.",F33/G33-1),"n.a.")</x:f>
        <x:v>n.a.</x:v>
      </x:c>
      <x:c r="I33" s="58" t="n">
        <x:f>F33/J33</x:f>
        <x:v>0.2378493835150944</x:v>
      </x:c>
      <x:c r="J33" s="56" t="n">
        <x:v>1217.1578616071426</x:v>
      </x:c>
    </x:row>
    <x:row r="34" ht="65" customHeight="1">
      <x:c r="A34" s="61" t="n">
        <x:v>44593</x:v>
      </x:c>
      <x:c r="B34" s="32" t="str">
        <x:v>Industria textil</x:v>
      </x:c>
      <x:c r="C34" s="32" t="str">
        <x:v>Industrias sin Aluar</x:v>
      </x:c>
      <x:c r="D34" s="62" t="n">
        <x:v>28</x:v>
      </x:c>
      <x:c r="E34" s="2" t="str">
        <x:v>Completo</x:v>
      </x:c>
      <x:c r="F34" s="56" t="n">
        <x:v>64.0452261904762</x:v>
      </x:c>
      <x:c r="G34" s="56" t="str">
        <x:f>"n.a."</x:f>
        <x:v>n.a.</x:v>
      </x:c>
      <x:c r="H34" s="57" t="str">
        <x:f>IF(ISNUMBER(G34),IF(G34=0,"n.a.",F34/G34-1),"n.a.")</x:f>
        <x:v>n.a.</x:v>
      </x:c>
      <x:c r="I34" s="58" t="n">
        <x:f>F34/J34</x:f>
        <x:v>0.05261866863014013</x:v>
      </x:c>
      <x:c r="J34" s="56" t="n">
        <x:v>1217.1578616071426</x:v>
      </x:c>
    </x:row>
    <x:row r="35" ht="65" customHeight="1">
      <x:c r="A35" s="61" t="n">
        <x:v>44593</x:v>
      </x:c>
      <x:c r="B35" s="32" t="str">
        <x:v>Químicas, caucho, plástico y otros minerales no metálicos</x:v>
      </x:c>
      <x:c r="C35" s="32" t="str">
        <x:v>Industrias sin Aluar</x:v>
      </x:c>
      <x:c r="D35" s="62" t="n">
        <x:v>28</x:v>
      </x:c>
      <x:c r="E35" s="2" t="str">
        <x:v>Completo</x:v>
      </x:c>
      <x:c r="F35" s="56" t="n">
        <x:v>326.57456845238096</x:v>
      </x:c>
      <x:c r="G35" s="56" t="str">
        <x:f>"n.a."</x:f>
        <x:v>n.a.</x:v>
      </x:c>
      <x:c r="H35" s="57" t="str">
        <x:f>IF(ISNUMBER(G35),IF(G35=0,"n.a.",F35/G35-1),"n.a.")</x:f>
        <x:v>n.a.</x:v>
      </x:c>
      <x:c r="I35" s="58" t="n">
        <x:f>F35/J35</x:f>
        <x:v>0.26830913125859446</x:v>
      </x:c>
      <x:c r="J35" s="56" t="n">
        <x:v>1217.1578616071426</x:v>
      </x:c>
    </x:row>
    <x:row r="36" ht="65" customHeight="1">
      <x:c r="A36" s="61" t="n">
        <x:v>44593</x:v>
      </x:c>
      <x:c r="B36" s="32" t="str">
        <x:v>Extracción de minerales</x:v>
      </x:c>
      <x:c r="C36" s="32" t="str">
        <x:v>Petróleos y minerales</x:v>
      </x:c>
      <x:c r="D36" s="62" t="n">
        <x:v>28</x:v>
      </x:c>
      <x:c r="E36" s="2" t="str">
        <x:v>Completo</x:v>
      </x:c>
      <x:c r="F36" s="56" t="n">
        <x:v>16.29373363095238</x:v>
      </x:c>
      <x:c r="G36" s="56" t="str">
        <x:f>"n.a."</x:f>
        <x:v>n.a.</x:v>
      </x:c>
      <x:c r="H36" s="57" t="str">
        <x:f>IF(ISNUMBER(G36),IF(G36=0,"n.a.",F36/G36-1),"n.a.")</x:f>
        <x:v>n.a.</x:v>
      </x:c>
      <x:c r="I36" s="58" t="n">
        <x:f>F36/J36</x:f>
        <x:v>0.08894069145182143</x:v>
      </x:c>
      <x:c r="J36" s="56" t="n">
        <x:v>183.19773958333332</x:v>
      </x:c>
    </x:row>
    <x:row r="37" ht="65" customHeight="1">
      <x:c r="A37" s="61" t="n">
        <x:v>44593</x:v>
      </x:c>
      <x:c r="B37" s="32" t="str">
        <x:v>Extracción de petróleo</x:v>
      </x:c>
      <x:c r="C37" s="32" t="str">
        <x:v>Petróleos y minerales</x:v>
      </x:c>
      <x:c r="D37" s="62" t="n">
        <x:v>28</x:v>
      </x:c>
      <x:c r="E37" s="2" t="str">
        <x:v>Completo</x:v>
      </x:c>
      <x:c r="F37" s="56" t="n">
        <x:v>166.90400595238094</x:v>
      </x:c>
      <x:c r="G37" s="56" t="str">
        <x:f>"n.a."</x:f>
        <x:v>n.a.</x:v>
      </x:c>
      <x:c r="H37" s="57" t="str">
        <x:f>IF(ISNUMBER(G37),IF(G37=0,"n.a.",F37/G37-1),"n.a.")</x:f>
        <x:v>n.a.</x:v>
      </x:c>
      <x:c r="I37" s="58" t="n">
        <x:f>F37/J37</x:f>
        <x:v>0.9110593085481786</x:v>
      </x:c>
      <x:c r="J37" s="56" t="n">
        <x:v>183.19773958333332</x:v>
      </x:c>
    </x:row>
    <x:row r="38" ht="65" customHeight="1">
      <x:c r="A38" s="61" t="n">
        <x:v>44621</x:v>
      </x:c>
      <x:c r="B38" s="32" t="str">
        <x:v>Cargas y puertos</x:v>
      </x:c>
      <x:c r="C38" s="32" t="str">
        <x:v>Alimentación, comercios y servicios</x:v>
      </x:c>
      <x:c r="D38" s="62" t="n">
        <x:v>31</x:v>
      </x:c>
      <x:c r="E38" s="2" t="str">
        <x:v>Completo</x:v>
      </x:c>
      <x:c r="F38" s="56" t="n">
        <x:v>7.846103494623656</x:v>
      </x:c>
      <x:c r="G38" s="56" t="str">
        <x:f>"n.a."</x:f>
        <x:v>n.a.</x:v>
      </x:c>
      <x:c r="H38" s="57" t="str">
        <x:f>IF(ISNUMBER(G38),IF(G38=0,"n.a.",F38/G38-1),"n.a.")</x:f>
        <x:v>n.a.</x:v>
      </x:c>
      <x:c r="I38" s="58" t="n">
        <x:f>F38/J38</x:f>
        <x:v>0.019736788942953352</x:v>
      </x:c>
      <x:c r="J38" s="56" t="n">
        <x:v>397.53698118279567</x:v>
      </x:c>
    </x:row>
    <x:row r="39" ht="65" customHeight="1">
      <x:c r="A39" s="61" t="n">
        <x:v>44621</x:v>
      </x:c>
      <x:c r="B39" s="32" t="str">
        <x:v>Comercio y servicios: principalmente supermercados y centros comerciales</x:v>
      </x:c>
      <x:c r="C39" s="32" t="str">
        <x:v>Alimentación, comercios y servicios</x:v>
      </x:c>
      <x:c r="D39" s="62" t="n">
        <x:v>31</x:v>
      </x:c>
      <x:c r="E39" s="2" t="str">
        <x:v>Completo</x:v>
      </x:c>
      <x:c r="F39" s="56" t="n">
        <x:v>29.484176075268817</x:v>
      </x:c>
      <x:c r="G39" s="56" t="str">
        <x:f>"n.a."</x:f>
        <x:v>n.a.</x:v>
      </x:c>
      <x:c r="H39" s="57" t="str">
        <x:f>IF(ISNUMBER(G39),IF(G39=0,"n.a.",F39/G39-1),"n.a.")</x:f>
        <x:v>n.a.</x:v>
      </x:c>
      <x:c r="I39" s="58" t="n">
        <x:f>F39/J39</x:f>
        <x:v>0.07416712776643888</x:v>
      </x:c>
      <x:c r="J39" s="56" t="n">
        <x:v>397.53698118279567</x:v>
      </x:c>
    </x:row>
    <x:row r="40" ht="65" customHeight="1">
      <x:c r="A40" s="61" t="n">
        <x:v>44621</x:v>
      </x:c>
      <x:c r="B40" s="32" t="str">
        <x:v>Alimentación y artículos de consumo masivo</x:v>
      </x:c>
      <x:c r="C40" s="32" t="str">
        <x:v>Alimentación, comercios y servicios</x:v>
      </x:c>
      <x:c r="D40" s="62" t="n">
        <x:v>31</x:v>
      </x:c>
      <x:c r="E40" s="2" t="str">
        <x:v>Completo</x:v>
      </x:c>
      <x:c r="F40" s="56" t="n">
        <x:v>277.9242338709677</x:v>
      </x:c>
      <x:c r="G40" s="56" t="str">
        <x:f>"n.a."</x:f>
        <x:v>n.a.</x:v>
      </x:c>
      <x:c r="H40" s="57" t="str">
        <x:f>IF(ISNUMBER(G40),IF(G40=0,"n.a.",F40/G40-1),"n.a.")</x:f>
        <x:v>n.a.</x:v>
      </x:c>
      <x:c r="I40" s="58" t="n">
        <x:f>F40/J40</x:f>
        <x:v>0.6991154207693006</x:v>
      </x:c>
      <x:c r="J40" s="56" t="n">
        <x:v>397.53698118279567</x:v>
      </x:c>
    </x:row>
    <x:row r="41" ht="65" customHeight="1">
      <x:c r="A41" s="61" t="n">
        <x:v>44621</x:v>
      </x:c>
      <x:c r="B41" s="32" t="str">
        <x:v>Servicios públicos y transporte: agua y transporte en GBA</x:v>
      </x:c>
      <x:c r="C41" s="32" t="str">
        <x:v>Alimentación, comercios y servicios</x:v>
      </x:c>
      <x:c r="D41" s="62" t="n">
        <x:v>31</x:v>
      </x:c>
      <x:c r="E41" s="2" t="str">
        <x:v>Completo</x:v>
      </x:c>
      <x:c r="F41" s="56" t="n">
        <x:v>82.28246774193548</x:v>
      </x:c>
      <x:c r="G41" s="56" t="str">
        <x:f>"n.a."</x:f>
        <x:v>n.a.</x:v>
      </x:c>
      <x:c r="H41" s="57" t="str">
        <x:f>IF(ISNUMBER(G41),IF(G41=0,"n.a.",F41/G41-1),"n.a.")</x:f>
        <x:v>n.a.</x:v>
      </x:c>
      <x:c r="I41" s="58" t="n">
        <x:f>F41/J41</x:f>
        <x:v>0.2069806625213072</x:v>
      </x:c>
      <x:c r="J41" s="56" t="n">
        <x:v>397.53698118279567</x:v>
      </x:c>
    </x:row>
    <x:row r="42" ht="65" customHeight="1">
      <x:c r="A42" s="61" t="n">
        <x:v>44621</x:v>
      </x:c>
      <x:c r="B42" s="32" t="str">
        <x:v>Industria automotriz</x:v>
      </x:c>
      <x:c r="C42" s="32" t="str">
        <x:v>Industrias sin Aluar</x:v>
      </x:c>
      <x:c r="D42" s="62" t="n">
        <x:v>31</x:v>
      </x:c>
      <x:c r="E42" s="2" t="str">
        <x:v>Completo</x:v>
      </x:c>
      <x:c r="F42" s="56" t="n">
        <x:v>37.392795698924736</x:v>
      </x:c>
      <x:c r="G42" s="56" t="str">
        <x:f>"n.a."</x:f>
        <x:v>n.a.</x:v>
      </x:c>
      <x:c r="H42" s="57" t="str">
        <x:f>IF(ISNUMBER(G42),IF(G42=0,"n.a.",F42/G42-1),"n.a.")</x:f>
        <x:v>n.a.</x:v>
      </x:c>
      <x:c r="I42" s="58" t="n">
        <x:f>F42/J42</x:f>
        <x:v>0.028915673540251353</x:v>
      </x:c>
      <x:c r="J42" s="56" t="n">
        <x:v>1293.1670309139786</x:v>
      </x:c>
    </x:row>
    <x:row r="43" ht="65" customHeight="1">
      <x:c r="A43" s="61" t="n">
        <x:v>44621</x:v>
      </x:c>
      <x:c r="B43" s="32" t="str">
        <x:v>Derivados de petróleo</x:v>
      </x:c>
      <x:c r="C43" s="32" t="str">
        <x:v>Industrias sin Aluar</x:v>
      </x:c>
      <x:c r="D43" s="62" t="n">
        <x:v>31</x:v>
      </x:c>
      <x:c r="E43" s="2" t="str">
        <x:v>Completo</x:v>
      </x:c>
      <x:c r="F43" s="56" t="n">
        <x:v>164.19376478494624</x:v>
      </x:c>
      <x:c r="G43" s="56" t="str">
        <x:f>"n.a."</x:f>
        <x:v>n.a.</x:v>
      </x:c>
      <x:c r="H43" s="57" t="str">
        <x:f>IF(ISNUMBER(G43),IF(G43=0,"n.a.",F43/G43-1),"n.a.")</x:f>
        <x:v>n.a.</x:v>
      </x:c>
      <x:c r="I43" s="58" t="n">
        <x:f>F43/J43</x:f>
        <x:v>0.12697026823278826</x:v>
      </x:c>
      <x:c r="J43" s="56" t="n">
        <x:v>1293.1670309139786</x:v>
      </x:c>
    </x:row>
    <x:row r="44" ht="65" customHeight="1">
      <x:c r="A44" s="61" t="n">
        <x:v>44621</x:v>
      </x:c>
      <x:c r="B44" s="32" t="str">
        <x:v>Construcción: elaboración de cemento y canteras</x:v>
      </x:c>
      <x:c r="C44" s="32" t="str">
        <x:v>Industrias sin Aluar</x:v>
      </x:c>
      <x:c r="D44" s="62" t="n">
        <x:v>31</x:v>
      </x:c>
      <x:c r="E44" s="2" t="str">
        <x:v>Completo</x:v>
      </x:c>
      <x:c r="F44" s="56" t="n">
        <x:v>173.1340806451613</x:v>
      </x:c>
      <x:c r="G44" s="56" t="str">
        <x:f>"n.a."</x:f>
        <x:v>n.a.</x:v>
      </x:c>
      <x:c r="H44" s="57" t="str">
        <x:f>IF(ISNUMBER(G44),IF(G44=0,"n.a.",F44/G44-1),"n.a.")</x:f>
        <x:v>n.a.</x:v>
      </x:c>
      <x:c r="I44" s="58" t="n">
        <x:f>F44/J44</x:f>
        <x:v>0.1338837725570489</x:v>
      </x:c>
      <x:c r="J44" s="56" t="n">
        <x:v>1293.1670309139786</x:v>
      </x:c>
    </x:row>
    <x:row r="45" ht="65" customHeight="1">
      <x:c r="A45" s="61" t="n">
        <x:v>44621</x:v>
      </x:c>
      <x:c r="B45" s="32" t="str">
        <x:v>Madera y papel</x:v>
      </x:c>
      <x:c r="C45" s="32" t="str">
        <x:v>Industrias sin Aluar</x:v>
      </x:c>
      <x:c r="D45" s="62" t="n">
        <x:v>31</x:v>
      </x:c>
      <x:c r="E45" s="2" t="str">
        <x:v>Completo</x:v>
      </x:c>
      <x:c r="F45" s="56" t="n">
        <x:v>105.10348521505377</x:v>
      </x:c>
      <x:c r="G45" s="56" t="str">
        <x:f>"n.a."</x:f>
        <x:v>n.a.</x:v>
      </x:c>
      <x:c r="H45" s="57" t="str">
        <x:f>IF(ISNUMBER(G45),IF(G45=0,"n.a.",F45/G45-1),"n.a.")</x:f>
        <x:v>n.a.</x:v>
      </x:c>
      <x:c r="I45" s="58" t="n">
        <x:f>F45/J45</x:f>
        <x:v>0.08127603217719617</x:v>
      </x:c>
      <x:c r="J45" s="56" t="n">
        <x:v>1293.1670309139786</x:v>
      </x:c>
    </x:row>
    <x:row r="46" ht="65" customHeight="1">
      <x:c r="A46" s="61" t="n">
        <x:v>44621</x:v>
      </x:c>
      <x:c r="B46" s="32" t="str">
        <x:v>Productos metálicos no automotores</x:v>
      </x:c>
      <x:c r="C46" s="32" t="str">
        <x:v>Industrias sin Aluar</x:v>
      </x:c>
      <x:c r="D46" s="62" t="n">
        <x:v>31</x:v>
      </x:c>
      <x:c r="E46" s="2" t="str">
        <x:v>Completo</x:v>
      </x:c>
      <x:c r="F46" s="56" t="n">
        <x:v>62.94465725806452</x:v>
      </x:c>
      <x:c r="G46" s="56" t="str">
        <x:f>"n.a."</x:f>
        <x:v>n.a.</x:v>
      </x:c>
      <x:c r="H46" s="57" t="str">
        <x:f>IF(ISNUMBER(G46),IF(G46=0,"n.a.",F46/G46-1),"n.a.")</x:f>
        <x:v>n.a.</x:v>
      </x:c>
      <x:c r="I46" s="58" t="n">
        <x:f>F46/J46</x:f>
        <x:v>0.048674808244667966</x:v>
      </x:c>
      <x:c r="J46" s="56" t="n">
        <x:v>1293.1670309139786</x:v>
      </x:c>
    </x:row>
    <x:row r="47" ht="65" customHeight="1">
      <x:c r="A47" s="61" t="n">
        <x:v>44621</x:v>
      </x:c>
      <x:c r="B47" s="32" t="str">
        <x:v>Gran siderurgia</x:v>
      </x:c>
      <x:c r="C47" s="32" t="str">
        <x:v>Industrias sin Aluar</x:v>
      </x:c>
      <x:c r="D47" s="62" t="n">
        <x:v>31</x:v>
      </x:c>
      <x:c r="E47" s="2" t="str">
        <x:v>Completo</x:v>
      </x:c>
      <x:c r="F47" s="56" t="n">
        <x:v>330.94274462365587</x:v>
      </x:c>
      <x:c r="G47" s="56" t="str">
        <x:f>"n.a."</x:f>
        <x:v>n.a.</x:v>
      </x:c>
      <x:c r="H47" s="57" t="str">
        <x:f>IF(ISNUMBER(G47),IF(G47=0,"n.a.",F47/G47-1),"n.a.")</x:f>
        <x:v>n.a.</x:v>
      </x:c>
      <x:c r="I47" s="58" t="n">
        <x:f>F47/J47</x:f>
        <x:v>0.25591647228258957</x:v>
      </x:c>
      <x:c r="J47" s="56" t="n">
        <x:v>1293.1670309139786</x:v>
      </x:c>
    </x:row>
    <x:row r="48" ht="65" customHeight="1">
      <x:c r="A48" s="61" t="n">
        <x:v>44621</x:v>
      </x:c>
      <x:c r="B48" s="32" t="str">
        <x:v>Industria textil</x:v>
      </x:c>
      <x:c r="C48" s="32" t="str">
        <x:v>Industrias sin Aluar</x:v>
      </x:c>
      <x:c r="D48" s="62" t="n">
        <x:v>31</x:v>
      </x:c>
      <x:c r="E48" s="2" t="str">
        <x:v>Completo</x:v>
      </x:c>
      <x:c r="F48" s="56" t="n">
        <x:v>63.16328225806452</x:v>
      </x:c>
      <x:c r="G48" s="56" t="str">
        <x:f>"n.a."</x:f>
        <x:v>n.a.</x:v>
      </x:c>
      <x:c r="H48" s="57" t="str">
        <x:f>IF(ISNUMBER(G48),IF(G48=0,"n.a.",F48/G48-1),"n.a.")</x:f>
        <x:v>n.a.</x:v>
      </x:c>
      <x:c r="I48" s="58" t="n">
        <x:f>F48/J48</x:f>
        <x:v>0.04884386993180786</x:v>
      </x:c>
      <x:c r="J48" s="56" t="n">
        <x:v>1293.1670309139786</x:v>
      </x:c>
    </x:row>
    <x:row r="49" ht="65" customHeight="1">
      <x:c r="A49" s="61" t="n">
        <x:v>44621</x:v>
      </x:c>
      <x:c r="B49" s="32" t="str">
        <x:v>Químicas, caucho, plástico y otros minerales no metálicos</x:v>
      </x:c>
      <x:c r="C49" s="32" t="str">
        <x:v>Industrias sin Aluar</x:v>
      </x:c>
      <x:c r="D49" s="62" t="n">
        <x:v>31</x:v>
      </x:c>
      <x:c r="E49" s="2" t="str">
        <x:v>Completo</x:v>
      </x:c>
      <x:c r="F49" s="56" t="n">
        <x:v>356.29222043010753</x:v>
      </x:c>
      <x:c r="G49" s="56" t="str">
        <x:f>"n.a."</x:f>
        <x:v>n.a.</x:v>
      </x:c>
      <x:c r="H49" s="57" t="str">
        <x:f>IF(ISNUMBER(G49),IF(G49=0,"n.a.",F49/G49-1),"n.a.")</x:f>
        <x:v>n.a.</x:v>
      </x:c>
      <x:c r="I49" s="58" t="n">
        <x:f>F49/J49</x:f>
        <x:v>0.27551910303364985</x:v>
      </x:c>
      <x:c r="J49" s="56" t="n">
        <x:v>1293.1670309139786</x:v>
      </x:c>
    </x:row>
    <x:row r="50" ht="65" customHeight="1">
      <x:c r="A50" s="61" t="n">
        <x:v>44621</x:v>
      </x:c>
      <x:c r="B50" s="32" t="str">
        <x:v>Extracción de minerales</x:v>
      </x:c>
      <x:c r="C50" s="32" t="str">
        <x:v>Petróleos y minerales</x:v>
      </x:c>
      <x:c r="D50" s="62" t="n">
        <x:v>31</x:v>
      </x:c>
      <x:c r="E50" s="2" t="str">
        <x:v>Completo</x:v>
      </x:c>
      <x:c r="F50" s="56" t="n">
        <x:v>17.75885752688172</x:v>
      </x:c>
      <x:c r="G50" s="56" t="str">
        <x:f>"n.a."</x:f>
        <x:v>n.a.</x:v>
      </x:c>
      <x:c r="H50" s="57" t="str">
        <x:f>IF(ISNUMBER(G50),IF(G50=0,"n.a.",F50/G50-1),"n.a.")</x:f>
        <x:v>n.a.</x:v>
      </x:c>
      <x:c r="I50" s="58" t="n">
        <x:f>F50/J50</x:f>
        <x:v>0.09456292540635962</x:v>
      </x:c>
      <x:c r="J50" s="56" t="n">
        <x:v>187.79936693548387</x:v>
      </x:c>
    </x:row>
    <x:row r="51" ht="65" customHeight="1">
      <x:c r="A51" s="61" t="n">
        <x:v>44621</x:v>
      </x:c>
      <x:c r="B51" s="32" t="str">
        <x:v>Extracción de petróleo</x:v>
      </x:c>
      <x:c r="C51" s="32" t="str">
        <x:v>Petróleos y minerales</x:v>
      </x:c>
      <x:c r="D51" s="62" t="n">
        <x:v>31</x:v>
      </x:c>
      <x:c r="E51" s="2" t="str">
        <x:v>Completo</x:v>
      </x:c>
      <x:c r="F51" s="56" t="n">
        <x:v>170.04050940860213</x:v>
      </x:c>
      <x:c r="G51" s="56" t="str">
        <x:f>"n.a."</x:f>
        <x:v>n.a.</x:v>
      </x:c>
      <x:c r="H51" s="57" t="str">
        <x:f>IF(ISNUMBER(G51),IF(G51=0,"n.a.",F51/G51-1),"n.a.")</x:f>
        <x:v>n.a.</x:v>
      </x:c>
      <x:c r="I51" s="58" t="n">
        <x:f>F51/J51</x:f>
        <x:v>0.9054370745936403</x:v>
      </x:c>
      <x:c r="J51" s="56" t="n">
        <x:v>187.79936693548387</x:v>
      </x:c>
    </x:row>
    <x:row r="52" ht="65" customHeight="1">
      <x:c r="A52" s="61" t="n">
        <x:v>44652</x:v>
      </x:c>
      <x:c r="B52" s="32" t="str">
        <x:v>Cargas y puertos</x:v>
      </x:c>
      <x:c r="C52" s="32" t="str">
        <x:v>Alimentación, comercios y servicios</x:v>
      </x:c>
      <x:c r="D52" s="62" t="n">
        <x:v>30</x:v>
      </x:c>
      <x:c r="E52" s="2" t="str">
        <x:v>Completo</x:v>
      </x:c>
      <x:c r="F52" s="56" t="n">
        <x:v>7.616648611111112</x:v>
      </x:c>
      <x:c r="G52" s="56" t="str">
        <x:f>"n.a."</x:f>
        <x:v>n.a.</x:v>
      </x:c>
      <x:c r="H52" s="57" t="str">
        <x:f>IF(ISNUMBER(G52),IF(G52=0,"n.a.",F52/G52-1),"n.a.")</x:f>
        <x:v>n.a.</x:v>
      </x:c>
      <x:c r="I52" s="58" t="n">
        <x:f>F52/J52</x:f>
        <x:v>0.018861247683227802</x:v>
      </x:c>
      <x:c r="J52" s="56" t="n">
        <x:v>403.82527916666663</x:v>
      </x:c>
    </x:row>
    <x:row r="53" ht="65" customHeight="1">
      <x:c r="A53" s="61" t="n">
        <x:v>44652</x:v>
      </x:c>
      <x:c r="B53" s="32" t="str">
        <x:v>Comercio y servicios: principalmente supermercados y centros comerciales</x:v>
      </x:c>
      <x:c r="C53" s="32" t="str">
        <x:v>Alimentación, comercios y servicios</x:v>
      </x:c>
      <x:c r="D53" s="62" t="n">
        <x:v>30</x:v>
      </x:c>
      <x:c r="E53" s="2" t="str">
        <x:v>Completo</x:v>
      </x:c>
      <x:c r="F53" s="56" t="n">
        <x:v>26.603906944444443</x:v>
      </x:c>
      <x:c r="G53" s="56" t="str">
        <x:f>"n.a."</x:f>
        <x:v>n.a.</x:v>
      </x:c>
      <x:c r="H53" s="57" t="str">
        <x:f>IF(ISNUMBER(G53),IF(G53=0,"n.a.",F53/G53-1),"n.a.")</x:f>
        <x:v>n.a.</x:v>
      </x:c>
      <x:c r="I53" s="58" t="n">
        <x:f>F53/J53</x:f>
        <x:v>0.06587974630846348</x:v>
      </x:c>
      <x:c r="J53" s="56" t="n">
        <x:v>403.82527916666663</x:v>
      </x:c>
    </x:row>
    <x:row r="54" ht="65" customHeight="1">
      <x:c r="A54" s="61" t="n">
        <x:v>44652</x:v>
      </x:c>
      <x:c r="B54" s="32" t="str">
        <x:v>Alimentación y artículos de consumo masivo</x:v>
      </x:c>
      <x:c r="C54" s="32" t="str">
        <x:v>Alimentación, comercios y servicios</x:v>
      </x:c>
      <x:c r="D54" s="62" t="n">
        <x:v>30</x:v>
      </x:c>
      <x:c r="E54" s="2" t="str">
        <x:v>Completo</x:v>
      </x:c>
      <x:c r="F54" s="56" t="n">
        <x:v>286.55909722222225</x:v>
      </x:c>
      <x:c r="G54" s="56" t="str">
        <x:f>"n.a."</x:f>
        <x:v>n.a.</x:v>
      </x:c>
      <x:c r="H54" s="57" t="str">
        <x:f>IF(ISNUMBER(G54),IF(G54=0,"n.a.",F54/G54-1),"n.a.")</x:f>
        <x:v>n.a.</x:v>
      </x:c>
      <x:c r="I54" s="58" t="n">
        <x:f>F54/J54</x:f>
        <x:v>0.7096115870050663</x:v>
      </x:c>
      <x:c r="J54" s="56" t="n">
        <x:v>403.82527916666663</x:v>
      </x:c>
    </x:row>
    <x:row r="55" ht="65" customHeight="1">
      <x:c r="A55" s="61" t="n">
        <x:v>44652</x:v>
      </x:c>
      <x:c r="B55" s="32" t="str">
        <x:v>Servicios públicos y transporte: agua y transporte en GBA</x:v>
      </x:c>
      <x:c r="C55" s="32" t="str">
        <x:v>Alimentación, comercios y servicios</x:v>
      </x:c>
      <x:c r="D55" s="62" t="n">
        <x:v>30</x:v>
      </x:c>
      <x:c r="E55" s="2" t="str">
        <x:v>Completo</x:v>
      </x:c>
      <x:c r="F55" s="56" t="n">
        <x:v>83.04562638888889</x:v>
      </x:c>
      <x:c r="G55" s="56" t="str">
        <x:f>"n.a."</x:f>
        <x:v>n.a.</x:v>
      </x:c>
      <x:c r="H55" s="57" t="str">
        <x:f>IF(ISNUMBER(G55),IF(G55=0,"n.a.",F55/G55-1),"n.a.")</x:f>
        <x:v>n.a.</x:v>
      </x:c>
      <x:c r="I55" s="58" t="n">
        <x:f>F55/J55</x:f>
        <x:v>0.20564741900324257</x:v>
      </x:c>
      <x:c r="J55" s="56" t="n">
        <x:v>403.82527916666663</x:v>
      </x:c>
    </x:row>
    <x:row r="56" ht="65" customHeight="1">
      <x:c r="A56" s="61" t="n">
        <x:v>44652</x:v>
      </x:c>
      <x:c r="B56" s="32" t="str">
        <x:v>Industria automotriz</x:v>
      </x:c>
      <x:c r="C56" s="32" t="str">
        <x:v>Industrias sin Aluar</x:v>
      </x:c>
      <x:c r="D56" s="62" t="n">
        <x:v>30</x:v>
      </x:c>
      <x:c r="E56" s="2" t="str">
        <x:v>Completo</x:v>
      </x:c>
      <x:c r="F56" s="56" t="n">
        <x:v>35.554947222222225</x:v>
      </x:c>
      <x:c r="G56" s="56" t="str">
        <x:f>"n.a."</x:f>
        <x:v>n.a.</x:v>
      </x:c>
      <x:c r="H56" s="57" t="str">
        <x:f>IF(ISNUMBER(G56),IF(G56=0,"n.a.",F56/G56-1),"n.a.")</x:f>
        <x:v>n.a.</x:v>
      </x:c>
      <x:c r="I56" s="58" t="n">
        <x:f>F56/J56</x:f>
        <x:v>0.026799187398304832</x:v>
      </x:c>
      <x:c r="J56" s="56" t="n">
        <x:v>1326.7173625</x:v>
      </x:c>
    </x:row>
    <x:row r="57" ht="65" customHeight="1">
      <x:c r="A57" s="61" t="n">
        <x:v>44652</x:v>
      </x:c>
      <x:c r="B57" s="32" t="str">
        <x:v>Derivados de petróleo</x:v>
      </x:c>
      <x:c r="C57" s="32" t="str">
        <x:v>Industrias sin Aluar</x:v>
      </x:c>
      <x:c r="D57" s="62" t="n">
        <x:v>30</x:v>
      </x:c>
      <x:c r="E57" s="2" t="str">
        <x:v>Completo</x:v>
      </x:c>
      <x:c r="F57" s="56" t="n">
        <x:v>200.17178194444443</x:v>
      </x:c>
      <x:c r="G57" s="56" t="str">
        <x:f>"n.a."</x:f>
        <x:v>n.a.</x:v>
      </x:c>
      <x:c r="H57" s="57" t="str">
        <x:f>IF(ISNUMBER(G57),IF(G57=0,"n.a.",F57/G57-1),"n.a.")</x:f>
        <x:v>n.a.</x:v>
      </x:c>
      <x:c r="I57" s="58" t="n">
        <x:f>F57/J57</x:f>
        <x:v>0.1508774872496209</x:v>
      </x:c>
      <x:c r="J57" s="56" t="n">
        <x:v>1326.7173625</x:v>
      </x:c>
    </x:row>
    <x:row r="58" ht="65" customHeight="1">
      <x:c r="A58" s="61" t="n">
        <x:v>44652</x:v>
      </x:c>
      <x:c r="B58" s="32" t="str">
        <x:v>Construcción: elaboración de cemento y canteras</x:v>
      </x:c>
      <x:c r="C58" s="32" t="str">
        <x:v>Industrias sin Aluar</x:v>
      </x:c>
      <x:c r="D58" s="62" t="n">
        <x:v>30</x:v>
      </x:c>
      <x:c r="E58" s="2" t="str">
        <x:v>Completo</x:v>
      </x:c>
      <x:c r="F58" s="56" t="n">
        <x:v>174.80569027777776</x:v>
      </x:c>
      <x:c r="G58" s="56" t="str">
        <x:f>"n.a."</x:f>
        <x:v>n.a.</x:v>
      </x:c>
      <x:c r="H58" s="57" t="str">
        <x:f>IF(ISNUMBER(G58),IF(G58=0,"n.a.",F58/G58-1),"n.a.")</x:f>
        <x:v>n.a.</x:v>
      </x:c>
      <x:c r="I58" s="58" t="n">
        <x:f>F58/J58</x:f>
        <x:v>0.13175804826160006</x:v>
      </x:c>
      <x:c r="J58" s="56" t="n">
        <x:v>1326.7173625</x:v>
      </x:c>
    </x:row>
    <x:row r="59" ht="65" customHeight="1">
      <x:c r="A59" s="61" t="n">
        <x:v>44652</x:v>
      </x:c>
      <x:c r="B59" s="32" t="str">
        <x:v>Madera y papel</x:v>
      </x:c>
      <x:c r="C59" s="32" t="str">
        <x:v>Industrias sin Aluar</x:v>
      </x:c>
      <x:c r="D59" s="62" t="n">
        <x:v>30</x:v>
      </x:c>
      <x:c r="E59" s="2" t="str">
        <x:v>Completo</x:v>
      </x:c>
      <x:c r="F59" s="56" t="n">
        <x:v>104.13508888888889</x:v>
      </x:c>
      <x:c r="G59" s="56" t="str">
        <x:f>"n.a."</x:f>
        <x:v>n.a.</x:v>
      </x:c>
      <x:c r="H59" s="57" t="str">
        <x:f>IF(ISNUMBER(G59),IF(G59=0,"n.a.",F59/G59-1),"n.a.")</x:f>
        <x:v>n.a.</x:v>
      </x:c>
      <x:c r="I59" s="58" t="n">
        <x:f>F59/J59</x:f>
        <x:v>0.07849078623095873</x:v>
      </x:c>
      <x:c r="J59" s="56" t="n">
        <x:v>1326.7173625</x:v>
      </x:c>
    </x:row>
    <x:row r="60" ht="65" customHeight="1">
      <x:c r="A60" s="61" t="n">
        <x:v>44652</x:v>
      </x:c>
      <x:c r="B60" s="32" t="str">
        <x:v>Productos metálicos no automotores</x:v>
      </x:c>
      <x:c r="C60" s="32" t="str">
        <x:v>Industrias sin Aluar</x:v>
      </x:c>
      <x:c r="D60" s="62" t="n">
        <x:v>30</x:v>
      </x:c>
      <x:c r="E60" s="2" t="str">
        <x:v>Completo</x:v>
      </x:c>
      <x:c r="F60" s="56" t="n">
        <x:v>56.47754722222223</x:v>
      </x:c>
      <x:c r="G60" s="56" t="str">
        <x:f>"n.a."</x:f>
        <x:v>n.a.</x:v>
      </x:c>
      <x:c r="H60" s="57" t="str">
        <x:f>IF(ISNUMBER(G60),IF(G60=0,"n.a.",F60/G60-1),"n.a.")</x:f>
        <x:v>n.a.</x:v>
      </x:c>
      <x:c r="I60" s="58" t="n">
        <x:f>F60/J60</x:f>
        <x:v>0.042569388792650424</x:v>
      </x:c>
      <x:c r="J60" s="56" t="n">
        <x:v>1326.7173625</x:v>
      </x:c>
    </x:row>
    <x:row r="61" ht="65" customHeight="1">
      <x:c r="A61" s="61" t="n">
        <x:v>44652</x:v>
      </x:c>
      <x:c r="B61" s="32" t="str">
        <x:v>Gran siderurgia</x:v>
      </x:c>
      <x:c r="C61" s="32" t="str">
        <x:v>Industrias sin Aluar</x:v>
      </x:c>
      <x:c r="D61" s="62" t="n">
        <x:v>30</x:v>
      </x:c>
      <x:c r="E61" s="2" t="str">
        <x:v>Completo</x:v>
      </x:c>
      <x:c r="F61" s="56" t="n">
        <x:v>295.4892416666667</x:v>
      </x:c>
      <x:c r="G61" s="56" t="str">
        <x:f>"n.a."</x:f>
        <x:v>n.a.</x:v>
      </x:c>
      <x:c r="H61" s="57" t="str">
        <x:f>IF(ISNUMBER(G61),IF(G61=0,"n.a.",F61/G61-1),"n.a.")</x:f>
        <x:v>n.a.</x:v>
      </x:c>
      <x:c r="I61" s="58" t="n">
        <x:f>F61/J61</x:f>
        <x:v>0.22272207330569754</x:v>
      </x:c>
      <x:c r="J61" s="56" t="n">
        <x:v>1326.7173625</x:v>
      </x:c>
    </x:row>
    <x:row r="62" ht="65" customHeight="1">
      <x:c r="A62" s="61" t="n">
        <x:v>44652</x:v>
      </x:c>
      <x:c r="B62" s="32" t="str">
        <x:v>Industria textil</x:v>
      </x:c>
      <x:c r="C62" s="32" t="str">
        <x:v>Industrias sin Aluar</x:v>
      </x:c>
      <x:c r="D62" s="62" t="n">
        <x:v>30</x:v>
      </x:c>
      <x:c r="E62" s="2" t="str">
        <x:v>Completo</x:v>
      </x:c>
      <x:c r="F62" s="56" t="n">
        <x:v>61.509987499999994</x:v>
      </x:c>
      <x:c r="G62" s="56" t="str">
        <x:f>"n.a."</x:f>
        <x:v>n.a.</x:v>
      </x:c>
      <x:c r="H62" s="57" t="str">
        <x:f>IF(ISNUMBER(G62),IF(G62=0,"n.a.",F62/G62-1),"n.a.")</x:f>
        <x:v>n.a.</x:v>
      </x:c>
      <x:c r="I62" s="58" t="n">
        <x:f>F62/J62</x:f>
        <x:v>0.046362540536963835</x:v>
      </x:c>
      <x:c r="J62" s="56" t="n">
        <x:v>1326.7173625</x:v>
      </x:c>
    </x:row>
    <x:row r="63" ht="65" customHeight="1">
      <x:c r="A63" s="61" t="n">
        <x:v>44652</x:v>
      </x:c>
      <x:c r="B63" s="32" t="str">
        <x:v>Químicas, caucho, plástico y otros minerales no metálicos</x:v>
      </x:c>
      <x:c r="C63" s="32" t="str">
        <x:v>Industrias sin Aluar</x:v>
      </x:c>
      <x:c r="D63" s="62" t="n">
        <x:v>30</x:v>
      </x:c>
      <x:c r="E63" s="2" t="str">
        <x:v>Completo</x:v>
      </x:c>
      <x:c r="F63" s="56" t="n">
        <x:v>398.57307777777777</x:v>
      </x:c>
      <x:c r="G63" s="56" t="str">
        <x:f>"n.a."</x:f>
        <x:v>n.a.</x:v>
      </x:c>
      <x:c r="H63" s="57" t="str">
        <x:f>IF(ISNUMBER(G63),IF(G63=0,"n.a.",F63/G63-1),"n.a.")</x:f>
        <x:v>n.a.</x:v>
      </x:c>
      <x:c r="I63" s="58" t="n">
        <x:f>F63/J63</x:f>
        <x:v>0.30042048822420364</x:v>
      </x:c>
      <x:c r="J63" s="56" t="n">
        <x:v>1326.7173625</x:v>
      </x:c>
    </x:row>
    <x:row r="64" ht="65" customHeight="1">
      <x:c r="A64" s="61" t="n">
        <x:v>44652</x:v>
      </x:c>
      <x:c r="B64" s="32" t="str">
        <x:v>Extracción de minerales</x:v>
      </x:c>
      <x:c r="C64" s="32" t="str">
        <x:v>Petróleos y minerales</x:v>
      </x:c>
      <x:c r="D64" s="62" t="n">
        <x:v>30</x:v>
      </x:c>
      <x:c r="E64" s="2" t="str">
        <x:v>Completo</x:v>
      </x:c>
      <x:c r="F64" s="56" t="n">
        <x:v>18.193920833333333</x:v>
      </x:c>
      <x:c r="G64" s="56" t="str">
        <x:f>"n.a."</x:f>
        <x:v>n.a.</x:v>
      </x:c>
      <x:c r="H64" s="57" t="str">
        <x:f>IF(ISNUMBER(G64),IF(G64=0,"n.a.",F64/G64-1),"n.a.")</x:f>
        <x:v>n.a.</x:v>
      </x:c>
      <x:c r="I64" s="58" t="n">
        <x:f>F64/J64</x:f>
        <x:v>0.09021440062437325</x:v>
      </x:c>
      <x:c r="J64" s="56" t="n">
        <x:v>201.67424166666666</x:v>
      </x:c>
    </x:row>
    <x:row r="65" ht="65" customHeight="1">
      <x:c r="A65" s="61" t="n">
        <x:v>44652</x:v>
      </x:c>
      <x:c r="B65" s="32" t="str">
        <x:v>Extracción de petróleo</x:v>
      </x:c>
      <x:c r="C65" s="32" t="str">
        <x:v>Petróleos y minerales</x:v>
      </x:c>
      <x:c r="D65" s="62" t="n">
        <x:v>30</x:v>
      </x:c>
      <x:c r="E65" s="2" t="str">
        <x:v>Completo</x:v>
      </x:c>
      <x:c r="F65" s="56" t="n">
        <x:v>183.48032083333334</x:v>
      </x:c>
      <x:c r="G65" s="56" t="str">
        <x:f>"n.a."</x:f>
        <x:v>n.a.</x:v>
      </x:c>
      <x:c r="H65" s="57" t="str">
        <x:f>IF(ISNUMBER(G65),IF(G65=0,"n.a.",F65/G65-1),"n.a.")</x:f>
        <x:v>n.a.</x:v>
      </x:c>
      <x:c r="I65" s="58" t="n">
        <x:f>F65/J65</x:f>
        <x:v>0.9097855993756269</x:v>
      </x:c>
      <x:c r="J65" s="56" t="n">
        <x:v>201.67424166666666</x:v>
      </x:c>
    </x:row>
    <x:row r="66" ht="65" customHeight="1">
      <x:c r="A66" s="61" t="n">
        <x:v>44682</x:v>
      </x:c>
      <x:c r="B66" s="32" t="str">
        <x:v>Cargas y puertos</x:v>
      </x:c>
      <x:c r="C66" s="32" t="str">
        <x:v>Alimentación, comercios y servicios</x:v>
      </x:c>
      <x:c r="D66" s="62" t="n">
        <x:v>31</x:v>
      </x:c>
      <x:c r="E66" s="2" t="str">
        <x:v>Completo</x:v>
      </x:c>
      <x:c r="F66" s="56" t="n">
        <x:v>8.200380376344086</x:v>
      </x:c>
      <x:c r="G66" s="56" t="str">
        <x:f>"n.a."</x:f>
        <x:v>n.a.</x:v>
      </x:c>
      <x:c r="H66" s="57" t="str">
        <x:f>IF(ISNUMBER(G66),IF(G66=0,"n.a.",F66/G66-1),"n.a.")</x:f>
        <x:v>n.a.</x:v>
      </x:c>
      <x:c r="I66" s="58" t="n">
        <x:f>F66/J66</x:f>
        <x:v>0.02062616758037892</x:v>
      </x:c>
      <x:c r="J66" s="56" t="n">
        <x:v>397.57169354838715</x:v>
      </x:c>
    </x:row>
    <x:row r="67" ht="65" customHeight="1">
      <x:c r="A67" s="61" t="n">
        <x:v>44682</x:v>
      </x:c>
      <x:c r="B67" s="32" t="str">
        <x:v>Comercio y servicios: principalmente supermercados y centros comerciales</x:v>
      </x:c>
      <x:c r="C67" s="32" t="str">
        <x:v>Alimentación, comercios y servicios</x:v>
      </x:c>
      <x:c r="D67" s="62" t="n">
        <x:v>31</x:v>
      </x:c>
      <x:c r="E67" s="2" t="str">
        <x:v>Completo</x:v>
      </x:c>
      <x:c r="F67" s="56" t="n">
        <x:v>26.370419354838713</x:v>
      </x:c>
      <x:c r="G67" s="56" t="str">
        <x:f>"n.a."</x:f>
        <x:v>n.a.</x:v>
      </x:c>
      <x:c r="H67" s="57" t="str">
        <x:f>IF(ISNUMBER(G67),IF(G67=0,"n.a.",F67/G67-1),"n.a.")</x:f>
        <x:v>n.a.</x:v>
      </x:c>
      <x:c r="I67" s="58" t="n">
        <x:f>F67/J67</x:f>
        <x:v>0.06632871450046847</x:v>
      </x:c>
      <x:c r="J67" s="56" t="n">
        <x:v>397.57169354838715</x:v>
      </x:c>
    </x:row>
    <x:row r="68" ht="65" customHeight="1">
      <x:c r="A68" s="61" t="n">
        <x:v>44682</x:v>
      </x:c>
      <x:c r="B68" s="32" t="str">
        <x:v>Alimentación y artículos de consumo masivo</x:v>
      </x:c>
      <x:c r="C68" s="32" t="str">
        <x:v>Alimentación, comercios y servicios</x:v>
      </x:c>
      <x:c r="D68" s="62" t="n">
        <x:v>31</x:v>
      </x:c>
      <x:c r="E68" s="2" t="str">
        <x:v>Completo</x:v>
      </x:c>
      <x:c r="F68" s="56" t="n">
        <x:v>280.4532822580645</x:v>
      </x:c>
      <x:c r="G68" s="56" t="str">
        <x:f>"n.a."</x:f>
        <x:v>n.a.</x:v>
      </x:c>
      <x:c r="H68" s="57" t="str">
        <x:f>IF(ISNUMBER(G68),IF(G68=0,"n.a.",F68/G68-1),"n.a.")</x:f>
        <x:v>n.a.</x:v>
      </x:c>
      <x:c r="I68" s="58" t="n">
        <x:f>F68/J68</x:f>
        <x:v>0.7054156188912163</x:v>
      </x:c>
      <x:c r="J68" s="56" t="n">
        <x:v>397.57169354838715</x:v>
      </x:c>
    </x:row>
    <x:row r="69" ht="65" customHeight="1">
      <x:c r="A69" s="61" t="n">
        <x:v>44682</x:v>
      </x:c>
      <x:c r="B69" s="32" t="str">
        <x:v>Servicios públicos y transporte: agua y transporte en GBA</x:v>
      </x:c>
      <x:c r="C69" s="32" t="str">
        <x:v>Alimentación, comercios y servicios</x:v>
      </x:c>
      <x:c r="D69" s="62" t="n">
        <x:v>31</x:v>
      </x:c>
      <x:c r="E69" s="2" t="str">
        <x:v>Completo</x:v>
      </x:c>
      <x:c r="F69" s="56" t="n">
        <x:v>82.54761155913978</x:v>
      </x:c>
      <x:c r="G69" s="56" t="str">
        <x:f>"n.a."</x:f>
        <x:v>n.a.</x:v>
      </x:c>
      <x:c r="H69" s="57" t="str">
        <x:f>IF(ISNUMBER(G69),IF(G69=0,"n.a.",F69/G69-1),"n.a.")</x:f>
        <x:v>n.a.</x:v>
      </x:c>
      <x:c r="I69" s="58" t="n">
        <x:f>F69/J69</x:f>
        <x:v>0.20762949902793615</x:v>
      </x:c>
      <x:c r="J69" s="56" t="n">
        <x:v>397.57169354838715</x:v>
      </x:c>
    </x:row>
    <x:row r="70" ht="65" customHeight="1">
      <x:c r="A70" s="61" t="n">
        <x:v>44682</x:v>
      </x:c>
      <x:c r="B70" s="32" t="str">
        <x:v>Industria automotriz</x:v>
      </x:c>
      <x:c r="C70" s="32" t="str">
        <x:v>Industrias sin Aluar</x:v>
      </x:c>
      <x:c r="D70" s="62" t="n">
        <x:v>31</x:v>
      </x:c>
      <x:c r="E70" s="2" t="str">
        <x:v>Completo</x:v>
      </x:c>
      <x:c r="F70" s="56" t="n">
        <x:v>33.78188172043011</x:v>
      </x:c>
      <x:c r="G70" s="56" t="str">
        <x:f>"n.a."</x:f>
        <x:v>n.a.</x:v>
      </x:c>
      <x:c r="H70" s="57" t="str">
        <x:f>IF(ISNUMBER(G70),IF(G70=0,"n.a.",F70/G70-1),"n.a.")</x:f>
        <x:v>n.a.</x:v>
      </x:c>
      <x:c r="I70" s="58" t="n">
        <x:f>F70/J70</x:f>
        <x:v>0.0252890525682542</x:v>
      </x:c>
      <x:c r="J70" s="56" t="n">
        <x:v>1335.830262096774</x:v>
      </x:c>
    </x:row>
    <x:row r="71" ht="65" customHeight="1">
      <x:c r="A71" s="61" t="n">
        <x:v>44682</x:v>
      </x:c>
      <x:c r="B71" s="32" t="str">
        <x:v>Derivados de petróleo</x:v>
      </x:c>
      <x:c r="C71" s="32" t="str">
        <x:v>Industrias sin Aluar</x:v>
      </x:c>
      <x:c r="D71" s="62" t="n">
        <x:v>31</x:v>
      </x:c>
      <x:c r="E71" s="2" t="str">
        <x:v>Completo</x:v>
      </x:c>
      <x:c r="F71" s="56" t="n">
        <x:v>210.03337231182797</x:v>
      </x:c>
      <x:c r="G71" s="56" t="str">
        <x:f>"n.a."</x:f>
        <x:v>n.a.</x:v>
      </x:c>
      <x:c r="H71" s="57" t="str">
        <x:f>IF(ISNUMBER(G71),IF(G71=0,"n.a.",F71/G71-1),"n.a.")</x:f>
        <x:v>n.a.</x:v>
      </x:c>
      <x:c r="I71" s="58" t="n">
        <x:f>F71/J71</x:f>
        <x:v>0.15723058405800072</x:v>
      </x:c>
      <x:c r="J71" s="56" t="n">
        <x:v>1335.830262096774</x:v>
      </x:c>
    </x:row>
    <x:row r="72" ht="65" customHeight="1">
      <x:c r="A72" s="61" t="n">
        <x:v>44682</x:v>
      </x:c>
      <x:c r="B72" s="32" t="str">
        <x:v>Construcción: elaboración de cemento y canteras</x:v>
      </x:c>
      <x:c r="C72" s="32" t="str">
        <x:v>Industrias sin Aluar</x:v>
      </x:c>
      <x:c r="D72" s="62" t="n">
        <x:v>31</x:v>
      </x:c>
      <x:c r="E72" s="2" t="str">
        <x:v>Completo</x:v>
      </x:c>
      <x:c r="F72" s="56" t="n">
        <x:v>175.85155241935482</x:v>
      </x:c>
      <x:c r="G72" s="56" t="str">
        <x:f>"n.a."</x:f>
        <x:v>n.a.</x:v>
      </x:c>
      <x:c r="H72" s="57" t="str">
        <x:f>IF(ISNUMBER(G72),IF(G72=0,"n.a.",F72/G72-1),"n.a.")</x:f>
        <x:v>n.a.</x:v>
      </x:c>
      <x:c r="I72" s="58" t="n">
        <x:f>F72/J72</x:f>
        <x:v>0.13164213853287843</x:v>
      </x:c>
      <x:c r="J72" s="56" t="n">
        <x:v>1335.830262096774</x:v>
      </x:c>
    </x:row>
    <x:row r="73" ht="65" customHeight="1">
      <x:c r="A73" s="61" t="n">
        <x:v>44682</x:v>
      </x:c>
      <x:c r="B73" s="32" t="str">
        <x:v>Madera y papel</x:v>
      </x:c>
      <x:c r="C73" s="32" t="str">
        <x:v>Industrias sin Aluar</x:v>
      </x:c>
      <x:c r="D73" s="62" t="n">
        <x:v>31</x:v>
      </x:c>
      <x:c r="E73" s="2" t="str">
        <x:v>Completo</x:v>
      </x:c>
      <x:c r="F73" s="56" t="n">
        <x:v>107.2743629032258</x:v>
      </x:c>
      <x:c r="G73" s="56" t="str">
        <x:f>"n.a."</x:f>
        <x:v>n.a.</x:v>
      </x:c>
      <x:c r="H73" s="57" t="str">
        <x:f>IF(ISNUMBER(G73),IF(G73=0,"n.a.",F73/G73-1),"n.a.")</x:f>
        <x:v>n.a.</x:v>
      </x:c>
      <x:c r="I73" s="58" t="n">
        <x:f>F73/J73</x:f>
        <x:v>0.08030538455899597</x:v>
      </x:c>
      <x:c r="J73" s="56" t="n">
        <x:v>1335.830262096774</x:v>
      </x:c>
    </x:row>
    <x:row r="74" ht="65" customHeight="1">
      <x:c r="A74" s="61" t="n">
        <x:v>44682</x:v>
      </x:c>
      <x:c r="B74" s="32" t="str">
        <x:v>Productos metálicos no automotores</x:v>
      </x:c>
      <x:c r="C74" s="32" t="str">
        <x:v>Industrias sin Aluar</x:v>
      </x:c>
      <x:c r="D74" s="62" t="n">
        <x:v>31</x:v>
      </x:c>
      <x:c r="E74" s="2" t="str">
        <x:v>Completo</x:v>
      </x:c>
      <x:c r="F74" s="56" t="n">
        <x:v>56.59469758064516</x:v>
      </x:c>
      <x:c r="G74" s="56" t="str">
        <x:f>"n.a."</x:f>
        <x:v>n.a.</x:v>
      </x:c>
      <x:c r="H74" s="57" t="str">
        <x:f>IF(ISNUMBER(G74),IF(G74=0,"n.a.",F74/G74-1),"n.a.")</x:f>
        <x:v>n.a.</x:v>
      </x:c>
      <x:c r="I74" s="58" t="n">
        <x:f>F74/J74</x:f>
        <x:v>0.04236668324298313</x:v>
      </x:c>
      <x:c r="J74" s="56" t="n">
        <x:v>1335.830262096774</x:v>
      </x:c>
    </x:row>
    <x:row r="75" ht="65" customHeight="1">
      <x:c r="A75" s="61" t="n">
        <x:v>44682</x:v>
      </x:c>
      <x:c r="B75" s="32" t="str">
        <x:v>Gran siderurgia</x:v>
      </x:c>
      <x:c r="C75" s="32" t="str">
        <x:v>Industrias sin Aluar</x:v>
      </x:c>
      <x:c r="D75" s="62" t="n">
        <x:v>31</x:v>
      </x:c>
      <x:c r="E75" s="2" t="str">
        <x:v>Completo</x:v>
      </x:c>
      <x:c r="F75" s="56" t="n">
        <x:v>357.4851182795699</x:v>
      </x:c>
      <x:c r="G75" s="56" t="str">
        <x:f>"n.a."</x:f>
        <x:v>n.a.</x:v>
      </x:c>
      <x:c r="H75" s="57" t="str">
        <x:f>IF(ISNUMBER(G75),IF(G75=0,"n.a.",F75/G75-1),"n.a.")</x:f>
        <x:v>n.a.</x:v>
      </x:c>
      <x:c r="I75" s="58" t="n">
        <x:f>F75/J75</x:f>
        <x:v>0.26761268135851823</x:v>
      </x:c>
      <x:c r="J75" s="56" t="n">
        <x:v>1335.830262096774</x:v>
      </x:c>
    </x:row>
    <x:row r="76" ht="65" customHeight="1">
      <x:c r="A76" s="61" t="n">
        <x:v>44682</x:v>
      </x:c>
      <x:c r="B76" s="32" t="str">
        <x:v>Industria textil</x:v>
      </x:c>
      <x:c r="C76" s="32" t="str">
        <x:v>Industrias sin Aluar</x:v>
      </x:c>
      <x:c r="D76" s="62" t="n">
        <x:v>31</x:v>
      </x:c>
      <x:c r="E76" s="2" t="str">
        <x:v>Completo</x:v>
      </x:c>
      <x:c r="F76" s="56" t="n">
        <x:v>59.93705107526882</x:v>
      </x:c>
      <x:c r="G76" s="56" t="str">
        <x:f>"n.a."</x:f>
        <x:v>n.a.</x:v>
      </x:c>
      <x:c r="H76" s="57" t="str">
        <x:f>IF(ISNUMBER(G76),IF(G76=0,"n.a.",F76/G76-1),"n.a.")</x:f>
        <x:v>n.a.</x:v>
      </x:c>
      <x:c r="I76" s="58" t="n">
        <x:f>F76/J76</x:f>
        <x:v>0.04486876272827445</x:v>
      </x:c>
      <x:c r="J76" s="56" t="n">
        <x:v>1335.830262096774</x:v>
      </x:c>
    </x:row>
    <x:row r="77" ht="65" customHeight="1">
      <x:c r="A77" s="61" t="n">
        <x:v>44682</x:v>
      </x:c>
      <x:c r="B77" s="32" t="str">
        <x:v>Químicas, caucho, plástico y otros minerales no metálicos</x:v>
      </x:c>
      <x:c r="C77" s="32" t="str">
        <x:v>Industrias sin Aluar</x:v>
      </x:c>
      <x:c r="D77" s="62" t="n">
        <x:v>31</x:v>
      </x:c>
      <x:c r="E77" s="2" t="str">
        <x:v>Completo</x:v>
      </x:c>
      <x:c r="F77" s="56" t="n">
        <x:v>334.87222580645164</x:v>
      </x:c>
      <x:c r="G77" s="56" t="str">
        <x:f>"n.a."</x:f>
        <x:v>n.a.</x:v>
      </x:c>
      <x:c r="H77" s="57" t="str">
        <x:f>IF(ISNUMBER(G77),IF(G77=0,"n.a.",F77/G77-1),"n.a.")</x:f>
        <x:v>n.a.</x:v>
      </x:c>
      <x:c r="I77" s="58" t="n">
        <x:f>F77/J77</x:f>
        <x:v>0.250684712952095</x:v>
      </x:c>
      <x:c r="J77" s="56" t="n">
        <x:v>1335.830262096774</x:v>
      </x:c>
    </x:row>
    <x:row r="78" ht="65" customHeight="1">
      <x:c r="A78" s="61" t="n">
        <x:v>44682</x:v>
      </x:c>
      <x:c r="B78" s="32" t="str">
        <x:v>Extracción de minerales</x:v>
      </x:c>
      <x:c r="C78" s="32" t="str">
        <x:v>Petróleos y minerales</x:v>
      </x:c>
      <x:c r="D78" s="62" t="n">
        <x:v>31</x:v>
      </x:c>
      <x:c r="E78" s="2" t="str">
        <x:v>Completo</x:v>
      </x:c>
      <x:c r="F78" s="56" t="n">
        <x:v>18.976434139784946</x:v>
      </x:c>
      <x:c r="G78" s="56" t="str">
        <x:f>"n.a."</x:f>
        <x:v>n.a.</x:v>
      </x:c>
      <x:c r="H78" s="57" t="str">
        <x:f>IF(ISNUMBER(G78),IF(G78=0,"n.a.",F78/G78-1),"n.a.")</x:f>
        <x:v>n.a.</x:v>
      </x:c>
      <x:c r="I78" s="58" t="n">
        <x:f>F78/J78</x:f>
        <x:v>0.09794182595040941</x:v>
      </x:c>
      <x:c r="J78" s="56" t="n">
        <x:v>193.75209677419355</x:v>
      </x:c>
    </x:row>
    <x:row r="79" ht="65" customHeight="1">
      <x:c r="A79" s="61" t="n">
        <x:v>44682</x:v>
      </x:c>
      <x:c r="B79" s="32" t="str">
        <x:v>Extracción de petróleo</x:v>
      </x:c>
      <x:c r="C79" s="32" t="str">
        <x:v>Petróleos y minerales</x:v>
      </x:c>
      <x:c r="D79" s="62" t="n">
        <x:v>31</x:v>
      </x:c>
      <x:c r="E79" s="2" t="str">
        <x:v>Completo</x:v>
      </x:c>
      <x:c r="F79" s="56" t="n">
        <x:v>174.7756626344086</x:v>
      </x:c>
      <x:c r="G79" s="56" t="str">
        <x:f>"n.a."</x:f>
        <x:v>n.a.</x:v>
      </x:c>
      <x:c r="H79" s="57" t="str">
        <x:f>IF(ISNUMBER(G79),IF(G79=0,"n.a.",F79/G79-1),"n.a.")</x:f>
        <x:v>n.a.</x:v>
      </x:c>
      <x:c r="I79" s="58" t="n">
        <x:f>F79/J79</x:f>
        <x:v>0.9020581740495907</x:v>
      </x:c>
      <x:c r="J79" s="56" t="n">
        <x:v>193.75209677419355</x:v>
      </x:c>
    </x:row>
    <x:row r="80" ht="65" customHeight="1">
      <x:c r="A80" s="61" t="n">
        <x:v>44713</x:v>
      </x:c>
      <x:c r="B80" s="32" t="str">
        <x:v>Cargas y puertos</x:v>
      </x:c>
      <x:c r="C80" s="32" t="str">
        <x:v>Alimentación, comercios y servicios</x:v>
      </x:c>
      <x:c r="D80" s="62" t="n">
        <x:v>30</x:v>
      </x:c>
      <x:c r="E80" s="2" t="str">
        <x:v>Completo</x:v>
      </x:c>
      <x:c r="F80" s="56" t="n">
        <x:v>8.289541666666667</x:v>
      </x:c>
      <x:c r="G80" s="56" t="str">
        <x:f>"n.a."</x:f>
        <x:v>n.a.</x:v>
      </x:c>
      <x:c r="H80" s="57" t="str">
        <x:f>IF(ISNUMBER(G80),IF(G80=0,"n.a.",F80/G80-1),"n.a.")</x:f>
        <x:v>n.a.</x:v>
      </x:c>
      <x:c r="I80" s="58" t="n">
        <x:f>F80/J80</x:f>
        <x:v>0.021189110604827022</x:v>
      </x:c>
      <x:c r="J80" s="56" t="n">
        <x:v>391.21706527777775</x:v>
      </x:c>
    </x:row>
    <x:row r="81" ht="65" customHeight="1">
      <x:c r="A81" s="61" t="n">
        <x:v>44713</x:v>
      </x:c>
      <x:c r="B81" s="32" t="str">
        <x:v>Comercio y servicios: principalmente supermercados y centros comerciales</x:v>
      </x:c>
      <x:c r="C81" s="32" t="str">
        <x:v>Alimentación, comercios y servicios</x:v>
      </x:c>
      <x:c r="D81" s="62" t="n">
        <x:v>30</x:v>
      </x:c>
      <x:c r="E81" s="2" t="str">
        <x:v>Completo</x:v>
      </x:c>
      <x:c r="F81" s="56" t="n">
        <x:v>26.9408125</x:v>
      </x:c>
      <x:c r="G81" s="56" t="str">
        <x:f>"n.a."</x:f>
        <x:v>n.a.</x:v>
      </x:c>
      <x:c r="H81" s="57" t="str">
        <x:f>IF(ISNUMBER(G81),IF(G81=0,"n.a.",F81/G81-1),"n.a.")</x:f>
        <x:v>n.a.</x:v>
      </x:c>
      <x:c r="I81" s="58" t="n">
        <x:f>F81/J81</x:f>
        <x:v>0.06886410356580709</x:v>
      </x:c>
      <x:c r="J81" s="56" t="n">
        <x:v>391.21706527777775</x:v>
      </x:c>
    </x:row>
    <x:row r="82" ht="65" customHeight="1">
      <x:c r="A82" s="61" t="n">
        <x:v>44713</x:v>
      </x:c>
      <x:c r="B82" s="32" t="str">
        <x:v>Alimentación y artículos de consumo masivo</x:v>
      </x:c>
      <x:c r="C82" s="32" t="str">
        <x:v>Alimentación, comercios y servicios</x:v>
      </x:c>
      <x:c r="D82" s="62" t="n">
        <x:v>30</x:v>
      </x:c>
      <x:c r="E82" s="2" t="str">
        <x:v>Completo</x:v>
      </x:c>
      <x:c r="F82" s="56" t="n">
        <x:v>273.6364597222222</x:v>
      </x:c>
      <x:c r="G82" s="56" t="str">
        <x:f>"n.a."</x:f>
        <x:v>n.a.</x:v>
      </x:c>
      <x:c r="H82" s="57" t="str">
        <x:f>IF(ISNUMBER(G82),IF(G82=0,"n.a.",F82/G82-1),"n.a.")</x:f>
        <x:v>n.a.</x:v>
      </x:c>
      <x:c r="I82" s="58" t="n">
        <x:f>F82/J82</x:f>
        <x:v>0.6994491907655683</x:v>
      </x:c>
      <x:c r="J82" s="56" t="n">
        <x:v>391.21706527777775</x:v>
      </x:c>
    </x:row>
    <x:row r="83" ht="65" customHeight="1">
      <x:c r="A83" s="61" t="n">
        <x:v>44713</x:v>
      </x:c>
      <x:c r="B83" s="32" t="str">
        <x:v>Servicios públicos y transporte: agua y transporte en GBA</x:v>
      </x:c>
      <x:c r="C83" s="32" t="str">
        <x:v>Alimentación, comercios y servicios</x:v>
      </x:c>
      <x:c r="D83" s="62" t="n">
        <x:v>30</x:v>
      </x:c>
      <x:c r="E83" s="2" t="str">
        <x:v>Completo</x:v>
      </x:c>
      <x:c r="F83" s="56" t="n">
        <x:v>82.35025138888889</x:v>
      </x:c>
      <x:c r="G83" s="56" t="str">
        <x:f>"n.a."</x:f>
        <x:v>n.a.</x:v>
      </x:c>
      <x:c r="H83" s="57" t="str">
        <x:f>IF(ISNUMBER(G83),IF(G83=0,"n.a.",F83/G83-1),"n.a.")</x:f>
        <x:v>n.a.</x:v>
      </x:c>
      <x:c r="I83" s="58" t="n">
        <x:f>F83/J83</x:f>
        <x:v>0.2104975950637975</x:v>
      </x:c>
      <x:c r="J83" s="56" t="n">
        <x:v>391.21706527777775</x:v>
      </x:c>
    </x:row>
    <x:row r="84" ht="65" customHeight="1">
      <x:c r="A84" s="61" t="n">
        <x:v>44713</x:v>
      </x:c>
      <x:c r="B84" s="32" t="str">
        <x:v>Industria automotriz</x:v>
      </x:c>
      <x:c r="C84" s="32" t="str">
        <x:v>Industrias sin Aluar</x:v>
      </x:c>
      <x:c r="D84" s="62" t="n">
        <x:v>30</x:v>
      </x:c>
      <x:c r="E84" s="2" t="str">
        <x:v>Completo</x:v>
      </x:c>
      <x:c r="F84" s="56" t="n">
        <x:v>38.01621111111111</x:v>
      </x:c>
      <x:c r="G84" s="56" t="str">
        <x:f>"n.a."</x:f>
        <x:v>n.a.</x:v>
      </x:c>
      <x:c r="H84" s="57" t="str">
        <x:f>IF(ISNUMBER(G84),IF(G84=0,"n.a.",F84/G84-1),"n.a.")</x:f>
        <x:v>n.a.</x:v>
      </x:c>
      <x:c r="I84" s="58" t="n">
        <x:f>F84/J84</x:f>
        <x:v>0.0290965854689322</x:v>
      </x:c>
      <x:c r="J84" s="56" t="n">
        <x:v>1306.5523152777778</x:v>
      </x:c>
    </x:row>
    <x:row r="85" ht="65" customHeight="1">
      <x:c r="A85" s="61" t="n">
        <x:v>44713</x:v>
      </x:c>
      <x:c r="B85" s="32" t="str">
        <x:v>Derivados de petróleo</x:v>
      </x:c>
      <x:c r="C85" s="32" t="str">
        <x:v>Industrias sin Aluar</x:v>
      </x:c>
      <x:c r="D85" s="62" t="n">
        <x:v>30</x:v>
      </x:c>
      <x:c r="E85" s="2" t="str">
        <x:v>Completo</x:v>
      </x:c>
      <x:c r="F85" s="56" t="n">
        <x:v>151.2083986111111</x:v>
      </x:c>
      <x:c r="G85" s="56" t="str">
        <x:f>"n.a."</x:f>
        <x:v>n.a.</x:v>
      </x:c>
      <x:c r="H85" s="57" t="str">
        <x:f>IF(ISNUMBER(G85),IF(G85=0,"n.a.",F85/G85-1),"n.a.")</x:f>
        <x:v>n.a.</x:v>
      </x:c>
      <x:c r="I85" s="58" t="n">
        <x:f>F85/J85</x:f>
        <x:v>0.1157308412705722</x:v>
      </x:c>
      <x:c r="J85" s="56" t="n">
        <x:v>1306.5523152777778</x:v>
      </x:c>
    </x:row>
    <x:row r="86" ht="65" customHeight="1">
      <x:c r="A86" s="61" t="n">
        <x:v>44713</x:v>
      </x:c>
      <x:c r="B86" s="32" t="str">
        <x:v>Construcción: elaboración de cemento y canteras</x:v>
      </x:c>
      <x:c r="C86" s="32" t="str">
        <x:v>Industrias sin Aluar</x:v>
      </x:c>
      <x:c r="D86" s="62" t="n">
        <x:v>30</x:v>
      </x:c>
      <x:c r="E86" s="2" t="str">
        <x:v>Completo</x:v>
      </x:c>
      <x:c r="F86" s="56" t="n">
        <x:v>168.804925</x:v>
      </x:c>
      <x:c r="G86" s="56" t="str">
        <x:f>"n.a."</x:f>
        <x:v>n.a.</x:v>
      </x:c>
      <x:c r="H86" s="57" t="str">
        <x:f>IF(ISNUMBER(G86),IF(G86=0,"n.a.",F86/G86-1),"n.a.")</x:f>
        <x:v>n.a.</x:v>
      </x:c>
      <x:c r="I86" s="58" t="n">
        <x:f>F86/J86</x:f>
        <x:v>0.12919874927787448</x:v>
      </x:c>
      <x:c r="J86" s="56" t="n">
        <x:v>1306.5523152777778</x:v>
      </x:c>
    </x:row>
    <x:row r="87" ht="65" customHeight="1">
      <x:c r="A87" s="61" t="n">
        <x:v>44713</x:v>
      </x:c>
      <x:c r="B87" s="32" t="str">
        <x:v>Madera y papel</x:v>
      </x:c>
      <x:c r="C87" s="32" t="str">
        <x:v>Industrias sin Aluar</x:v>
      </x:c>
      <x:c r="D87" s="62" t="n">
        <x:v>30</x:v>
      </x:c>
      <x:c r="E87" s="2" t="str">
        <x:v>Completo</x:v>
      </x:c>
      <x:c r="F87" s="56" t="n">
        <x:v>117.95675694444444</x:v>
      </x:c>
      <x:c r="G87" s="56" t="str">
        <x:f>"n.a."</x:f>
        <x:v>n.a.</x:v>
      </x:c>
      <x:c r="H87" s="57" t="str">
        <x:f>IF(ISNUMBER(G87),IF(G87=0,"n.a.",F87/G87-1),"n.a.")</x:f>
        <x:v>n.a.</x:v>
      </x:c>
      <x:c r="I87" s="58" t="n">
        <x:f>F87/J87</x:f>
        <x:v>0.09028092910261033</x:v>
      </x:c>
      <x:c r="J87" s="56" t="n">
        <x:v>1306.5523152777778</x:v>
      </x:c>
    </x:row>
    <x:row r="88" ht="65" customHeight="1">
      <x:c r="A88" s="61" t="n">
        <x:v>44713</x:v>
      </x:c>
      <x:c r="B88" s="32" t="str">
        <x:v>Productos metálicos no automotores</x:v>
      </x:c>
      <x:c r="C88" s="32" t="str">
        <x:v>Industrias sin Aluar</x:v>
      </x:c>
      <x:c r="D88" s="62" t="n">
        <x:v>30</x:v>
      </x:c>
      <x:c r="E88" s="2" t="str">
        <x:v>Completo</x:v>
      </x:c>
      <x:c r="F88" s="56" t="n">
        <x:v>57.894641666666665</x:v>
      </x:c>
      <x:c r="G88" s="56" t="str">
        <x:f>"n.a."</x:f>
        <x:v>n.a.</x:v>
      </x:c>
      <x:c r="H88" s="57" t="str">
        <x:f>IF(ISNUMBER(G88),IF(G88=0,"n.a.",F88/G88-1),"n.a.")</x:f>
        <x:v>n.a.</x:v>
      </x:c>
      <x:c r="I88" s="58" t="n">
        <x:f>F88/J88</x:f>
        <x:v>0.044311001549415995</x:v>
      </x:c>
      <x:c r="J88" s="56" t="n">
        <x:v>1306.5523152777778</x:v>
      </x:c>
    </x:row>
    <x:row r="89" ht="65" customHeight="1">
      <x:c r="A89" s="61" t="n">
        <x:v>44713</x:v>
      </x:c>
      <x:c r="B89" s="32" t="str">
        <x:v>Gran siderurgia</x:v>
      </x:c>
      <x:c r="C89" s="32" t="str">
        <x:v>Industrias sin Aluar</x:v>
      </x:c>
      <x:c r="D89" s="62" t="n">
        <x:v>30</x:v>
      </x:c>
      <x:c r="E89" s="2" t="str">
        <x:v>Completo</x:v>
      </x:c>
      <x:c r="F89" s="56" t="n">
        <x:v>384.8158569444444</x:v>
      </x:c>
      <x:c r="G89" s="56" t="str">
        <x:f>"n.a."</x:f>
        <x:v>n.a.</x:v>
      </x:c>
      <x:c r="H89" s="57" t="str">
        <x:f>IF(ISNUMBER(G89),IF(G89=0,"n.a.",F89/G89-1),"n.a.")</x:f>
        <x:v>n.a.</x:v>
      </x:c>
      <x:c r="I89" s="58" t="n">
        <x:f>F89/J89</x:f>
        <x:v>0.29452770657915156</x:v>
      </x:c>
      <x:c r="J89" s="56" t="n">
        <x:v>1306.5523152777778</x:v>
      </x:c>
    </x:row>
    <x:row r="90" ht="65" customHeight="1">
      <x:c r="A90" s="61" t="n">
        <x:v>44713</x:v>
      </x:c>
      <x:c r="B90" s="32" t="str">
        <x:v>Industria textil</x:v>
      </x:c>
      <x:c r="C90" s="32" t="str">
        <x:v>Industrias sin Aluar</x:v>
      </x:c>
      <x:c r="D90" s="62" t="n">
        <x:v>30</x:v>
      </x:c>
      <x:c r="E90" s="2" t="str">
        <x:v>Completo</x:v>
      </x:c>
      <x:c r="F90" s="56" t="n">
        <x:v>61.996325</x:v>
      </x:c>
      <x:c r="G90" s="56" t="str">
        <x:f>"n.a."</x:f>
        <x:v>n.a.</x:v>
      </x:c>
      <x:c r="H90" s="57" t="str">
        <x:f>IF(ISNUMBER(G90),IF(G90=0,"n.a.",F90/G90-1),"n.a.")</x:f>
        <x:v>n.a.</x:v>
      </x:c>
      <x:c r="I90" s="58" t="n">
        <x:f>F90/J90</x:f>
        <x:v>0.047450319650475956</x:v>
      </x:c>
      <x:c r="J90" s="56" t="n">
        <x:v>1306.5523152777778</x:v>
      </x:c>
    </x:row>
    <x:row r="91" ht="65" customHeight="1">
      <x:c r="A91" s="61" t="n">
        <x:v>44713</x:v>
      </x:c>
      <x:c r="B91" s="32" t="str">
        <x:v>Químicas, caucho, plástico y otros minerales no metálicos</x:v>
      </x:c>
      <x:c r="C91" s="32" t="str">
        <x:v>Industrias sin Aluar</x:v>
      </x:c>
      <x:c r="D91" s="62" t="n">
        <x:v>30</x:v>
      </x:c>
      <x:c r="E91" s="2" t="str">
        <x:v>Completo</x:v>
      </x:c>
      <x:c r="F91" s="56" t="n">
        <x:v>325.8592</x:v>
      </x:c>
      <x:c r="G91" s="56" t="str">
        <x:f>"n.a."</x:f>
        <x:v>n.a.</x:v>
      </x:c>
      <x:c r="H91" s="57" t="str">
        <x:f>IF(ISNUMBER(G91),IF(G91=0,"n.a.",F91/G91-1),"n.a.")</x:f>
        <x:v>n.a.</x:v>
      </x:c>
      <x:c r="I91" s="58" t="n">
        <x:f>F91/J91</x:f>
        <x:v>0.24940386710096726</x:v>
      </x:c>
      <x:c r="J91" s="56" t="n">
        <x:v>1306.5523152777778</x:v>
      </x:c>
    </x:row>
    <x:row r="92" ht="65" customHeight="1">
      <x:c r="A92" s="61" t="n">
        <x:v>44713</x:v>
      </x:c>
      <x:c r="B92" s="32" t="str">
        <x:v>Extracción de minerales</x:v>
      </x:c>
      <x:c r="C92" s="32" t="str">
        <x:v>Petróleos y minerales</x:v>
      </x:c>
      <x:c r="D92" s="62" t="n">
        <x:v>30</x:v>
      </x:c>
      <x:c r="E92" s="2" t="str">
        <x:v>Completo</x:v>
      </x:c>
      <x:c r="F92" s="56" t="n">
        <x:v>19.1463625</x:v>
      </x:c>
      <x:c r="G92" s="56" t="str">
        <x:f>"n.a."</x:f>
        <x:v>n.a.</x:v>
      </x:c>
      <x:c r="H92" s="57" t="str">
        <x:f>IF(ISNUMBER(G92),IF(G92=0,"n.a.",F92/G92-1),"n.a.")</x:f>
        <x:v>n.a.</x:v>
      </x:c>
      <x:c r="I92" s="58" t="n">
        <x:f>F92/J92</x:f>
        <x:v>0.09998739983240298</x:v>
      </x:c>
      <x:c r="J92" s="56" t="n">
        <x:v>191.48775277777776</x:v>
      </x:c>
    </x:row>
    <x:row r="93" ht="65" customHeight="1">
      <x:c r="A93" s="61" t="n">
        <x:v>44713</x:v>
      </x:c>
      <x:c r="B93" s="32" t="str">
        <x:v>Extracción de petróleo</x:v>
      </x:c>
      <x:c r="C93" s="32" t="str">
        <x:v>Petróleos y minerales</x:v>
      </x:c>
      <x:c r="D93" s="62" t="n">
        <x:v>30</x:v>
      </x:c>
      <x:c r="E93" s="2" t="str">
        <x:v>Completo</x:v>
      </x:c>
      <x:c r="F93" s="56" t="n">
        <x:v>172.34139027777778</x:v>
      </x:c>
      <x:c r="G93" s="56" t="str">
        <x:f>"n.a."</x:f>
        <x:v>n.a.</x:v>
      </x:c>
      <x:c r="H93" s="57" t="str">
        <x:f>IF(ISNUMBER(G93),IF(G93=0,"n.a.",F93/G93-1),"n.a.")</x:f>
        <x:v>n.a.</x:v>
      </x:c>
      <x:c r="I93" s="58" t="n">
        <x:f>F93/J93</x:f>
        <x:v>0.9000126001675971</x:v>
      </x:c>
      <x:c r="J93" s="56" t="n">
        <x:v>191.48775277777776</x:v>
      </x:c>
    </x:row>
    <x:row r="94" ht="65" customHeight="1">
      <x:c r="A94" s="61" t="n">
        <x:v>44743</x:v>
      </x:c>
      <x:c r="B94" s="32" t="str">
        <x:v>Cargas y puertos</x:v>
      </x:c>
      <x:c r="C94" s="32" t="str">
        <x:v>Alimentación, comercios y servicios</x:v>
      </x:c>
      <x:c r="D94" s="62" t="n">
        <x:v>31</x:v>
      </x:c>
      <x:c r="E94" s="2" t="str">
        <x:v>Completo</x:v>
      </x:c>
      <x:c r="F94" s="56" t="n">
        <x:v>7.611599462365592</x:v>
      </x:c>
      <x:c r="G94" s="56" t="str">
        <x:f>"n.a."</x:f>
        <x:v>n.a.</x:v>
      </x:c>
      <x:c r="H94" s="57" t="str">
        <x:f>IF(ISNUMBER(G94),IF(G94=0,"n.a.",F94/G94-1),"n.a.")</x:f>
        <x:v>n.a.</x:v>
      </x:c>
      <x:c r="I94" s="58" t="n">
        <x:f>F94/J94</x:f>
        <x:v>0.019942157555493063</x:v>
      </x:c>
      <x:c r="J94" s="56" t="n">
        <x:v>381.68384946236563</x:v>
      </x:c>
    </x:row>
    <x:row r="95" ht="65" customHeight="1">
      <x:c r="A95" s="61" t="n">
        <x:v>44743</x:v>
      </x:c>
      <x:c r="B95" s="32" t="str">
        <x:v>Comercio y servicios: principalmente supermercados y centros comerciales</x:v>
      </x:c>
      <x:c r="C95" s="32" t="str">
        <x:v>Alimentación, comercios y servicios</x:v>
      </x:c>
      <x:c r="D95" s="62" t="n">
        <x:v>31</x:v>
      </x:c>
      <x:c r="E95" s="2" t="str">
        <x:v>Completo</x:v>
      </x:c>
      <x:c r="F95" s="56" t="n">
        <x:v>27.236862903225806</x:v>
      </x:c>
      <x:c r="G95" s="56" t="str">
        <x:f>"n.a."</x:f>
        <x:v>n.a.</x:v>
      </x:c>
      <x:c r="H95" s="57" t="str">
        <x:f>IF(ISNUMBER(G95),IF(G95=0,"n.a.",F95/G95-1),"n.a.")</x:f>
        <x:v>n.a.</x:v>
      </x:c>
      <x:c r="I95" s="58" t="n">
        <x:f>F95/J95</x:f>
        <x:v>0.07135974692560677</x:v>
      </x:c>
      <x:c r="J95" s="56" t="n">
        <x:v>381.68384946236563</x:v>
      </x:c>
    </x:row>
    <x:row r="96" ht="65" customHeight="1">
      <x:c r="A96" s="61" t="n">
        <x:v>44743</x:v>
      </x:c>
      <x:c r="B96" s="32" t="str">
        <x:v>Alimentación y artículos de consumo masivo</x:v>
      </x:c>
      <x:c r="C96" s="32" t="str">
        <x:v>Alimentación, comercios y servicios</x:v>
      </x:c>
      <x:c r="D96" s="62" t="n">
        <x:v>31</x:v>
      </x:c>
      <x:c r="E96" s="2" t="str">
        <x:v>Completo</x:v>
      </x:c>
      <x:c r="F96" s="56" t="n">
        <x:v>265.324311827957</x:v>
      </x:c>
      <x:c r="G96" s="56" t="str">
        <x:f>"n.a."</x:f>
        <x:v>n.a.</x:v>
      </x:c>
      <x:c r="H96" s="57" t="str">
        <x:f>IF(ISNUMBER(G96),IF(G96=0,"n.a.",F96/G96-1),"n.a.")</x:f>
        <x:v>n.a.</x:v>
      </x:c>
      <x:c r="I96" s="58" t="n">
        <x:f>F96/J96</x:f>
        <x:v>0.6951415738488516</x:v>
      </x:c>
      <x:c r="J96" s="56" t="n">
        <x:v>381.68384946236563</x:v>
      </x:c>
    </x:row>
    <x:row r="97" ht="65" customHeight="1">
      <x:c r="A97" s="61" t="n">
        <x:v>44743</x:v>
      </x:c>
      <x:c r="B97" s="32" t="str">
        <x:v>Servicios públicos y transporte: agua y transporte en GBA</x:v>
      </x:c>
      <x:c r="C97" s="32" t="str">
        <x:v>Alimentación, comercios y servicios</x:v>
      </x:c>
      <x:c r="D97" s="62" t="n">
        <x:v>31</x:v>
      </x:c>
      <x:c r="E97" s="2" t="str">
        <x:v>Completo</x:v>
      </x:c>
      <x:c r="F97" s="56" t="n">
        <x:v>81.51107526881721</x:v>
      </x:c>
      <x:c r="G97" s="56" t="str">
        <x:f>"n.a."</x:f>
        <x:v>n.a.</x:v>
      </x:c>
      <x:c r="H97" s="57" t="str">
        <x:f>IF(ISNUMBER(G97),IF(G97=0,"n.a.",F97/G97-1),"n.a.")</x:f>
        <x:v>n.a.</x:v>
      </x:c>
      <x:c r="I97" s="58" t="n">
        <x:f>F97/J97</x:f>
        <x:v>0.2135565216700485</x:v>
      </x:c>
      <x:c r="J97" s="56" t="n">
        <x:v>381.68384946236563</x:v>
      </x:c>
    </x:row>
    <x:row r="98" ht="65" customHeight="1">
      <x:c r="A98" s="61" t="n">
        <x:v>44743</x:v>
      </x:c>
      <x:c r="B98" s="32" t="str">
        <x:v>Industria automotriz</x:v>
      </x:c>
      <x:c r="C98" s="32" t="str">
        <x:v>Industrias sin Aluar</x:v>
      </x:c>
      <x:c r="D98" s="62" t="n">
        <x:v>31</x:v>
      </x:c>
      <x:c r="E98" s="2" t="str">
        <x:v>Completo</x:v>
      </x:c>
      <x:c r="F98" s="56" t="n">
        <x:v>37.83148521505377</x:v>
      </x:c>
      <x:c r="G98" s="56" t="str">
        <x:f>"n.a."</x:f>
        <x:v>n.a.</x:v>
      </x:c>
      <x:c r="H98" s="57" t="str">
        <x:f>IF(ISNUMBER(G98),IF(G98=0,"n.a.",F98/G98-1),"n.a.")</x:f>
        <x:v>n.a.</x:v>
      </x:c>
      <x:c r="I98" s="58" t="n">
        <x:f>F98/J98</x:f>
        <x:v>0.029940385469829148</x:v>
      </x:c>
      <x:c r="J98" s="56" t="n">
        <x:v>1263.5603924731183</x:v>
      </x:c>
    </x:row>
    <x:row r="99" ht="65" customHeight="1">
      <x:c r="A99" s="61" t="n">
        <x:v>44743</x:v>
      </x:c>
      <x:c r="B99" s="32" t="str">
        <x:v>Derivados de petróleo</x:v>
      </x:c>
      <x:c r="C99" s="32" t="str">
        <x:v>Industrias sin Aluar</x:v>
      </x:c>
      <x:c r="D99" s="62" t="n">
        <x:v>31</x:v>
      </x:c>
      <x:c r="E99" s="2" t="str">
        <x:v>Completo</x:v>
      </x:c>
      <x:c r="F99" s="56" t="n">
        <x:v>154.71952956989247</x:v>
      </x:c>
      <x:c r="G99" s="56" t="str">
        <x:f>"n.a."</x:f>
        <x:v>n.a.</x:v>
      </x:c>
      <x:c r="H99" s="57" t="str">
        <x:f>IF(ISNUMBER(G99),IF(G99=0,"n.a.",F99/G99-1),"n.a.")</x:f>
        <x:v>n.a.</x:v>
      </x:c>
      <x:c r="I99" s="58" t="n">
        <x:f>F99/J99</x:f>
        <x:v>0.122447277147605</x:v>
      </x:c>
      <x:c r="J99" s="56" t="n">
        <x:v>1263.5603924731183</x:v>
      </x:c>
    </x:row>
    <x:row r="100" ht="65" customHeight="1">
      <x:c r="A100" s="61" t="n">
        <x:v>44743</x:v>
      </x:c>
      <x:c r="B100" s="32" t="str">
        <x:v>Construcción: elaboración de cemento y canteras</x:v>
      </x:c>
      <x:c r="C100" s="32" t="str">
        <x:v>Industrias sin Aluar</x:v>
      </x:c>
      <x:c r="D100" s="62" t="n">
        <x:v>31</x:v>
      </x:c>
      <x:c r="E100" s="2" t="str">
        <x:v>Completo</x:v>
      </x:c>
      <x:c r="F100" s="56" t="n">
        <x:v>173.9611061827957</x:v>
      </x:c>
      <x:c r="G100" s="56" t="str">
        <x:f>"n.a."</x:f>
        <x:v>n.a.</x:v>
      </x:c>
      <x:c r="H100" s="57" t="str">
        <x:f>IF(ISNUMBER(G100),IF(G100=0,"n.a.",F100/G100-1),"n.a.")</x:f>
        <x:v>n.a.</x:v>
      </x:c>
      <x:c r="I100" s="58" t="n">
        <x:f>F100/J100</x:f>
        <x:v>0.13767533963478254</x:v>
      </x:c>
      <x:c r="J100" s="56" t="n">
        <x:v>1263.5603924731183</x:v>
      </x:c>
    </x:row>
    <x:row r="101" ht="65" customHeight="1">
      <x:c r="A101" s="61" t="n">
        <x:v>44743</x:v>
      </x:c>
      <x:c r="B101" s="32" t="str">
        <x:v>Madera y papel</x:v>
      </x:c>
      <x:c r="C101" s="32" t="str">
        <x:v>Industrias sin Aluar</x:v>
      </x:c>
      <x:c r="D101" s="62" t="n">
        <x:v>31</x:v>
      </x:c>
      <x:c r="E101" s="2" t="str">
        <x:v>Completo</x:v>
      </x:c>
      <x:c r="F101" s="56" t="n">
        <x:v>111.7282620967742</x:v>
      </x:c>
      <x:c r="G101" s="56" t="str">
        <x:f>"n.a."</x:f>
        <x:v>n.a.</x:v>
      </x:c>
      <x:c r="H101" s="57" t="str">
        <x:f>IF(ISNUMBER(G101),IF(G101=0,"n.a.",F101/G101-1),"n.a.")</x:f>
        <x:v>n.a.</x:v>
      </x:c>
      <x:c r="I101" s="58" t="n">
        <x:f>F101/J101</x:f>
        <x:v>0.08842336524817208</x:v>
      </x:c>
      <x:c r="J101" s="56" t="n">
        <x:v>1263.5603924731183</x:v>
      </x:c>
    </x:row>
    <x:row r="102" ht="65" customHeight="1">
      <x:c r="A102" s="61" t="n">
        <x:v>44743</x:v>
      </x:c>
      <x:c r="B102" s="32" t="str">
        <x:v>Productos metálicos no automotores</x:v>
      </x:c>
      <x:c r="C102" s="32" t="str">
        <x:v>Industrias sin Aluar</x:v>
      </x:c>
      <x:c r="D102" s="62" t="n">
        <x:v>31</x:v>
      </x:c>
      <x:c r="E102" s="2" t="str">
        <x:v>Completo</x:v>
      </x:c>
      <x:c r="F102" s="56" t="n">
        <x:v>61.267581989247304</x:v>
      </x:c>
      <x:c r="G102" s="56" t="str">
        <x:f>"n.a."</x:f>
        <x:v>n.a.</x:v>
      </x:c>
      <x:c r="H102" s="57" t="str">
        <x:f>IF(ISNUMBER(G102),IF(G102=0,"n.a.",F102/G102-1),"n.a.")</x:f>
        <x:v>n.a.</x:v>
      </x:c>
      <x:c r="I102" s="58" t="n">
        <x:f>F102/J102</x:f>
        <x:v>0.0484880519793206</x:v>
      </x:c>
      <x:c r="J102" s="56" t="n">
        <x:v>1263.5603924731183</x:v>
      </x:c>
    </x:row>
    <x:row r="103" ht="65" customHeight="1">
      <x:c r="A103" s="61" t="n">
        <x:v>44743</x:v>
      </x:c>
      <x:c r="B103" s="32" t="str">
        <x:v>Gran siderurgia</x:v>
      </x:c>
      <x:c r="C103" s="32" t="str">
        <x:v>Industrias sin Aluar</x:v>
      </x:c>
      <x:c r="D103" s="62" t="n">
        <x:v>31</x:v>
      </x:c>
      <x:c r="E103" s="2" t="str">
        <x:v>Completo</x:v>
      </x:c>
      <x:c r="F103" s="56" t="n">
        <x:v>358.66349596774194</x:v>
      </x:c>
      <x:c r="G103" s="56" t="str">
        <x:f>"n.a."</x:f>
        <x:v>n.a.</x:v>
      </x:c>
      <x:c r="H103" s="57" t="str">
        <x:f>IF(ISNUMBER(G103),IF(G103=0,"n.a.",F103/G103-1),"n.a.")</x:f>
        <x:v>n.a.</x:v>
      </x:c>
      <x:c r="I103" s="58" t="n">
        <x:f>F103/J103</x:f>
        <x:v>0.28385148672296034</x:v>
      </x:c>
      <x:c r="J103" s="56" t="n">
        <x:v>1263.5603924731183</x:v>
      </x:c>
    </x:row>
    <x:row r="104" ht="65" customHeight="1">
      <x:c r="A104" s="61" t="n">
        <x:v>44743</x:v>
      </x:c>
      <x:c r="B104" s="32" t="str">
        <x:v>Industria textil</x:v>
      </x:c>
      <x:c r="C104" s="32" t="str">
        <x:v>Industrias sin Aluar</x:v>
      </x:c>
      <x:c r="D104" s="62" t="n">
        <x:v>31</x:v>
      </x:c>
      <x:c r="E104" s="2" t="str">
        <x:v>Completo</x:v>
      </x:c>
      <x:c r="F104" s="56" t="n">
        <x:v>62.80558064516129</x:v>
      </x:c>
      <x:c r="G104" s="56" t="str">
        <x:f>"n.a."</x:f>
        <x:v>n.a.</x:v>
      </x:c>
      <x:c r="H104" s="57" t="str">
        <x:f>IF(ISNUMBER(G104),IF(G104=0,"n.a.",F104/G104-1),"n.a.")</x:f>
        <x:v>n.a.</x:v>
      </x:c>
      <x:c r="I104" s="58" t="n">
        <x:f>F104/J104</x:f>
        <x:v>0.049705246396837696</x:v>
      </x:c>
      <x:c r="J104" s="56" t="n">
        <x:v>1263.5603924731183</x:v>
      </x:c>
    </x:row>
    <x:row r="105" ht="65" customHeight="1">
      <x:c r="A105" s="61" t="n">
        <x:v>44743</x:v>
      </x:c>
      <x:c r="B105" s="32" t="str">
        <x:v>Químicas, caucho, plástico y otros minerales no metálicos</x:v>
      </x:c>
      <x:c r="C105" s="32" t="str">
        <x:v>Industrias sin Aluar</x:v>
      </x:c>
      <x:c r="D105" s="62" t="n">
        <x:v>31</x:v>
      </x:c>
      <x:c r="E105" s="2" t="str">
        <x:v>Completo</x:v>
      </x:c>
      <x:c r="F105" s="56" t="n">
        <x:v>302.5833508064516</x:v>
      </x:c>
      <x:c r="G105" s="56" t="str">
        <x:f>"n.a."</x:f>
        <x:v>n.a.</x:v>
      </x:c>
      <x:c r="H105" s="57" t="str">
        <x:f>IF(ISNUMBER(G105),IF(G105=0,"n.a.",F105/G105-1),"n.a.")</x:f>
        <x:v>n.a.</x:v>
      </x:c>
      <x:c r="I105" s="58" t="n">
        <x:f>F105/J105</x:f>
        <x:v>0.23946884740049254</x:v>
      </x:c>
      <x:c r="J105" s="56" t="n">
        <x:v>1263.5603924731183</x:v>
      </x:c>
    </x:row>
    <x:row r="106" ht="65" customHeight="1">
      <x:c r="A106" s="61" t="n">
        <x:v>44743</x:v>
      </x:c>
      <x:c r="B106" s="32" t="str">
        <x:v>Extracción de minerales</x:v>
      </x:c>
      <x:c r="C106" s="32" t="str">
        <x:v>Petróleos y minerales</x:v>
      </x:c>
      <x:c r="D106" s="62" t="n">
        <x:v>31</x:v>
      </x:c>
      <x:c r="E106" s="2" t="str">
        <x:v>Completo</x:v>
      </x:c>
      <x:c r="F106" s="56" t="n">
        <x:v>20.446735215053764</x:v>
      </x:c>
      <x:c r="G106" s="56" t="str">
        <x:f>"n.a."</x:f>
        <x:v>n.a.</x:v>
      </x:c>
      <x:c r="H106" s="57" t="str">
        <x:f>IF(ISNUMBER(G106),IF(G106=0,"n.a.",F106/G106-1),"n.a.")</x:f>
        <x:v>n.a.</x:v>
      </x:c>
      <x:c r="I106" s="58" t="n">
        <x:f>F106/J106</x:f>
        <x:v>0.11074011876012994</x:v>
      </x:c>
      <x:c r="J106" s="56" t="n">
        <x:v>184.63710752688172</x:v>
      </x:c>
    </x:row>
    <x:row r="107" ht="65" customHeight="1">
      <x:c r="A107" s="61" t="n">
        <x:v>44743</x:v>
      </x:c>
      <x:c r="B107" s="32" t="str">
        <x:v>Extracción de petróleo</x:v>
      </x:c>
      <x:c r="C107" s="32" t="str">
        <x:v>Petróleos y minerales</x:v>
      </x:c>
      <x:c r="D107" s="62" t="n">
        <x:v>31</x:v>
      </x:c>
      <x:c r="E107" s="2" t="str">
        <x:v>Completo</x:v>
      </x:c>
      <x:c r="F107" s="56" t="n">
        <x:v>164.19037231182796</x:v>
      </x:c>
      <x:c r="G107" s="56" t="str">
        <x:f>"n.a."</x:f>
        <x:v>n.a.</x:v>
      </x:c>
      <x:c r="H107" s="57" t="str">
        <x:f>IF(ISNUMBER(G107),IF(G107=0,"n.a.",F107/G107-1),"n.a.")</x:f>
        <x:v>n.a.</x:v>
      </x:c>
      <x:c r="I107" s="58" t="n">
        <x:f>F107/J107</x:f>
        <x:v>0.8892598812398701</x:v>
      </x:c>
      <x:c r="J107" s="56" t="n">
        <x:v>184.63710752688172</x:v>
      </x:c>
    </x:row>
    <x:row r="108" ht="65" customHeight="1">
      <x:c r="A108" s="61" t="n">
        <x:v>44774</x:v>
      </x:c>
      <x:c r="B108" s="32" t="str">
        <x:v>Cargas y puertos</x:v>
      </x:c>
      <x:c r="C108" s="32" t="str">
        <x:v>Alimentación, comercios y servicios</x:v>
      </x:c>
      <x:c r="D108" s="62" t="n">
        <x:v>31</x:v>
      </x:c>
      <x:c r="E108" s="2" t="str">
        <x:v>Completo</x:v>
      </x:c>
      <x:c r="F108" s="56" t="n">
        <x:v>7.33959005376344</x:v>
      </x:c>
      <x:c r="G108" s="56" t="str">
        <x:f>"n.a."</x:f>
        <x:v>n.a.</x:v>
      </x:c>
      <x:c r="H108" s="57" t="str">
        <x:f>IF(ISNUMBER(G108),IF(G108=0,"n.a.",F108/G108-1),"n.a.")</x:f>
        <x:v>n.a.</x:v>
      </x:c>
      <x:c r="I108" s="58" t="n">
        <x:f>F108/J108</x:f>
        <x:v>0.01966425992872085</x:v>
      </x:c>
      <x:c r="J108" s="56" t="n">
        <x:v>373.24517069892477</x:v>
      </x:c>
    </x:row>
    <x:row r="109" ht="65" customHeight="1">
      <x:c r="A109" s="61" t="n">
        <x:v>44774</x:v>
      </x:c>
      <x:c r="B109" s="32" t="str">
        <x:v>Comercio y servicios: principalmente supermercados y centros comerciales</x:v>
      </x:c>
      <x:c r="C109" s="32" t="str">
        <x:v>Alimentación, comercios y servicios</x:v>
      </x:c>
      <x:c r="D109" s="62" t="n">
        <x:v>31</x:v>
      </x:c>
      <x:c r="E109" s="2" t="str">
        <x:v>Completo</x:v>
      </x:c>
      <x:c r="F109" s="56" t="n">
        <x:v>29.565193548387096</x:v>
      </x:c>
      <x:c r="G109" s="56" t="str">
        <x:f>"n.a."</x:f>
        <x:v>n.a.</x:v>
      </x:c>
      <x:c r="H109" s="57" t="str">
        <x:f>IF(ISNUMBER(G109),IF(G109=0,"n.a.",F109/G109-1),"n.a.")</x:f>
        <x:v>n.a.</x:v>
      </x:c>
      <x:c r="I109" s="58" t="n">
        <x:f>F109/J109</x:f>
        <x:v>0.07921118843419846</x:v>
      </x:c>
      <x:c r="J109" s="56" t="n">
        <x:v>373.24517069892477</x:v>
      </x:c>
    </x:row>
    <x:row r="110" ht="65" customHeight="1">
      <x:c r="A110" s="61" t="n">
        <x:v>44774</x:v>
      </x:c>
      <x:c r="B110" s="32" t="str">
        <x:v>Alimentación y artículos de consumo masivo</x:v>
      </x:c>
      <x:c r="C110" s="32" t="str">
        <x:v>Alimentación, comercios y servicios</x:v>
      </x:c>
      <x:c r="D110" s="62" t="n">
        <x:v>31</x:v>
      </x:c>
      <x:c r="E110" s="2" t="str">
        <x:v>Completo</x:v>
      </x:c>
      <x:c r="F110" s="56" t="n">
        <x:v>253.39793951612901</x:v>
      </x:c>
      <x:c r="G110" s="56" t="str">
        <x:f>"n.a."</x:f>
        <x:v>n.a.</x:v>
      </x:c>
      <x:c r="H110" s="57" t="str">
        <x:f>IF(ISNUMBER(G110),IF(G110=0,"n.a.",F110/G110-1),"n.a.")</x:f>
        <x:v>n.a.</x:v>
      </x:c>
      <x:c r="I110" s="58" t="n">
        <x:f>F110/J110</x:f>
        <x:v>0.6789048041576148</x:v>
      </x:c>
      <x:c r="J110" s="56" t="n">
        <x:v>373.24517069892477</x:v>
      </x:c>
    </x:row>
    <x:row r="111" ht="65" customHeight="1">
      <x:c r="A111" s="61" t="n">
        <x:v>44774</x:v>
      </x:c>
      <x:c r="B111" s="32" t="str">
        <x:v>Servicios públicos y transporte: agua y transporte en GBA</x:v>
      </x:c>
      <x:c r="C111" s="32" t="str">
        <x:v>Alimentación, comercios y servicios</x:v>
      </x:c>
      <x:c r="D111" s="62" t="n">
        <x:v>31</x:v>
      </x:c>
      <x:c r="E111" s="2" t="str">
        <x:v>Completo</x:v>
      </x:c>
      <x:c r="F111" s="56" t="n">
        <x:v>82.94244758064517</x:v>
      </x:c>
      <x:c r="G111" s="56" t="str">
        <x:f>"n.a."</x:f>
        <x:v>n.a.</x:v>
      </x:c>
      <x:c r="H111" s="57" t="str">
        <x:f>IF(ISNUMBER(G111),IF(G111=0,"n.a.",F111/G111-1),"n.a.")</x:f>
        <x:v>n.a.</x:v>
      </x:c>
      <x:c r="I111" s="58" t="n">
        <x:f>F111/J111</x:f>
        <x:v>0.2222197474794658</x:v>
      </x:c>
      <x:c r="J111" s="56" t="n">
        <x:v>373.24517069892477</x:v>
      </x:c>
    </x:row>
    <x:row r="112" ht="65" customHeight="1">
      <x:c r="A112" s="61" t="n">
        <x:v>44774</x:v>
      </x:c>
      <x:c r="B112" s="32" t="str">
        <x:v>Industria automotriz</x:v>
      </x:c>
      <x:c r="C112" s="32" t="str">
        <x:v>Industrias sin Aluar</x:v>
      </x:c>
      <x:c r="D112" s="62" t="n">
        <x:v>31</x:v>
      </x:c>
      <x:c r="E112" s="2" t="str">
        <x:v>Completo</x:v>
      </x:c>
      <x:c r="F112" s="56" t="n">
        <x:v>39.10302956989247</x:v>
      </x:c>
      <x:c r="G112" s="56" t="str">
        <x:f>"n.a."</x:f>
        <x:v>n.a.</x:v>
      </x:c>
      <x:c r="H112" s="57" t="str">
        <x:f>IF(ISNUMBER(G112),IF(G112=0,"n.a.",F112/G112-1),"n.a.")</x:f>
        <x:v>n.a.</x:v>
      </x:c>
      <x:c r="I112" s="58" t="n">
        <x:f>F112/J112</x:f>
        <x:v>0.030181677183743243</x:v>
      </x:c>
      <x:c r="J112" s="56" t="n">
        <x:v>1295.5883575268817</x:v>
      </x:c>
    </x:row>
    <x:row r="113" ht="65" customHeight="1">
      <x:c r="A113" s="61" t="n">
        <x:v>44774</x:v>
      </x:c>
      <x:c r="B113" s="32" t="str">
        <x:v>Derivados de petróleo</x:v>
      </x:c>
      <x:c r="C113" s="32" t="str">
        <x:v>Industrias sin Aluar</x:v>
      </x:c>
      <x:c r="D113" s="62" t="n">
        <x:v>31</x:v>
      </x:c>
      <x:c r="E113" s="2" t="str">
        <x:v>Completo</x:v>
      </x:c>
      <x:c r="F113" s="56" t="n">
        <x:v>156.43338440860217</x:v>
      </x:c>
      <x:c r="G113" s="56" t="str">
        <x:f>"n.a."</x:f>
        <x:v>n.a.</x:v>
      </x:c>
      <x:c r="H113" s="57" t="str">
        <x:f>IF(ISNUMBER(G113),IF(G113=0,"n.a.",F113/G113-1),"n.a.")</x:f>
        <x:v>n.a.</x:v>
      </x:c>
      <x:c r="I113" s="58" t="n">
        <x:f>F113/J113</x:f>
        <x:v>0.12074312299873873</x:v>
      </x:c>
      <x:c r="J113" s="56" t="n">
        <x:v>1295.5883575268817</x:v>
      </x:c>
    </x:row>
    <x:row r="114" ht="65" customHeight="1">
      <x:c r="A114" s="61" t="n">
        <x:v>44774</x:v>
      </x:c>
      <x:c r="B114" s="32" t="str">
        <x:v>Construcción: elaboración de cemento y canteras</x:v>
      </x:c>
      <x:c r="C114" s="32" t="str">
        <x:v>Industrias sin Aluar</x:v>
      </x:c>
      <x:c r="D114" s="62" t="n">
        <x:v>31</x:v>
      </x:c>
      <x:c r="E114" s="2" t="str">
        <x:v>Completo</x:v>
      </x:c>
      <x:c r="F114" s="56" t="n">
        <x:v>199.46865725806452</x:v>
      </x:c>
      <x:c r="G114" s="56" t="str">
        <x:f>"n.a."</x:f>
        <x:v>n.a.</x:v>
      </x:c>
      <x:c r="H114" s="57" t="str">
        <x:f>IF(ISNUMBER(G114),IF(G114=0,"n.a.",F114/G114-1),"n.a.")</x:f>
        <x:v>n.a.</x:v>
      </x:c>
      <x:c r="I114" s="58" t="n">
        <x:f>F114/J114</x:f>
        <x:v>0.15395990254097805</x:v>
      </x:c>
      <x:c r="J114" s="56" t="n">
        <x:v>1295.5883575268817</x:v>
      </x:c>
    </x:row>
    <x:row r="115" ht="65" customHeight="1">
      <x:c r="A115" s="61" t="n">
        <x:v>44774</x:v>
      </x:c>
      <x:c r="B115" s="32" t="str">
        <x:v>Madera y papel</x:v>
      </x:c>
      <x:c r="C115" s="32" t="str">
        <x:v>Industrias sin Aluar</x:v>
      </x:c>
      <x:c r="D115" s="62" t="n">
        <x:v>31</x:v>
      </x:c>
      <x:c r="E115" s="2" t="str">
        <x:v>Completo</x:v>
      </x:c>
      <x:c r="F115" s="56" t="n">
        <x:v>102.55399596774194</x:v>
      </x:c>
      <x:c r="G115" s="56" t="str">
        <x:f>"n.a."</x:f>
        <x:v>n.a.</x:v>
      </x:c>
      <x:c r="H115" s="57" t="str">
        <x:f>IF(ISNUMBER(G115),IF(G115=0,"n.a.",F115/G115-1),"n.a.")</x:f>
        <x:v>n.a.</x:v>
      </x:c>
      <x:c r="I115" s="58" t="n">
        <x:f>F115/J115</x:f>
        <x:v>0.0791563117806221</x:v>
      </x:c>
      <x:c r="J115" s="56" t="n">
        <x:v>1295.5883575268817</x:v>
      </x:c>
    </x:row>
    <x:row r="116" ht="65" customHeight="1">
      <x:c r="A116" s="61" t="n">
        <x:v>44774</x:v>
      </x:c>
      <x:c r="B116" s="32" t="str">
        <x:v>Productos metálicos no automotores</x:v>
      </x:c>
      <x:c r="C116" s="32" t="str">
        <x:v>Industrias sin Aluar</x:v>
      </x:c>
      <x:c r="D116" s="62" t="n">
        <x:v>31</x:v>
      </x:c>
      <x:c r="E116" s="2" t="str">
        <x:v>Completo</x:v>
      </x:c>
      <x:c r="F116" s="56" t="n">
        <x:v>66.19231317204301</x:v>
      </x:c>
      <x:c r="G116" s="56" t="str">
        <x:f>"n.a."</x:f>
        <x:v>n.a.</x:v>
      </x:c>
      <x:c r="H116" s="57" t="str">
        <x:f>IF(ISNUMBER(G116),IF(G116=0,"n.a.",F116/G116-1),"n.a.")</x:f>
        <x:v>n.a.</x:v>
      </x:c>
      <x:c r="I116" s="58" t="n">
        <x:f>F116/J116</x:f>
        <x:v>0.051090543371658546</x:v>
      </x:c>
      <x:c r="J116" s="56" t="n">
        <x:v>1295.5883575268817</x:v>
      </x:c>
    </x:row>
    <x:row r="117" ht="65" customHeight="1">
      <x:c r="A117" s="61" t="n">
        <x:v>44774</x:v>
      </x:c>
      <x:c r="B117" s="32" t="str">
        <x:v>Gran siderurgia</x:v>
      </x:c>
      <x:c r="C117" s="32" t="str">
        <x:v>Industrias sin Aluar</x:v>
      </x:c>
      <x:c r="D117" s="62" t="n">
        <x:v>31</x:v>
      </x:c>
      <x:c r="E117" s="2" t="str">
        <x:v>Completo</x:v>
      </x:c>
      <x:c r="F117" s="56" t="n">
        <x:v>357.5920174731183</x:v>
      </x:c>
      <x:c r="G117" s="56" t="str">
        <x:f>"n.a."</x:f>
        <x:v>n.a.</x:v>
      </x:c>
      <x:c r="H117" s="57" t="str">
        <x:f>IF(ISNUMBER(G117),IF(G117=0,"n.a.",F117/G117-1),"n.a.")</x:f>
        <x:v>n.a.</x:v>
      </x:c>
      <x:c r="I117" s="58" t="n">
        <x:f>F117/J117</x:f>
        <x:v>0.27600743353059864</x:v>
      </x:c>
      <x:c r="J117" s="56" t="n">
        <x:v>1295.5883575268817</x:v>
      </x:c>
    </x:row>
    <x:row r="118" ht="65" customHeight="1">
      <x:c r="A118" s="61" t="n">
        <x:v>44774</x:v>
      </x:c>
      <x:c r="B118" s="32" t="str">
        <x:v>Industria textil</x:v>
      </x:c>
      <x:c r="C118" s="32" t="str">
        <x:v>Industrias sin Aluar</x:v>
      </x:c>
      <x:c r="D118" s="62" t="n">
        <x:v>31</x:v>
      </x:c>
      <x:c r="E118" s="2" t="str">
        <x:v>Completo</x:v>
      </x:c>
      <x:c r="F118" s="56" t="n">
        <x:v>64.61975268817204</x:v>
      </x:c>
      <x:c r="G118" s="56" t="str">
        <x:f>"n.a."</x:f>
        <x:v>n.a.</x:v>
      </x:c>
      <x:c r="H118" s="57" t="str">
        <x:f>IF(ISNUMBER(G118),IF(G118=0,"n.a.",F118/G118-1),"n.a.")</x:f>
        <x:v>n.a.</x:v>
      </x:c>
      <x:c r="I118" s="58" t="n">
        <x:f>F118/J118</x:f>
        <x:v>0.04987676240895154</x:v>
      </x:c>
      <x:c r="J118" s="56" t="n">
        <x:v>1295.5883575268817</x:v>
      </x:c>
    </x:row>
    <x:row r="119" ht="65" customHeight="1">
      <x:c r="A119" s="61" t="n">
        <x:v>44774</x:v>
      </x:c>
      <x:c r="B119" s="32" t="str">
        <x:v>Químicas, caucho, plástico y otros minerales no metálicos</x:v>
      </x:c>
      <x:c r="C119" s="32" t="str">
        <x:v>Industrias sin Aluar</x:v>
      </x:c>
      <x:c r="D119" s="62" t="n">
        <x:v>31</x:v>
      </x:c>
      <x:c r="E119" s="2" t="str">
        <x:v>Completo</x:v>
      </x:c>
      <x:c r="F119" s="56" t="n">
        <x:v>309.6252069892473</x:v>
      </x:c>
      <x:c r="G119" s="56" t="str">
        <x:f>"n.a."</x:f>
        <x:v>n.a.</x:v>
      </x:c>
      <x:c r="H119" s="57" t="str">
        <x:f>IF(ISNUMBER(G119),IF(G119=0,"n.a.",F119/G119-1),"n.a.")</x:f>
        <x:v>n.a.</x:v>
      </x:c>
      <x:c r="I119" s="58" t="n">
        <x:f>F119/J119</x:f>
        <x:v>0.23898424618470918</x:v>
      </x:c>
      <x:c r="J119" s="56" t="n">
        <x:v>1295.5883575268817</x:v>
      </x:c>
    </x:row>
    <x:row r="120" ht="65" customHeight="1">
      <x:c r="A120" s="61" t="n">
        <x:v>44774</x:v>
      </x:c>
      <x:c r="B120" s="32" t="str">
        <x:v>Extracción de minerales</x:v>
      </x:c>
      <x:c r="C120" s="32" t="str">
        <x:v>Petróleos y minerales</x:v>
      </x:c>
      <x:c r="D120" s="62" t="n">
        <x:v>31</x:v>
      </x:c>
      <x:c r="E120" s="2" t="str">
        <x:v>Completo</x:v>
      </x:c>
      <x:c r="F120" s="56" t="n">
        <x:v>20.651995967741936</x:v>
      </x:c>
      <x:c r="G120" s="56" t="str">
        <x:f>"n.a."</x:f>
        <x:v>n.a.</x:v>
      </x:c>
      <x:c r="H120" s="57" t="str">
        <x:f>IF(ISNUMBER(G120),IF(G120=0,"n.a.",F120/G120-1),"n.a.")</x:f>
        <x:v>n.a.</x:v>
      </x:c>
      <x:c r="I120" s="58" t="n">
        <x:f>F120/J120</x:f>
        <x:v>0.11746363524860153</x:v>
      </x:c>
      <x:c r="J120" s="56" t="n">
        <x:v>175.8160806451613</x:v>
      </x:c>
    </x:row>
    <x:row r="121" ht="65" customHeight="1">
      <x:c r="A121" s="61" t="n">
        <x:v>44774</x:v>
      </x:c>
      <x:c r="B121" s="32" t="str">
        <x:v>Extracción de petróleo</x:v>
      </x:c>
      <x:c r="C121" s="32" t="str">
        <x:v>Petróleos y minerales</x:v>
      </x:c>
      <x:c r="D121" s="62" t="n">
        <x:v>31</x:v>
      </x:c>
      <x:c r="E121" s="2" t="str">
        <x:v>Completo</x:v>
      </x:c>
      <x:c r="F121" s="56" t="n">
        <x:v>155.16408467741934</x:v>
      </x:c>
      <x:c r="G121" s="56" t="str">
        <x:f>"n.a."</x:f>
        <x:v>n.a.</x:v>
      </x:c>
      <x:c r="H121" s="57" t="str">
        <x:f>IF(ISNUMBER(G121),IF(G121=0,"n.a.",F121/G121-1),"n.a.")</x:f>
        <x:v>n.a.</x:v>
      </x:c>
      <x:c r="I121" s="58" t="n">
        <x:f>F121/J121</x:f>
        <x:v>0.8825363647513984</x:v>
      </x:c>
      <x:c r="J121" s="56" t="n">
        <x:v>175.8160806451613</x:v>
      </x:c>
    </x:row>
    <x:row r="122" ht="65" customHeight="1">
      <x:c r="A122" s="61" t="n">
        <x:v>44805</x:v>
      </x:c>
      <x:c r="B122" s="32" t="str">
        <x:v>Cargas y puertos</x:v>
      </x:c>
      <x:c r="C122" s="32" t="str">
        <x:v>Alimentación, comercios y servicios</x:v>
      </x:c>
      <x:c r="D122" s="62" t="n">
        <x:v>30</x:v>
      </x:c>
      <x:c r="E122" s="2" t="str">
        <x:v>Completo</x:v>
      </x:c>
      <x:c r="F122" s="56" t="n">
        <x:v>7.475506944444445</x:v>
      </x:c>
      <x:c r="G122" s="56" t="str">
        <x:f>"n.a."</x:f>
        <x:v>n.a.</x:v>
      </x:c>
      <x:c r="H122" s="57" t="str">
        <x:f>IF(ISNUMBER(G122),IF(G122=0,"n.a.",F122/G122-1),"n.a.")</x:f>
        <x:v>n.a.</x:v>
      </x:c>
      <x:c r="I122" s="58" t="n">
        <x:f>F122/J122</x:f>
        <x:v>0.018972156103720942</x:v>
      </x:c>
      <x:c r="J122" s="56" t="n">
        <x:v>394.0251652777778</x:v>
      </x:c>
    </x:row>
    <x:row r="123" ht="65" customHeight="1">
      <x:c r="A123" s="61" t="n">
        <x:v>44805</x:v>
      </x:c>
      <x:c r="B123" s="32" t="str">
        <x:v>Comercio y servicios: principalmente supermercados y centros comerciales</x:v>
      </x:c>
      <x:c r="C123" s="32" t="str">
        <x:v>Alimentación, comercios y servicios</x:v>
      </x:c>
      <x:c r="D123" s="62" t="n">
        <x:v>30</x:v>
      </x:c>
      <x:c r="E123" s="2" t="str">
        <x:v>Completo</x:v>
      </x:c>
      <x:c r="F123" s="56" t="n">
        <x:v>29.170405555555554</x:v>
      </x:c>
      <x:c r="G123" s="56" t="str">
        <x:f>"n.a."</x:f>
        <x:v>n.a.</x:v>
      </x:c>
      <x:c r="H123" s="57" t="str">
        <x:f>IF(ISNUMBER(G123),IF(G123=0,"n.a.",F123/G123-1),"n.a.")</x:f>
        <x:v>n.a.</x:v>
      </x:c>
      <x:c r="I123" s="58" t="n">
        <x:f>F123/J123</x:f>
        <x:v>0.07403183381698769</x:v>
      </x:c>
      <x:c r="J123" s="56" t="n">
        <x:v>394.0251652777778</x:v>
      </x:c>
    </x:row>
    <x:row r="124" ht="65" customHeight="1">
      <x:c r="A124" s="61" t="n">
        <x:v>44805</x:v>
      </x:c>
      <x:c r="B124" s="32" t="str">
        <x:v>Alimentación y artículos de consumo masivo</x:v>
      </x:c>
      <x:c r="C124" s="32" t="str">
        <x:v>Alimentación, comercios y servicios</x:v>
      </x:c>
      <x:c r="D124" s="62" t="n">
        <x:v>30</x:v>
      </x:c>
      <x:c r="E124" s="2" t="str">
        <x:v>Completo</x:v>
      </x:c>
      <x:c r="F124" s="56" t="n">
        <x:v>274.391175</x:v>
      </x:c>
      <x:c r="G124" s="56" t="str">
        <x:f>"n.a."</x:f>
        <x:v>n.a.</x:v>
      </x:c>
      <x:c r="H124" s="57" t="str">
        <x:f>IF(ISNUMBER(G124),IF(G124=0,"n.a.",F124/G124-1),"n.a.")</x:f>
        <x:v>n.a.</x:v>
      </x:c>
      <x:c r="I124" s="58" t="n">
        <x:f>F124/J124</x:f>
        <x:v>0.696379823371335</x:v>
      </x:c>
      <x:c r="J124" s="56" t="n">
        <x:v>394.0251652777778</x:v>
      </x:c>
    </x:row>
    <x:row r="125" ht="65" customHeight="1">
      <x:c r="A125" s="61" t="n">
        <x:v>44805</x:v>
      </x:c>
      <x:c r="B125" s="32" t="str">
        <x:v>Servicios públicos y transporte: agua y transporte en GBA</x:v>
      </x:c>
      <x:c r="C125" s="32" t="str">
        <x:v>Alimentación, comercios y servicios</x:v>
      </x:c>
      <x:c r="D125" s="62" t="n">
        <x:v>30</x:v>
      </x:c>
      <x:c r="E125" s="2" t="str">
        <x:v>Completo</x:v>
      </x:c>
      <x:c r="F125" s="56" t="n">
        <x:v>82.98807777777778</x:v>
      </x:c>
      <x:c r="G125" s="56" t="str">
        <x:f>"n.a."</x:f>
        <x:v>n.a.</x:v>
      </x:c>
      <x:c r="H125" s="57" t="str">
        <x:f>IF(ISNUMBER(G125),IF(G125=0,"n.a.",F125/G125-1),"n.a.")</x:f>
        <x:v>n.a.</x:v>
      </x:c>
      <x:c r="I125" s="58" t="n">
        <x:f>F125/J125</x:f>
        <x:v>0.2106161867079563</x:v>
      </x:c>
      <x:c r="J125" s="56" t="n">
        <x:v>394.0251652777778</x:v>
      </x:c>
    </x:row>
    <x:row r="126" ht="65" customHeight="1">
      <x:c r="A126" s="61" t="n">
        <x:v>44805</x:v>
      </x:c>
      <x:c r="B126" s="32" t="str">
        <x:v>Industria automotriz</x:v>
      </x:c>
      <x:c r="C126" s="32" t="str">
        <x:v>Industrias sin Aluar</x:v>
      </x:c>
      <x:c r="D126" s="62" t="n">
        <x:v>30</x:v>
      </x:c>
      <x:c r="E126" s="2" t="str">
        <x:v>Completo</x:v>
      </x:c>
      <x:c r="F126" s="56" t="n">
        <x:v>37.15708055555556</x:v>
      </x:c>
      <x:c r="G126" s="56" t="str">
        <x:f>"n.a."</x:f>
        <x:v>n.a.</x:v>
      </x:c>
      <x:c r="H126" s="57" t="str">
        <x:f>IF(ISNUMBER(G126),IF(G126=0,"n.a.",F126/G126-1),"n.a.")</x:f>
        <x:v>n.a.</x:v>
      </x:c>
      <x:c r="I126" s="58" t="n">
        <x:f>F126/J126</x:f>
        <x:v>0.028402125702296603</x:v>
      </x:c>
      <x:c r="J126" s="56" t="n">
        <x:v>1308.249986111111</x:v>
      </x:c>
    </x:row>
    <x:row r="127" ht="65" customHeight="1">
      <x:c r="A127" s="61" t="n">
        <x:v>44805</x:v>
      </x:c>
      <x:c r="B127" s="32" t="str">
        <x:v>Derivados de petróleo</x:v>
      </x:c>
      <x:c r="C127" s="32" t="str">
        <x:v>Industrias sin Aluar</x:v>
      </x:c>
      <x:c r="D127" s="62" t="n">
        <x:v>30</x:v>
      </x:c>
      <x:c r="E127" s="2" t="str">
        <x:v>Completo</x:v>
      </x:c>
      <x:c r="F127" s="56" t="n">
        <x:v>155.6003777777778</x:v>
      </x:c>
      <x:c r="G127" s="56" t="str">
        <x:f>"n.a."</x:f>
        <x:v>n.a.</x:v>
      </x:c>
      <x:c r="H127" s="57" t="str">
        <x:f>IF(ISNUMBER(G127),IF(G127=0,"n.a.",F127/G127-1),"n.a.")</x:f>
        <x:v>n.a.</x:v>
      </x:c>
      <x:c r="I127" s="58" t="n">
        <x:f>F127/J127</x:f>
        <x:v>0.1189378019718645</x:v>
      </x:c>
      <x:c r="J127" s="56" t="n">
        <x:v>1308.249986111111</x:v>
      </x:c>
    </x:row>
    <x:row r="128" ht="65" customHeight="1">
      <x:c r="A128" s="61" t="n">
        <x:v>44805</x:v>
      </x:c>
      <x:c r="B128" s="32" t="str">
        <x:v>Construcción: elaboración de cemento y canteras</x:v>
      </x:c>
      <x:c r="C128" s="32" t="str">
        <x:v>Industrias sin Aluar</x:v>
      </x:c>
      <x:c r="D128" s="62" t="n">
        <x:v>30</x:v>
      </x:c>
      <x:c r="E128" s="2" t="str">
        <x:v>Completo</x:v>
      </x:c>
      <x:c r="F128" s="56" t="n">
        <x:v>185.78671944444443</x:v>
      </x:c>
      <x:c r="G128" s="56" t="str">
        <x:f>"n.a."</x:f>
        <x:v>n.a.</x:v>
      </x:c>
      <x:c r="H128" s="57" t="str">
        <x:f>IF(ISNUMBER(G128),IF(G128=0,"n.a.",F128/G128-1),"n.a.")</x:f>
        <x:v>n.a.</x:v>
      </x:c>
      <x:c r="I128" s="58" t="n">
        <x:f>F128/J128</x:f>
        <x:v>0.14201163494502447</x:v>
      </x:c>
      <x:c r="J128" s="56" t="n">
        <x:v>1308.249986111111</x:v>
      </x:c>
    </x:row>
    <x:row r="129" ht="65" customHeight="1">
      <x:c r="A129" s="61" t="n">
        <x:v>44805</x:v>
      </x:c>
      <x:c r="B129" s="32" t="str">
        <x:v>Madera y papel</x:v>
      </x:c>
      <x:c r="C129" s="32" t="str">
        <x:v>Industrias sin Aluar</x:v>
      </x:c>
      <x:c r="D129" s="62" t="n">
        <x:v>30</x:v>
      </x:c>
      <x:c r="E129" s="2" t="str">
        <x:v>Completo</x:v>
      </x:c>
      <x:c r="F129" s="56" t="n">
        <x:v>109.43196527777778</x:v>
      </x:c>
      <x:c r="G129" s="56" t="str">
        <x:f>"n.a."</x:f>
        <x:v>n.a.</x:v>
      </x:c>
      <x:c r="H129" s="57" t="str">
        <x:f>IF(ISNUMBER(G129),IF(G129=0,"n.a.",F129/G129-1),"n.a.")</x:f>
        <x:v>n.a.</x:v>
      </x:c>
      <x:c r="I129" s="58" t="n">
        <x:f>F129/J129</x:f>
        <x:v>0.08364759521463784</x:v>
      </x:c>
      <x:c r="J129" s="56" t="n">
        <x:v>1308.249986111111</x:v>
      </x:c>
    </x:row>
    <x:row r="130" ht="65" customHeight="1">
      <x:c r="A130" s="61" t="n">
        <x:v>44805</x:v>
      </x:c>
      <x:c r="B130" s="32" t="str">
        <x:v>Productos metálicos no automotores</x:v>
      </x:c>
      <x:c r="C130" s="32" t="str">
        <x:v>Industrias sin Aluar</x:v>
      </x:c>
      <x:c r="D130" s="62" t="n">
        <x:v>30</x:v>
      </x:c>
      <x:c r="E130" s="2" t="str">
        <x:v>Completo</x:v>
      </x:c>
      <x:c r="F130" s="56" t="n">
        <x:v>64.4261625</x:v>
      </x:c>
      <x:c r="G130" s="56" t="str">
        <x:f>"n.a."</x:f>
        <x:v>n.a.</x:v>
      </x:c>
      <x:c r="H130" s="57" t="str">
        <x:f>IF(ISNUMBER(G130),IF(G130=0,"n.a.",F130/G130-1),"n.a.")</x:f>
        <x:v>n.a.</x:v>
      </x:c>
      <x:c r="I130" s="58" t="n">
        <x:f>F130/J130</x:f>
        <x:v>0.04924606396634674</x:v>
      </x:c>
      <x:c r="J130" s="56" t="n">
        <x:v>1308.249986111111</x:v>
      </x:c>
    </x:row>
    <x:row r="131" ht="65" customHeight="1">
      <x:c r="A131" s="61" t="n">
        <x:v>44805</x:v>
      </x:c>
      <x:c r="B131" s="32" t="str">
        <x:v>Gran siderurgia</x:v>
      </x:c>
      <x:c r="C131" s="32" t="str">
        <x:v>Industrias sin Aluar</x:v>
      </x:c>
      <x:c r="D131" s="62" t="n">
        <x:v>30</x:v>
      </x:c>
      <x:c r="E131" s="2" t="str">
        <x:v>Completo</x:v>
      </x:c>
      <x:c r="F131" s="56" t="n">
        <x:v>370.34691111111107</x:v>
      </x:c>
      <x:c r="G131" s="56" t="str">
        <x:f>"n.a."</x:f>
        <x:v>n.a.</x:v>
      </x:c>
      <x:c r="H131" s="57" t="str">
        <x:f>IF(ISNUMBER(G131),IF(G131=0,"n.a.",F131/G131-1),"n.a.")</x:f>
        <x:v>n.a.</x:v>
      </x:c>
      <x:c r="I131" s="58" t="n">
        <x:f>F131/J131</x:f>
        <x:v>0.2830857367038849</x:v>
      </x:c>
      <x:c r="J131" s="56" t="n">
        <x:v>1308.249986111111</x:v>
      </x:c>
    </x:row>
    <x:row r="132" ht="65" customHeight="1">
      <x:c r="A132" s="61" t="n">
        <x:v>44805</x:v>
      </x:c>
      <x:c r="B132" s="32" t="str">
        <x:v>Industria textil</x:v>
      </x:c>
      <x:c r="C132" s="32" t="str">
        <x:v>Industrias sin Aluar</x:v>
      </x:c>
      <x:c r="D132" s="62" t="n">
        <x:v>30</x:v>
      </x:c>
      <x:c r="E132" s="2" t="str">
        <x:v>Completo</x:v>
      </x:c>
      <x:c r="F132" s="56" t="n">
        <x:v>64.808925</x:v>
      </x:c>
      <x:c r="G132" s="56" t="str">
        <x:f>"n.a."</x:f>
        <x:v>n.a.</x:v>
      </x:c>
      <x:c r="H132" s="57" t="str">
        <x:f>IF(ISNUMBER(G132),IF(G132=0,"n.a.",F132/G132-1),"n.a.")</x:f>
        <x:v>n.a.</x:v>
      </x:c>
      <x:c r="I132" s="58" t="n">
        <x:f>F132/J132</x:f>
        <x:v>0.049538639929705086</x:v>
      </x:c>
      <x:c r="J132" s="56" t="n">
        <x:v>1308.249986111111</x:v>
      </x:c>
    </x:row>
    <x:row r="133" ht="65" customHeight="1">
      <x:c r="A133" s="61" t="n">
        <x:v>44805</x:v>
      </x:c>
      <x:c r="B133" s="32" t="str">
        <x:v>Químicas, caucho, plástico y otros minerales no metálicos</x:v>
      </x:c>
      <x:c r="C133" s="32" t="str">
        <x:v>Industrias sin Aluar</x:v>
      </x:c>
      <x:c r="D133" s="62" t="n">
        <x:v>30</x:v>
      </x:c>
      <x:c r="E133" s="2" t="str">
        <x:v>Completo</x:v>
      </x:c>
      <x:c r="F133" s="56" t="n">
        <x:v>320.6918444444444</x:v>
      </x:c>
      <x:c r="G133" s="56" t="str">
        <x:f>"n.a."</x:f>
        <x:v>n.a.</x:v>
      </x:c>
      <x:c r="H133" s="57" t="str">
        <x:f>IF(ISNUMBER(G133),IF(G133=0,"n.a.",F133/G133-1),"n.a.")</x:f>
        <x:v>n.a.</x:v>
      </x:c>
      <x:c r="I133" s="58" t="n">
        <x:f>F133/J133</x:f>
        <x:v>0.2451304015662399</x:v>
      </x:c>
      <x:c r="J133" s="56" t="n">
        <x:v>1308.249986111111</x:v>
      </x:c>
    </x:row>
    <x:row r="134" ht="65" customHeight="1">
      <x:c r="A134" s="61" t="n">
        <x:v>44805</x:v>
      </x:c>
      <x:c r="B134" s="32" t="str">
        <x:v>Extracción de minerales</x:v>
      </x:c>
      <x:c r="C134" s="32" t="str">
        <x:v>Petróleos y minerales</x:v>
      </x:c>
      <x:c r="D134" s="62" t="n">
        <x:v>30</x:v>
      </x:c>
      <x:c r="E134" s="2" t="str">
        <x:v>Completo</x:v>
      </x:c>
      <x:c r="F134" s="56" t="n">
        <x:v>20.128856944444447</x:v>
      </x:c>
      <x:c r="G134" s="56" t="str">
        <x:f>"n.a."</x:f>
        <x:v>n.a.</x:v>
      </x:c>
      <x:c r="H134" s="57" t="str">
        <x:f>IF(ISNUMBER(G134),IF(G134=0,"n.a.",F134/G134-1),"n.a.")</x:f>
        <x:v>n.a.</x:v>
      </x:c>
      <x:c r="I134" s="58" t="n">
        <x:f>F134/J134</x:f>
        <x:v>0.11572269652516279</x:v>
      </x:c>
      <x:c r="J134" s="56" t="n">
        <x:v>173.94044166666666</x:v>
      </x:c>
    </x:row>
    <x:row r="135" ht="65" customHeight="1">
      <x:c r="A135" s="61" t="n">
        <x:v>44805</x:v>
      </x:c>
      <x:c r="B135" s="32" t="str">
        <x:v>Extracción de petróleo</x:v>
      </x:c>
      <x:c r="C135" s="32" t="str">
        <x:v>Petróleos y minerales</x:v>
      </x:c>
      <x:c r="D135" s="62" t="n">
        <x:v>30</x:v>
      </x:c>
      <x:c r="E135" s="2" t="str">
        <x:v>Completo</x:v>
      </x:c>
      <x:c r="F135" s="56" t="n">
        <x:v>153.81158472222222</x:v>
      </x:c>
      <x:c r="G135" s="56" t="str">
        <x:f>"n.a."</x:f>
        <x:v>n.a.</x:v>
      </x:c>
      <x:c r="H135" s="57" t="str">
        <x:f>IF(ISNUMBER(G135),IF(G135=0,"n.a.",F135/G135-1),"n.a.")</x:f>
        <x:v>n.a.</x:v>
      </x:c>
      <x:c r="I135" s="58" t="n">
        <x:f>F135/J135</x:f>
        <x:v>0.8842773034748372</x:v>
      </x:c>
      <x:c r="J135" s="56" t="n">
        <x:v>173.94044166666666</x:v>
      </x:c>
    </x:row>
    <x:row r="136" ht="65" customHeight="1">
      <x:c r="A136" s="61" t="n">
        <x:v>44835</x:v>
      </x:c>
      <x:c r="B136" s="32" t="str">
        <x:v>Cargas y puertos</x:v>
      </x:c>
      <x:c r="C136" s="32" t="str">
        <x:v>Alimentación, comercios y servicios</x:v>
      </x:c>
      <x:c r="D136" s="62" t="n">
        <x:v>31</x:v>
      </x:c>
      <x:c r="E136" s="2" t="str">
        <x:v>Completo</x:v>
      </x:c>
      <x:c r="F136" s="56" t="n">
        <x:v>7.185059139784947</x:v>
      </x:c>
      <x:c r="G136" s="56" t="str">
        <x:f>"n.a."</x:f>
        <x:v>n.a.</x:v>
      </x:c>
      <x:c r="H136" s="57" t="str">
        <x:f>IF(ISNUMBER(G136),IF(G136=0,"n.a.",F136/G136-1),"n.a.")</x:f>
        <x:v>n.a.</x:v>
      </x:c>
      <x:c r="I136" s="58" t="n">
        <x:f>F136/J136</x:f>
        <x:v>0.01867833205493103</x:v>
      </x:c>
      <x:c r="J136" s="56" t="n">
        <x:v>384.6734879032258</x:v>
      </x:c>
    </x:row>
    <x:row r="137" ht="65" customHeight="1">
      <x:c r="A137" s="61" t="n">
        <x:v>44835</x:v>
      </x:c>
      <x:c r="B137" s="32" t="str">
        <x:v>Comercio y servicios: principalmente supermercados y centros comerciales</x:v>
      </x:c>
      <x:c r="C137" s="32" t="str">
        <x:v>Alimentación, comercios y servicios</x:v>
      </x:c>
      <x:c r="D137" s="62" t="n">
        <x:v>31</x:v>
      </x:c>
      <x:c r="E137" s="2" t="str">
        <x:v>Completo</x:v>
      </x:c>
      <x:c r="F137" s="56" t="n">
        <x:v>30.752962365591397</x:v>
      </x:c>
      <x:c r="G137" s="56" t="str">
        <x:f>"n.a."</x:f>
        <x:v>n.a.</x:v>
      </x:c>
      <x:c r="H137" s="57" t="str">
        <x:f>IF(ISNUMBER(G137),IF(G137=0,"n.a.",F137/G137-1),"n.a.")</x:f>
        <x:v>n.a.</x:v>
      </x:c>
      <x:c r="I137" s="58" t="n">
        <x:f>F137/J137</x:f>
        <x:v>0.07994562488103696</x:v>
      </x:c>
      <x:c r="J137" s="56" t="n">
        <x:v>384.6734879032258</x:v>
      </x:c>
    </x:row>
    <x:row r="138" ht="65" customHeight="1">
      <x:c r="A138" s="61" t="n">
        <x:v>44835</x:v>
      </x:c>
      <x:c r="B138" s="32" t="str">
        <x:v>Alimentación y artículos de consumo masivo</x:v>
      </x:c>
      <x:c r="C138" s="32" t="str">
        <x:v>Alimentación, comercios y servicios</x:v>
      </x:c>
      <x:c r="D138" s="62" t="n">
        <x:v>31</x:v>
      </x:c>
      <x:c r="E138" s="2" t="str">
        <x:v>Completo</x:v>
      </x:c>
      <x:c r="F138" s="56" t="n">
        <x:v>265.7251129032258</x:v>
      </x:c>
      <x:c r="G138" s="56" t="str">
        <x:f>"n.a."</x:f>
        <x:v>n.a.</x:v>
      </x:c>
      <x:c r="H138" s="57" t="str">
        <x:f>IF(ISNUMBER(G138),IF(G138=0,"n.a.",F138/G138-1),"n.a.")</x:f>
        <x:v>n.a.</x:v>
      </x:c>
      <x:c r="I138" s="58" t="n">
        <x:f>F138/J138</x:f>
        <x:v>0.6907809382747885</x:v>
      </x:c>
      <x:c r="J138" s="56" t="n">
        <x:v>384.6734879032258</x:v>
      </x:c>
    </x:row>
    <x:row r="139" ht="65" customHeight="1">
      <x:c r="A139" s="61" t="n">
        <x:v>44835</x:v>
      </x:c>
      <x:c r="B139" s="32" t="str">
        <x:v>Servicios públicos y transporte: agua y transporte en GBA</x:v>
      </x:c>
      <x:c r="C139" s="32" t="str">
        <x:v>Alimentación, comercios y servicios</x:v>
      </x:c>
      <x:c r="D139" s="62" t="n">
        <x:v>31</x:v>
      </x:c>
      <x:c r="E139" s="2" t="str">
        <x:v>Completo</x:v>
      </x:c>
      <x:c r="F139" s="56" t="n">
        <x:v>81.01035349462366</x:v>
      </x:c>
      <x:c r="G139" s="56" t="str">
        <x:f>"n.a."</x:f>
        <x:v>n.a.</x:v>
      </x:c>
      <x:c r="H139" s="57" t="str">
        <x:f>IF(ISNUMBER(G139),IF(G139=0,"n.a.",F139/G139-1),"n.a.")</x:f>
        <x:v>n.a.</x:v>
      </x:c>
      <x:c r="I139" s="58" t="n">
        <x:f>F139/J139</x:f>
        <x:v>0.21059510478924356</x:v>
      </x:c>
      <x:c r="J139" s="56" t="n">
        <x:v>384.6734879032258</x:v>
      </x:c>
    </x:row>
    <x:row r="140" ht="65" customHeight="1">
      <x:c r="A140" s="61" t="n">
        <x:v>44835</x:v>
      </x:c>
      <x:c r="B140" s="32" t="str">
        <x:v>Industria automotriz</x:v>
      </x:c>
      <x:c r="C140" s="32" t="str">
        <x:v>Industrias sin Aluar</x:v>
      </x:c>
      <x:c r="D140" s="62" t="n">
        <x:v>31</x:v>
      </x:c>
      <x:c r="E140" s="2" t="str">
        <x:v>Completo</x:v>
      </x:c>
      <x:c r="F140" s="56" t="n">
        <x:v>36.911353494623654</x:v>
      </x:c>
      <x:c r="G140" s="56" t="str">
        <x:f>"n.a."</x:f>
        <x:v>n.a.</x:v>
      </x:c>
      <x:c r="H140" s="57" t="str">
        <x:f>IF(ISNUMBER(G140),IF(G140=0,"n.a.",F140/G140-1),"n.a.")</x:f>
        <x:v>n.a.</x:v>
      </x:c>
      <x:c r="I140" s="58" t="n">
        <x:f>F140/J140</x:f>
        <x:v>0.028030065199389883</x:v>
      </x:c>
      <x:c r="J140" s="56" t="n">
        <x:v>1316.8486491935482</x:v>
      </x:c>
    </x:row>
    <x:row r="141" ht="65" customHeight="1">
      <x:c r="A141" s="61" t="n">
        <x:v>44835</x:v>
      </x:c>
      <x:c r="B141" s="32" t="str">
        <x:v>Derivados de petróleo</x:v>
      </x:c>
      <x:c r="C141" s="32" t="str">
        <x:v>Industrias sin Aluar</x:v>
      </x:c>
      <x:c r="D141" s="62" t="n">
        <x:v>31</x:v>
      </x:c>
      <x:c r="E141" s="2" t="str">
        <x:v>Completo</x:v>
      </x:c>
      <x:c r="F141" s="56" t="n">
        <x:v>157.4165067204301</x:v>
      </x:c>
      <x:c r="G141" s="56" t="str">
        <x:f>"n.a."</x:f>
        <x:v>n.a.</x:v>
      </x:c>
      <x:c r="H141" s="57" t="str">
        <x:f>IF(ISNUMBER(G141),IF(G141=0,"n.a.",F141/G141-1),"n.a.")</x:f>
        <x:v>n.a.</x:v>
      </x:c>
      <x:c r="I141" s="58" t="n">
        <x:f>F141/J141</x:f>
        <x:v>0.11954031833258409</x:v>
      </x:c>
      <x:c r="J141" s="56" t="n">
        <x:v>1316.8486491935482</x:v>
      </x:c>
    </x:row>
    <x:row r="142" ht="65" customHeight="1">
      <x:c r="A142" s="61" t="n">
        <x:v>44835</x:v>
      </x:c>
      <x:c r="B142" s="32" t="str">
        <x:v>Construcción: elaboración de cemento y canteras</x:v>
      </x:c>
      <x:c r="C142" s="32" t="str">
        <x:v>Industrias sin Aluar</x:v>
      </x:c>
      <x:c r="D142" s="62" t="n">
        <x:v>31</x:v>
      </x:c>
      <x:c r="E142" s="2" t="str">
        <x:v>Completo</x:v>
      </x:c>
      <x:c r="F142" s="56" t="n">
        <x:v>195.07546908602149</x:v>
      </x:c>
      <x:c r="G142" s="56" t="str">
        <x:f>"n.a."</x:f>
        <x:v>n.a.</x:v>
      </x:c>
      <x:c r="H142" s="57" t="str">
        <x:f>IF(ISNUMBER(G142),IF(G142=0,"n.a.",F142/G142-1),"n.a.")</x:f>
        <x:v>n.a.</x:v>
      </x:c>
      <x:c r="I142" s="58" t="n">
        <x:f>F142/J142</x:f>
        <x:v>0.1481381092697993</x:v>
      </x:c>
      <x:c r="J142" s="56" t="n">
        <x:v>1316.8486491935482</x:v>
      </x:c>
    </x:row>
    <x:row r="143" ht="65" customHeight="1">
      <x:c r="A143" s="61" t="n">
        <x:v>44835</x:v>
      </x:c>
      <x:c r="B143" s="32" t="str">
        <x:v>Madera y papel</x:v>
      </x:c>
      <x:c r="C143" s="32" t="str">
        <x:v>Industrias sin Aluar</x:v>
      </x:c>
      <x:c r="D143" s="62" t="n">
        <x:v>31</x:v>
      </x:c>
      <x:c r="E143" s="2" t="str">
        <x:v>Completo</x:v>
      </x:c>
      <x:c r="F143" s="56" t="n">
        <x:v>108.78326075268816</x:v>
      </x:c>
      <x:c r="G143" s="56" t="str">
        <x:f>"n.a."</x:f>
        <x:v>n.a.</x:v>
      </x:c>
      <x:c r="H143" s="57" t="str">
        <x:f>IF(ISNUMBER(G143),IF(G143=0,"n.a.",F143/G143-1),"n.a.")</x:f>
        <x:v>n.a.</x:v>
      </x:c>
      <x:c r="I143" s="58" t="n">
        <x:f>F143/J143</x:f>
        <x:v>0.08260878030235909</x:v>
      </x:c>
      <x:c r="J143" s="56" t="n">
        <x:v>1316.8486491935482</x:v>
      </x:c>
    </x:row>
    <x:row r="144" ht="65" customHeight="1">
      <x:c r="A144" s="61" t="n">
        <x:v>44835</x:v>
      </x:c>
      <x:c r="B144" s="32" t="str">
        <x:v>Productos metálicos no automotores</x:v>
      </x:c>
      <x:c r="C144" s="32" t="str">
        <x:v>Industrias sin Aluar</x:v>
      </x:c>
      <x:c r="D144" s="62" t="n">
        <x:v>31</x:v>
      </x:c>
      <x:c r="E144" s="2" t="str">
        <x:v>Completo</x:v>
      </x:c>
      <x:c r="F144" s="56" t="n">
        <x:v>63.52213440860215</x:v>
      </x:c>
      <x:c r="G144" s="56" t="str">
        <x:f>"n.a."</x:f>
        <x:v>n.a.</x:v>
      </x:c>
      <x:c r="H144" s="57" t="str">
        <x:f>IF(ISNUMBER(G144),IF(G144=0,"n.a.",F144/G144-1),"n.a.")</x:f>
        <x:v>n.a.</x:v>
      </x:c>
      <x:c r="I144" s="58" t="n">
        <x:f>F144/J144</x:f>
        <x:v>0.04823799185085071</x:v>
      </x:c>
      <x:c r="J144" s="56" t="n">
        <x:v>1316.8486491935482</x:v>
      </x:c>
    </x:row>
    <x:row r="145" ht="65" customHeight="1">
      <x:c r="A145" s="61" t="n">
        <x:v>44835</x:v>
      </x:c>
      <x:c r="B145" s="32" t="str">
        <x:v>Gran siderurgia</x:v>
      </x:c>
      <x:c r="C145" s="32" t="str">
        <x:v>Industrias sin Aluar</x:v>
      </x:c>
      <x:c r="D145" s="62" t="n">
        <x:v>31</x:v>
      </x:c>
      <x:c r="E145" s="2" t="str">
        <x:v>Completo</x:v>
      </x:c>
      <x:c r="F145" s="56" t="n">
        <x:v>367.2557701612903</x:v>
      </x:c>
      <x:c r="G145" s="56" t="str">
        <x:f>"n.a."</x:f>
        <x:v>n.a.</x:v>
      </x:c>
      <x:c r="H145" s="57" t="str">
        <x:f>IF(ISNUMBER(G145),IF(G145=0,"n.a.",F145/G145-1),"n.a.")</x:f>
        <x:v>n.a.</x:v>
      </x:c>
      <x:c r="I145" s="58" t="n">
        <x:f>F145/J145</x:f>
        <x:v>0.2788898863861094</x:v>
      </x:c>
      <x:c r="J145" s="56" t="n">
        <x:v>1316.8486491935482</x:v>
      </x:c>
    </x:row>
    <x:row r="146" ht="65" customHeight="1">
      <x:c r="A146" s="61" t="n">
        <x:v>44835</x:v>
      </x:c>
      <x:c r="B146" s="32" t="str">
        <x:v>Industria textil</x:v>
      </x:c>
      <x:c r="C146" s="32" t="str">
        <x:v>Industrias sin Aluar</x:v>
      </x:c>
      <x:c r="D146" s="62" t="n">
        <x:v>31</x:v>
      </x:c>
      <x:c r="E146" s="2" t="str">
        <x:v>Completo</x:v>
      </x:c>
      <x:c r="F146" s="56" t="n">
        <x:v>62.25362768817204</x:v>
      </x:c>
      <x:c r="G146" s="56" t="str">
        <x:f>"n.a."</x:f>
        <x:v>n.a.</x:v>
      </x:c>
      <x:c r="H146" s="57" t="str">
        <x:f>IF(ISNUMBER(G146),IF(G146=0,"n.a.",F146/G146-1),"n.a.")</x:f>
        <x:v>n.a.</x:v>
      </x:c>
      <x:c r="I146" s="58" t="n">
        <x:f>F146/J146</x:f>
        <x:v>0.047274702165884294</x:v>
      </x:c>
      <x:c r="J146" s="56" t="n">
        <x:v>1316.8486491935482</x:v>
      </x:c>
    </x:row>
    <x:row r="147" ht="65" customHeight="1">
      <x:c r="A147" s="61" t="n">
        <x:v>44835</x:v>
      </x:c>
      <x:c r="B147" s="32" t="str">
        <x:v>Químicas, caucho, plástico y otros minerales no metálicos</x:v>
      </x:c>
      <x:c r="C147" s="32" t="str">
        <x:v>Industrias sin Aluar</x:v>
      </x:c>
      <x:c r="D147" s="62" t="n">
        <x:v>31</x:v>
      </x:c>
      <x:c r="E147" s="2" t="str">
        <x:v>Completo</x:v>
      </x:c>
      <x:c r="F147" s="56" t="n">
        <x:v>325.6305268817204</x:v>
      </x:c>
      <x:c r="G147" s="56" t="str">
        <x:f>"n.a."</x:f>
        <x:v>n.a.</x:v>
      </x:c>
      <x:c r="H147" s="57" t="str">
        <x:f>IF(ISNUMBER(G147),IF(G147=0,"n.a.",F147/G147-1),"n.a.")</x:f>
        <x:v>n.a.</x:v>
      </x:c>
      <x:c r="I147" s="58" t="n">
        <x:f>F147/J147</x:f>
        <x:v>0.24728014649302327</x:v>
      </x:c>
      <x:c r="J147" s="56" t="n">
        <x:v>1316.8486491935482</x:v>
      </x:c>
    </x:row>
    <x:row r="148" ht="65" customHeight="1">
      <x:c r="A148" s="61" t="n">
        <x:v>44835</x:v>
      </x:c>
      <x:c r="B148" s="32" t="str">
        <x:v>Extracción de minerales</x:v>
      </x:c>
      <x:c r="C148" s="32" t="str">
        <x:v>Petróleos y minerales</x:v>
      </x:c>
      <x:c r="D148" s="62" t="n">
        <x:v>31</x:v>
      </x:c>
      <x:c r="E148" s="2" t="str">
        <x:v>Completo</x:v>
      </x:c>
      <x:c r="F148" s="56" t="n">
        <x:v>20.161274193548387</x:v>
      </x:c>
      <x:c r="G148" s="56" t="str">
        <x:f>"n.a."</x:f>
        <x:v>n.a.</x:v>
      </x:c>
      <x:c r="H148" s="57" t="str">
        <x:f>IF(ISNUMBER(G148),IF(G148=0,"n.a.",F148/G148-1),"n.a.")</x:f>
        <x:v>n.a.</x:v>
      </x:c>
      <x:c r="I148" s="58" t="n">
        <x:f>F148/J148</x:f>
        <x:v>0.11350365746154797</x:v>
      </x:c>
      <x:c r="J148" s="56" t="n">
        <x:v>177.6266478494624</x:v>
      </x:c>
    </x:row>
    <x:row r="149" ht="65" customHeight="1">
      <x:c r="A149" s="61" t="n">
        <x:v>44835</x:v>
      </x:c>
      <x:c r="B149" s="32" t="str">
        <x:v>Extracción de petróleo</x:v>
      </x:c>
      <x:c r="C149" s="32" t="str">
        <x:v>Petróleos y minerales</x:v>
      </x:c>
      <x:c r="D149" s="62" t="n">
        <x:v>31</x:v>
      </x:c>
      <x:c r="E149" s="2" t="str">
        <x:v>Completo</x:v>
      </x:c>
      <x:c r="F149" s="56" t="n">
        <x:v>157.465373655914</x:v>
      </x:c>
      <x:c r="G149" s="56" t="str">
        <x:f>"n.a."</x:f>
        <x:v>n.a.</x:v>
      </x:c>
      <x:c r="H149" s="57" t="str">
        <x:f>IF(ISNUMBER(G149),IF(G149=0,"n.a.",F149/G149-1),"n.a.")</x:f>
        <x:v>n.a.</x:v>
      </x:c>
      <x:c r="I149" s="58" t="n">
        <x:f>F149/J149</x:f>
        <x:v>0.886496342538452</x:v>
      </x:c>
      <x:c r="J149" s="56" t="n">
        <x:v>177.6266478494624</x:v>
      </x:c>
    </x:row>
    <x:row r="150" ht="65" customHeight="1">
      <x:c r="A150" s="61" t="n">
        <x:v>44866</x:v>
      </x:c>
      <x:c r="B150" s="32" t="str">
        <x:v>Cargas y puertos</x:v>
      </x:c>
      <x:c r="C150" s="32" t="str">
        <x:v>Alimentación, comercios y servicios</x:v>
      </x:c>
      <x:c r="D150" s="62" t="n">
        <x:v>30</x:v>
      </x:c>
      <x:c r="E150" s="2" t="str">
        <x:v>Completo</x:v>
      </x:c>
      <x:c r="F150" s="56" t="n">
        <x:v>8.462795833333333</x:v>
      </x:c>
      <x:c r="G150" s="56" t="str">
        <x:f>"n.a."</x:f>
        <x:v>n.a.</x:v>
      </x:c>
      <x:c r="H150" s="57" t="str">
        <x:f>IF(ISNUMBER(G150),IF(G150=0,"n.a.",F150/G150-1),"n.a.")</x:f>
        <x:v>n.a.</x:v>
      </x:c>
      <x:c r="I150" s="58" t="n">
        <x:f>F150/J150</x:f>
        <x:v>0.0198870942107334</x:v>
      </x:c>
      <x:c r="J150" s="56" t="n">
        <x:v>425.54209999999995</x:v>
      </x:c>
    </x:row>
    <x:row r="151" ht="65" customHeight="1">
      <x:c r="A151" s="61" t="n">
        <x:v>44866</x:v>
      </x:c>
      <x:c r="B151" s="32" t="str">
        <x:v>Comercio y servicios: principalmente supermercados y centros comerciales</x:v>
      </x:c>
      <x:c r="C151" s="32" t="str">
        <x:v>Alimentación, comercios y servicios</x:v>
      </x:c>
      <x:c r="D151" s="62" t="n">
        <x:v>30</x:v>
      </x:c>
      <x:c r="E151" s="2" t="str">
        <x:v>Completo</x:v>
      </x:c>
      <x:c r="F151" s="56" t="n">
        <x:v>35.74963888888889</x:v>
      </x:c>
      <x:c r="G151" s="56" t="str">
        <x:f>"n.a."</x:f>
        <x:v>n.a.</x:v>
      </x:c>
      <x:c r="H151" s="57" t="str">
        <x:f>IF(ISNUMBER(G151),IF(G151=0,"n.a.",F151/G151-1),"n.a.")</x:f>
        <x:v>n.a.</x:v>
      </x:c>
      <x:c r="I151" s="58" t="n">
        <x:f>F151/J151</x:f>
        <x:v>0.0840096406181407</x:v>
      </x:c>
      <x:c r="J151" s="56" t="n">
        <x:v>425.54209999999995</x:v>
      </x:c>
    </x:row>
    <x:row r="152" ht="65" customHeight="1">
      <x:c r="A152" s="61" t="n">
        <x:v>44866</x:v>
      </x:c>
      <x:c r="B152" s="32" t="str">
        <x:v>Alimentación y artículos de consumo masivo</x:v>
      </x:c>
      <x:c r="C152" s="32" t="str">
        <x:v>Alimentación, comercios y servicios</x:v>
      </x:c>
      <x:c r="D152" s="62" t="n">
        <x:v>30</x:v>
      </x:c>
      <x:c r="E152" s="2" t="str">
        <x:v>Completo</x:v>
      </x:c>
      <x:c r="F152" s="56" t="n">
        <x:v>294.71852638888885</x:v>
      </x:c>
      <x:c r="G152" s="56" t="str">
        <x:f>"n.a."</x:f>
        <x:v>n.a.</x:v>
      </x:c>
      <x:c r="H152" s="57" t="str">
        <x:f>IF(ISNUMBER(G152),IF(G152=0,"n.a.",F152/G152-1),"n.a.")</x:f>
        <x:v>n.a.</x:v>
      </x:c>
      <x:c r="I152" s="58" t="n">
        <x:f>F152/J152</x:f>
        <x:v>0.692571960304019</x:v>
      </x:c>
      <x:c r="J152" s="56" t="n">
        <x:v>425.54209999999995</x:v>
      </x:c>
    </x:row>
    <x:row r="153" ht="65" customHeight="1">
      <x:c r="A153" s="61" t="n">
        <x:v>44866</x:v>
      </x:c>
      <x:c r="B153" s="32" t="str">
        <x:v>Servicios públicos y transporte: agua y transporte en GBA</x:v>
      </x:c>
      <x:c r="C153" s="32" t="str">
        <x:v>Alimentación, comercios y servicios</x:v>
      </x:c>
      <x:c r="D153" s="62" t="n">
        <x:v>30</x:v>
      </x:c>
      <x:c r="E153" s="2" t="str">
        <x:v>Completo</x:v>
      </x:c>
      <x:c r="F153" s="56" t="n">
        <x:v>86.6111388888889</x:v>
      </x:c>
      <x:c r="G153" s="56" t="str">
        <x:f>"n.a."</x:f>
        <x:v>n.a.</x:v>
      </x:c>
      <x:c r="H153" s="57" t="str">
        <x:f>IF(ISNUMBER(G153),IF(G153=0,"n.a.",F153/G153-1),"n.a.")</x:f>
        <x:v>n.a.</x:v>
      </x:c>
      <x:c r="I153" s="58" t="n">
        <x:f>F153/J153</x:f>
        <x:v>0.20353130486710694</x:v>
      </x:c>
      <x:c r="J153" s="56" t="n">
        <x:v>425.54209999999995</x:v>
      </x:c>
    </x:row>
    <x:row r="154" ht="65" customHeight="1">
      <x:c r="A154" s="61" t="n">
        <x:v>44866</x:v>
      </x:c>
      <x:c r="B154" s="32" t="str">
        <x:v>Industria automotriz</x:v>
      </x:c>
      <x:c r="C154" s="32" t="str">
        <x:v>Industrias sin Aluar</x:v>
      </x:c>
      <x:c r="D154" s="62" t="n">
        <x:v>30</x:v>
      </x:c>
      <x:c r="E154" s="2" t="str">
        <x:v>Completo</x:v>
      </x:c>
      <x:c r="F154" s="56" t="n">
        <x:v>42.028394444444444</x:v>
      </x:c>
      <x:c r="G154" s="56" t="str">
        <x:f>"n.a."</x:f>
        <x:v>n.a.</x:v>
      </x:c>
      <x:c r="H154" s="57" t="str">
        <x:f>IF(ISNUMBER(G154),IF(G154=0,"n.a.",F154/G154-1),"n.a.")</x:f>
        <x:v>n.a.</x:v>
      </x:c>
      <x:c r="I154" s="58" t="n">
        <x:f>F154/J154</x:f>
        <x:v>0.03156583927692623</x:v>
      </x:c>
      <x:c r="J154" s="56" t="n">
        <x:v>1331.4518291666668</x:v>
      </x:c>
    </x:row>
    <x:row r="155" ht="65" customHeight="1">
      <x:c r="A155" s="61" t="n">
        <x:v>44866</x:v>
      </x:c>
      <x:c r="B155" s="32" t="str">
        <x:v>Derivados de petróleo</x:v>
      </x:c>
      <x:c r="C155" s="32" t="str">
        <x:v>Industrias sin Aluar</x:v>
      </x:c>
      <x:c r="D155" s="62" t="n">
        <x:v>30</x:v>
      </x:c>
      <x:c r="E155" s="2" t="str">
        <x:v>Completo</x:v>
      </x:c>
      <x:c r="F155" s="56" t="n">
        <x:v>162.29210972222225</x:v>
      </x:c>
      <x:c r="G155" s="56" t="str">
        <x:f>"n.a."</x:f>
        <x:v>n.a.</x:v>
      </x:c>
      <x:c r="H155" s="57" t="str">
        <x:f>IF(ISNUMBER(G155),IF(G155=0,"n.a.",F155/G155-1),"n.a.")</x:f>
        <x:v>n.a.</x:v>
      </x:c>
      <x:c r="I155" s="58" t="n">
        <x:f>F155/J155</x:f>
        <x:v>0.12189108623163493</x:v>
      </x:c>
      <x:c r="J155" s="56" t="n">
        <x:v>1331.4518291666668</x:v>
      </x:c>
    </x:row>
    <x:row r="156" ht="65" customHeight="1">
      <x:c r="A156" s="61" t="n">
        <x:v>44866</x:v>
      </x:c>
      <x:c r="B156" s="32" t="str">
        <x:v>Construcción: elaboración de cemento y canteras</x:v>
      </x:c>
      <x:c r="C156" s="32" t="str">
        <x:v>Industrias sin Aluar</x:v>
      </x:c>
      <x:c r="D156" s="62" t="n">
        <x:v>30</x:v>
      </x:c>
      <x:c r="E156" s="2" t="str">
        <x:v>Completo</x:v>
      </x:c>
      <x:c r="F156" s="56" t="n">
        <x:v>184.2408125</x:v>
      </x:c>
      <x:c r="G156" s="56" t="str">
        <x:f>"n.a."</x:f>
        <x:v>n.a.</x:v>
      </x:c>
      <x:c r="H156" s="57" t="str">
        <x:f>IF(ISNUMBER(G156),IF(G156=0,"n.a.",F156/G156-1),"n.a.")</x:f>
        <x:v>n.a.</x:v>
      </x:c>
      <x:c r="I156" s="58" t="n">
        <x:f>F156/J156</x:f>
        <x:v>0.1383758754646897</x:v>
      </x:c>
      <x:c r="J156" s="56" t="n">
        <x:v>1331.4518291666668</x:v>
      </x:c>
    </x:row>
    <x:row r="157" ht="65" customHeight="1">
      <x:c r="A157" s="61" t="n">
        <x:v>44866</x:v>
      </x:c>
      <x:c r="B157" s="32" t="str">
        <x:v>Madera y papel</x:v>
      </x:c>
      <x:c r="C157" s="32" t="str">
        <x:v>Industrias sin Aluar</x:v>
      </x:c>
      <x:c r="D157" s="62" t="n">
        <x:v>30</x:v>
      </x:c>
      <x:c r="E157" s="2" t="str">
        <x:v>Completo</x:v>
      </x:c>
      <x:c r="F157" s="56" t="n">
        <x:v>110.09355416666666</x:v>
      </x:c>
      <x:c r="G157" s="56" t="str">
        <x:f>"n.a."</x:f>
        <x:v>n.a.</x:v>
      </x:c>
      <x:c r="H157" s="57" t="str">
        <x:f>IF(ISNUMBER(G157),IF(G157=0,"n.a.",F157/G157-1),"n.a.")</x:f>
        <x:v>n.a.</x:v>
      </x:c>
      <x:c r="I157" s="58" t="n">
        <x:f>F157/J157</x:f>
        <x:v>0.0826868473608785</x:v>
      </x:c>
      <x:c r="J157" s="56" t="n">
        <x:v>1331.4518291666668</x:v>
      </x:c>
    </x:row>
    <x:row r="158" ht="65" customHeight="1">
      <x:c r="A158" s="61" t="n">
        <x:v>44866</x:v>
      </x:c>
      <x:c r="B158" s="32" t="str">
        <x:v>Productos metálicos no automotores</x:v>
      </x:c>
      <x:c r="C158" s="32" t="str">
        <x:v>Industrias sin Aluar</x:v>
      </x:c>
      <x:c r="D158" s="62" t="n">
        <x:v>30</x:v>
      </x:c>
      <x:c r="E158" s="2" t="str">
        <x:v>Completo</x:v>
      </x:c>
      <x:c r="F158" s="56" t="n">
        <x:v>54.11564722222222</x:v>
      </x:c>
      <x:c r="G158" s="56" t="str">
        <x:f>"n.a."</x:f>
        <x:v>n.a.</x:v>
      </x:c>
      <x:c r="H158" s="57" t="str">
        <x:f>IF(ISNUMBER(G158),IF(G158=0,"n.a.",F158/G158-1),"n.a.")</x:f>
        <x:v>n.a.</x:v>
      </x:c>
      <x:c r="I158" s="58" t="n">
        <x:f>F158/J158</x:f>
        <x:v>0.04064408943438253</x:v>
      </x:c>
      <x:c r="J158" s="56" t="n">
        <x:v>1331.4518291666668</x:v>
      </x:c>
    </x:row>
    <x:row r="159" ht="65" customHeight="1">
      <x:c r="A159" s="61" t="n">
        <x:v>44866</x:v>
      </x:c>
      <x:c r="B159" s="32" t="str">
        <x:v>Gran siderurgia</x:v>
      </x:c>
      <x:c r="C159" s="32" t="str">
        <x:v>Industrias sin Aluar</x:v>
      </x:c>
      <x:c r="D159" s="62" t="n">
        <x:v>30</x:v>
      </x:c>
      <x:c r="E159" s="2" t="str">
        <x:v>Completo</x:v>
      </x:c>
      <x:c r="F159" s="56" t="n">
        <x:v>364.3673902777778</x:v>
      </x:c>
      <x:c r="G159" s="56" t="str">
        <x:f>"n.a."</x:f>
        <x:v>n.a.</x:v>
      </x:c>
      <x:c r="H159" s="57" t="str">
        <x:f>IF(ISNUMBER(G159),IF(G159=0,"n.a.",F159/G159-1),"n.a.")</x:f>
        <x:v>n.a.</x:v>
      </x:c>
      <x:c r="I159" s="58" t="n">
        <x:f>F159/J159</x:f>
        <x:v>0.2736617144503299</x:v>
      </x:c>
      <x:c r="J159" s="56" t="n">
        <x:v>1331.4518291666668</x:v>
      </x:c>
    </x:row>
    <x:row r="160" ht="65" customHeight="1">
      <x:c r="A160" s="61" t="n">
        <x:v>44866</x:v>
      </x:c>
      <x:c r="B160" s="32" t="str">
        <x:v>Industria textil</x:v>
      </x:c>
      <x:c r="C160" s="32" t="str">
        <x:v>Industrias sin Aluar</x:v>
      </x:c>
      <x:c r="D160" s="62" t="n">
        <x:v>30</x:v>
      </x:c>
      <x:c r="E160" s="2" t="str">
        <x:v>Completo</x:v>
      </x:c>
      <x:c r="F160" s="56" t="n">
        <x:v>65.30156111111111</x:v>
      </x:c>
      <x:c r="G160" s="56" t="str">
        <x:f>"n.a."</x:f>
        <x:v>n.a.</x:v>
      </x:c>
      <x:c r="H160" s="57" t="str">
        <x:f>IF(ISNUMBER(G160),IF(G160=0,"n.a.",F160/G160-1),"n.a.")</x:f>
        <x:v>n.a.</x:v>
      </x:c>
      <x:c r="I160" s="58" t="n">
        <x:f>F160/J160</x:f>
        <x:v>0.04904538014866242</x:v>
      </x:c>
      <x:c r="J160" s="56" t="n">
        <x:v>1331.4518291666668</x:v>
      </x:c>
    </x:row>
    <x:row r="161" ht="65" customHeight="1">
      <x:c r="A161" s="61" t="n">
        <x:v>44866</x:v>
      </x:c>
      <x:c r="B161" s="32" t="str">
        <x:v>Químicas, caucho, plástico y otros minerales no metálicos</x:v>
      </x:c>
      <x:c r="C161" s="32" t="str">
        <x:v>Industrias sin Aluar</x:v>
      </x:c>
      <x:c r="D161" s="62" t="n">
        <x:v>30</x:v>
      </x:c>
      <x:c r="E161" s="2" t="str">
        <x:v>Completo</x:v>
      </x:c>
      <x:c r="F161" s="56" t="n">
        <x:v>349.0123597222222</x:v>
      </x:c>
      <x:c r="G161" s="56" t="str">
        <x:f>"n.a."</x:f>
        <x:v>n.a.</x:v>
      </x:c>
      <x:c r="H161" s="57" t="str">
        <x:f>IF(ISNUMBER(G161),IF(G161=0,"n.a.",F161/G161-1),"n.a.")</x:f>
        <x:v>n.a.</x:v>
      </x:c>
      <x:c r="I161" s="58" t="n">
        <x:f>F161/J161</x:f>
        <x:v>0.26212916763249566</x:v>
      </x:c>
      <x:c r="J161" s="56" t="n">
        <x:v>1331.4518291666668</x:v>
      </x:c>
    </x:row>
    <x:row r="162" ht="65" customHeight="1">
      <x:c r="A162" s="61" t="n">
        <x:v>44866</x:v>
      </x:c>
      <x:c r="B162" s="32" t="str">
        <x:v>Extracción de minerales</x:v>
      </x:c>
      <x:c r="C162" s="32" t="str">
        <x:v>Petróleos y minerales</x:v>
      </x:c>
      <x:c r="D162" s="62" t="n">
        <x:v>30</x:v>
      </x:c>
      <x:c r="E162" s="2" t="str">
        <x:v>Completo</x:v>
      </x:c>
      <x:c r="F162" s="56" t="n">
        <x:v>19.485816666666665</x:v>
      </x:c>
      <x:c r="G162" s="56" t="str">
        <x:f>"n.a."</x:f>
        <x:v>n.a.</x:v>
      </x:c>
      <x:c r="H162" s="57" t="str">
        <x:f>IF(ISNUMBER(G162),IF(G162=0,"n.a.",F162/G162-1),"n.a.")</x:f>
        <x:v>n.a.</x:v>
      </x:c>
      <x:c r="I162" s="58" t="n">
        <x:f>F162/J162</x:f>
        <x:v>0.11459956851752802</x:v>
      </x:c>
      <x:c r="J162" s="56" t="n">
        <x:v>170.03394444444444</x:v>
      </x:c>
    </x:row>
    <x:row r="163" ht="65" customHeight="1">
      <x:c r="A163" s="61" t="n">
        <x:v>44866</x:v>
      </x:c>
      <x:c r="B163" s="32" t="str">
        <x:v>Extracción de petróleo</x:v>
      </x:c>
      <x:c r="C163" s="32" t="str">
        <x:v>Petróleos y minerales</x:v>
      </x:c>
      <x:c r="D163" s="62" t="n">
        <x:v>30</x:v>
      </x:c>
      <x:c r="E163" s="2" t="str">
        <x:v>Completo</x:v>
      </x:c>
      <x:c r="F163" s="56" t="n">
        <x:v>150.54812777777778</x:v>
      </x:c>
      <x:c r="G163" s="56" t="str">
        <x:f>"n.a."</x:f>
        <x:v>n.a.</x:v>
      </x:c>
      <x:c r="H163" s="57" t="str">
        <x:f>IF(ISNUMBER(G163),IF(G163=0,"n.a.",F163/G163-1),"n.a.")</x:f>
        <x:v>n.a.</x:v>
      </x:c>
      <x:c r="I163" s="58" t="n">
        <x:f>F163/J163</x:f>
        <x:v>0.8854004314824719</x:v>
      </x:c>
      <x:c r="J163" s="56" t="n">
        <x:v>170.03394444444444</x:v>
      </x:c>
    </x:row>
    <x:row r="164" ht="65" customHeight="1">
      <x:c r="A164" s="61" t="n">
        <x:v>44896</x:v>
      </x:c>
      <x:c r="B164" s="32" t="str">
        <x:v>Cargas y puertos</x:v>
      </x:c>
      <x:c r="C164" s="32" t="str">
        <x:v>Alimentación, comercios y servicios</x:v>
      </x:c>
      <x:c r="D164" s="62" t="n">
        <x:v>31</x:v>
      </x:c>
      <x:c r="E164" s="2" t="str">
        <x:v>Completo</x:v>
      </x:c>
      <x:c r="F164" s="56" t="n">
        <x:v>9.232108870967743</x:v>
      </x:c>
      <x:c r="G164" s="56" t="str">
        <x:f>"n.a."</x:f>
        <x:v>n.a.</x:v>
      </x:c>
      <x:c r="H164" s="57" t="str">
        <x:f>IF(ISNUMBER(G164),IF(G164=0,"n.a.",F164/G164-1),"n.a.")</x:f>
        <x:v>n.a.</x:v>
      </x:c>
      <x:c r="I164" s="58" t="n">
        <x:f>F164/J164</x:f>
        <x:v>0.023481218319837464</x:v>
      </x:c>
      <x:c r="J164" s="56" t="n">
        <x:v>393.1699260752688</x:v>
      </x:c>
    </x:row>
    <x:row r="165" ht="65" customHeight="1">
      <x:c r="A165" s="61" t="n">
        <x:v>44896</x:v>
      </x:c>
      <x:c r="B165" s="32" t="str">
        <x:v>Comercio y servicios: principalmente supermercados y centros comerciales</x:v>
      </x:c>
      <x:c r="C165" s="32" t="str">
        <x:v>Alimentación, comercios y servicios</x:v>
      </x:c>
      <x:c r="D165" s="62" t="n">
        <x:v>31</x:v>
      </x:c>
      <x:c r="E165" s="2" t="str">
        <x:v>Completo</x:v>
      </x:c>
      <x:c r="F165" s="56" t="n">
        <x:v>38.40540188172044</x:v>
      </x:c>
      <x:c r="G165" s="56" t="str">
        <x:f>"n.a."</x:f>
        <x:v>n.a.</x:v>
      </x:c>
      <x:c r="H165" s="57" t="str">
        <x:f>IF(ISNUMBER(G165),IF(G165=0,"n.a.",F165/G165-1),"n.a.")</x:f>
        <x:v>n.a.</x:v>
      </x:c>
      <x:c r="I165" s="58" t="n">
        <x:f>F165/J165</x:f>
        <x:v>0.09768143322937695</x:v>
      </x:c>
      <x:c r="J165" s="56" t="n">
        <x:v>393.1699260752688</x:v>
      </x:c>
    </x:row>
    <x:row r="166" ht="65" customHeight="1">
      <x:c r="A166" s="61" t="n">
        <x:v>44896</x:v>
      </x:c>
      <x:c r="B166" s="32" t="str">
        <x:v>Alimentación y artículos de consumo masivo</x:v>
      </x:c>
      <x:c r="C166" s="32" t="str">
        <x:v>Alimentación, comercios y servicios</x:v>
      </x:c>
      <x:c r="D166" s="62" t="n">
        <x:v>31</x:v>
      </x:c>
      <x:c r="E166" s="2" t="str">
        <x:v>Completo</x:v>
      </x:c>
      <x:c r="F166" s="56" t="n">
        <x:v>257.60786693548386</x:v>
      </x:c>
      <x:c r="G166" s="56" t="str">
        <x:f>"n.a."</x:f>
        <x:v>n.a.</x:v>
      </x:c>
      <x:c r="H166" s="57" t="str">
        <x:f>IF(ISNUMBER(G166),IF(G166=0,"n.a.",F166/G166-1),"n.a.")</x:f>
        <x:v>n.a.</x:v>
      </x:c>
      <x:c r="I166" s="58" t="n">
        <x:f>F166/J166</x:f>
        <x:v>0.6552074557354806</x:v>
      </x:c>
      <x:c r="J166" s="56" t="n">
        <x:v>393.1699260752688</x:v>
      </x:c>
    </x:row>
    <x:row r="167" ht="65" customHeight="1">
      <x:c r="A167" s="61" t="n">
        <x:v>44896</x:v>
      </x:c>
      <x:c r="B167" s="32" t="str">
        <x:v>Servicios públicos y transporte: agua y transporte en GBA</x:v>
      </x:c>
      <x:c r="C167" s="32" t="str">
        <x:v>Alimentación, comercios y servicios</x:v>
      </x:c>
      <x:c r="D167" s="62" t="n">
        <x:v>31</x:v>
      </x:c>
      <x:c r="E167" s="2" t="str">
        <x:v>Completo</x:v>
      </x:c>
      <x:c r="F167" s="56" t="n">
        <x:v>87.92454838709678</x:v>
      </x:c>
      <x:c r="G167" s="56" t="str">
        <x:f>"n.a."</x:f>
        <x:v>n.a.</x:v>
      </x:c>
      <x:c r="H167" s="57" t="str">
        <x:f>IF(ISNUMBER(G167),IF(G167=0,"n.a.",F167/G167-1),"n.a.")</x:f>
        <x:v>n.a.</x:v>
      </x:c>
      <x:c r="I167" s="58" t="n">
        <x:f>F167/J167</x:f>
        <x:v>0.22362989271530506</x:v>
      </x:c>
      <x:c r="J167" s="56" t="n">
        <x:v>393.1699260752688</x:v>
      </x:c>
    </x:row>
    <x:row r="168" ht="65" customHeight="1">
      <x:c r="A168" s="61" t="n">
        <x:v>44896</x:v>
      </x:c>
      <x:c r="B168" s="32" t="str">
        <x:v>Industria automotriz</x:v>
      </x:c>
      <x:c r="C168" s="32" t="str">
        <x:v>Industrias sin Aluar</x:v>
      </x:c>
      <x:c r="D168" s="62" t="n">
        <x:v>31</x:v>
      </x:c>
      <x:c r="E168" s="2" t="str">
        <x:v>Completo</x:v>
      </x:c>
      <x:c r="F168" s="56" t="n">
        <x:v>36.612905913978494</x:v>
      </x:c>
      <x:c r="G168" s="56" t="str">
        <x:f>"n.a."</x:f>
        <x:v>n.a.</x:v>
      </x:c>
      <x:c r="H168" s="57" t="str">
        <x:f>IF(ISNUMBER(G168),IF(G168=0,"n.a.",F168/G168-1),"n.a.")</x:f>
        <x:v>n.a.</x:v>
      </x:c>
      <x:c r="I168" s="58" t="n">
        <x:f>F168/J168</x:f>
        <x:v>0.02997033836709774</x:v>
      </x:c>
      <x:c r="J168" s="56" t="n">
        <x:v>1221.638056451613</x:v>
      </x:c>
    </x:row>
    <x:row r="169" ht="65" customHeight="1">
      <x:c r="A169" s="61" t="n">
        <x:v>44896</x:v>
      </x:c>
      <x:c r="B169" s="32" t="str">
        <x:v>Derivados de petróleo</x:v>
      </x:c>
      <x:c r="C169" s="32" t="str">
        <x:v>Industrias sin Aluar</x:v>
      </x:c>
      <x:c r="D169" s="62" t="n">
        <x:v>31</x:v>
      </x:c>
      <x:c r="E169" s="2" t="str">
        <x:v>Completo</x:v>
      </x:c>
      <x:c r="F169" s="56" t="n">
        <x:v>167.18915456989248</x:v>
      </x:c>
      <x:c r="G169" s="56" t="str">
        <x:f>"n.a."</x:f>
        <x:v>n.a.</x:v>
      </x:c>
      <x:c r="H169" s="57" t="str">
        <x:f>IF(ISNUMBER(G169),IF(G169=0,"n.a.",F169/G169-1),"n.a.")</x:f>
        <x:v>n.a.</x:v>
      </x:c>
      <x:c r="I169" s="58" t="n">
        <x:f>F169/J169</x:f>
        <x:v>0.13685653757014776</x:v>
      </x:c>
      <x:c r="J169" s="56" t="n">
        <x:v>1221.638056451613</x:v>
      </x:c>
    </x:row>
    <x:row r="170" ht="65" customHeight="1">
      <x:c r="A170" s="61" t="n">
        <x:v>44896</x:v>
      </x:c>
      <x:c r="B170" s="32" t="str">
        <x:v>Construcción: elaboración de cemento y canteras</x:v>
      </x:c>
      <x:c r="C170" s="32" t="str">
        <x:v>Industrias sin Aluar</x:v>
      </x:c>
      <x:c r="D170" s="62" t="n">
        <x:v>31</x:v>
      </x:c>
      <x:c r="E170" s="2" t="str">
        <x:v>Completo</x:v>
      </x:c>
      <x:c r="F170" s="56" t="n">
        <x:v>177.185125</x:v>
      </x:c>
      <x:c r="G170" s="56" t="str">
        <x:f>"n.a."</x:f>
        <x:v>n.a.</x:v>
      </x:c>
      <x:c r="H170" s="57" t="str">
        <x:f>IF(ISNUMBER(G170),IF(G170=0,"n.a.",F170/G170-1),"n.a.")</x:f>
        <x:v>n.a.</x:v>
      </x:c>
      <x:c r="I170" s="58" t="n">
        <x:f>F170/J170</x:f>
        <x:v>0.14503896965575416</x:v>
      </x:c>
      <x:c r="J170" s="56" t="n">
        <x:v>1221.638056451613</x:v>
      </x:c>
    </x:row>
    <x:row r="171" ht="65" customHeight="1">
      <x:c r="A171" s="61" t="n">
        <x:v>44896</x:v>
      </x:c>
      <x:c r="B171" s="32" t="str">
        <x:v>Madera y papel</x:v>
      </x:c>
      <x:c r="C171" s="32" t="str">
        <x:v>Industrias sin Aluar</x:v>
      </x:c>
      <x:c r="D171" s="62" t="n">
        <x:v>31</x:v>
      </x:c>
      <x:c r="E171" s="2" t="str">
        <x:v>Completo</x:v>
      </x:c>
      <x:c r="F171" s="56" t="n">
        <x:v>104.11995161290322</x:v>
      </x:c>
      <x:c r="G171" s="56" t="str">
        <x:f>"n.a."</x:f>
        <x:v>n.a.</x:v>
      </x:c>
      <x:c r="H171" s="57" t="str">
        <x:f>IF(ISNUMBER(G171),IF(G171=0,"n.a.",F171/G171-1),"n.a.")</x:f>
        <x:v>n.a.</x:v>
      </x:c>
      <x:c r="I171" s="58" t="n">
        <x:f>F171/J171</x:f>
        <x:v>0.08522978722137348</x:v>
      </x:c>
      <x:c r="J171" s="56" t="n">
        <x:v>1221.638056451613</x:v>
      </x:c>
    </x:row>
    <x:row r="172" ht="65" customHeight="1">
      <x:c r="A172" s="61" t="n">
        <x:v>44896</x:v>
      </x:c>
      <x:c r="B172" s="32" t="str">
        <x:v>Productos metálicos no automotores</x:v>
      </x:c>
      <x:c r="C172" s="32" t="str">
        <x:v>Industrias sin Aluar</x:v>
      </x:c>
      <x:c r="D172" s="62" t="n">
        <x:v>31</x:v>
      </x:c>
      <x:c r="E172" s="2" t="str">
        <x:v>Completo</x:v>
      </x:c>
      <x:c r="F172" s="56" t="n">
        <x:v>45.46657795698925</x:v>
      </x:c>
      <x:c r="G172" s="56" t="str">
        <x:f>"n.a."</x:f>
        <x:v>n.a.</x:v>
      </x:c>
      <x:c r="H172" s="57" t="str">
        <x:f>IF(ISNUMBER(G172),IF(G172=0,"n.a.",F172/G172-1),"n.a.")</x:f>
        <x:v>n.a.</x:v>
      </x:c>
      <x:c r="I172" s="58" t="n">
        <x:f>F172/J172</x:f>
        <x:v>0.03721771576849211</x:v>
      </x:c>
      <x:c r="J172" s="56" t="n">
        <x:v>1221.638056451613</x:v>
      </x:c>
    </x:row>
    <x:row r="173" ht="65" customHeight="1">
      <x:c r="A173" s="61" t="n">
        <x:v>44896</x:v>
      </x:c>
      <x:c r="B173" s="32" t="str">
        <x:v>Gran siderurgia</x:v>
      </x:c>
      <x:c r="C173" s="32" t="str">
        <x:v>Industrias sin Aluar</x:v>
      </x:c>
      <x:c r="D173" s="62" t="n">
        <x:v>31</x:v>
      </x:c>
      <x:c r="E173" s="2" t="str">
        <x:v>Completo</x:v>
      </x:c>
      <x:c r="F173" s="56" t="n">
        <x:v>317.68285618279566</x:v>
      </x:c>
      <x:c r="G173" s="56" t="str">
        <x:f>"n.a."</x:f>
        <x:v>n.a.</x:v>
      </x:c>
      <x:c r="H173" s="57" t="str">
        <x:f>IF(ISNUMBER(G173),IF(G173=0,"n.a.",F173/G173-1),"n.a.")</x:f>
        <x:v>n.a.</x:v>
      </x:c>
      <x:c r="I173" s="58" t="n">
        <x:f>F173/J173</x:f>
        <x:v>0.260046627153661</x:v>
      </x:c>
      <x:c r="J173" s="56" t="n">
        <x:v>1221.638056451613</x:v>
      </x:c>
    </x:row>
    <x:row r="174" ht="65" customHeight="1">
      <x:c r="A174" s="61" t="n">
        <x:v>44896</x:v>
      </x:c>
      <x:c r="B174" s="32" t="str">
        <x:v>Industria textil</x:v>
      </x:c>
      <x:c r="C174" s="32" t="str">
        <x:v>Industrias sin Aluar</x:v>
      </x:c>
      <x:c r="D174" s="62" t="n">
        <x:v>31</x:v>
      </x:c>
      <x:c r="E174" s="2" t="str">
        <x:v>Completo</x:v>
      </x:c>
      <x:c r="F174" s="56" t="n">
        <x:v>48.548680107526884</x:v>
      </x:c>
      <x:c r="G174" s="56" t="str">
        <x:f>"n.a."</x:f>
        <x:v>n.a.</x:v>
      </x:c>
      <x:c r="H174" s="57" t="str">
        <x:f>IF(ISNUMBER(G174),IF(G174=0,"n.a.",F174/G174-1),"n.a.")</x:f>
        <x:v>n.a.</x:v>
      </x:c>
      <x:c r="I174" s="58" t="n">
        <x:f>F174/J174</x:f>
        <x:v>0.03974064155183742</x:v>
      </x:c>
      <x:c r="J174" s="56" t="n">
        <x:v>1221.638056451613</x:v>
      </x:c>
    </x:row>
    <x:row r="175" ht="65" customHeight="1">
      <x:c r="A175" s="61" t="n">
        <x:v>44896</x:v>
      </x:c>
      <x:c r="B175" s="32" t="str">
        <x:v>Químicas, caucho, plástico y otros minerales no metálicos</x:v>
      </x:c>
      <x:c r="C175" s="32" t="str">
        <x:v>Industrias sin Aluar</x:v>
      </x:c>
      <x:c r="D175" s="62" t="n">
        <x:v>31</x:v>
      </x:c>
      <x:c r="E175" s="2" t="str">
        <x:v>Completo</x:v>
      </x:c>
      <x:c r="F175" s="56" t="n">
        <x:v>324.8328051075269</x:v>
      </x:c>
      <x:c r="G175" s="56" t="str">
        <x:f>"n.a."</x:f>
        <x:v>n.a.</x:v>
      </x:c>
      <x:c r="H175" s="57" t="str">
        <x:f>IF(ISNUMBER(G175),IF(G175=0,"n.a.",F175/G175-1),"n.a.")</x:f>
        <x:v>n.a.</x:v>
      </x:c>
      <x:c r="I175" s="58" t="n">
        <x:f>F175/J175</x:f>
        <x:v>0.2658993827116362</x:v>
      </x:c>
      <x:c r="J175" s="56" t="n">
        <x:v>1221.638056451613</x:v>
      </x:c>
    </x:row>
    <x:row r="176" ht="65" customHeight="1">
      <x:c r="A176" s="61" t="n">
        <x:v>44896</x:v>
      </x:c>
      <x:c r="B176" s="32" t="str">
        <x:v>Extracción de minerales</x:v>
      </x:c>
      <x:c r="C176" s="32" t="str">
        <x:v>Petróleos y minerales</x:v>
      </x:c>
      <x:c r="D176" s="62" t="n">
        <x:v>31</x:v>
      </x:c>
      <x:c r="E176" s="2" t="str">
        <x:v>Completo</x:v>
      </x:c>
      <x:c r="F176" s="56" t="n">
        <x:v>18.08874193548387</x:v>
      </x:c>
      <x:c r="G176" s="56" t="str">
        <x:f>"n.a."</x:f>
        <x:v>n.a.</x:v>
      </x:c>
      <x:c r="H176" s="57" t="str">
        <x:f>IF(ISNUMBER(G176),IF(G176=0,"n.a.",F176/G176-1),"n.a.")</x:f>
        <x:v>n.a.</x:v>
      </x:c>
      <x:c r="I176" s="58" t="n">
        <x:f>F176/J176</x:f>
        <x:v>0.10778840304413194</x:v>
      </x:c>
      <x:c r="J176" s="56" t="n">
        <x:v>167.81714381720428</x:v>
      </x:c>
    </x:row>
    <x:row r="177" ht="65" customHeight="1">
      <x:c r="A177" s="61" t="n">
        <x:v>44896</x:v>
      </x:c>
      <x:c r="B177" s="32" t="str">
        <x:v>Extracción de petróleo</x:v>
      </x:c>
      <x:c r="C177" s="32" t="str">
        <x:v>Petróleos y minerales</x:v>
      </x:c>
      <x:c r="D177" s="62" t="n">
        <x:v>31</x:v>
      </x:c>
      <x:c r="E177" s="2" t="str">
        <x:v>Completo</x:v>
      </x:c>
      <x:c r="F177" s="56" t="n">
        <x:v>149.72840188172043</x:v>
      </x:c>
      <x:c r="G177" s="56" t="str">
        <x:f>"n.a."</x:f>
        <x:v>n.a.</x:v>
      </x:c>
      <x:c r="H177" s="57" t="str">
        <x:f>IF(ISNUMBER(G177),IF(G177=0,"n.a.",F177/G177-1),"n.a.")</x:f>
        <x:v>n.a.</x:v>
      </x:c>
      <x:c r="I177" s="58" t="n">
        <x:f>F177/J177</x:f>
        <x:v>0.8922115969558682</x:v>
      </x:c>
      <x:c r="J177" s="56" t="n">
        <x:v>167.81714381720428</x:v>
      </x:c>
    </x:row>
    <x:row r="178" ht="65" customHeight="1">
      <x:c r="A178" s="61" t="n">
        <x:v>44927</x:v>
      </x:c>
      <x:c r="B178" s="32" t="str">
        <x:v>Cargas y puertos</x:v>
      </x:c>
      <x:c r="C178" s="32" t="str">
        <x:v>Alimentación, comercios y servicios</x:v>
      </x:c>
      <x:c r="D178" s="62" t="n">
        <x:v>31</x:v>
      </x:c>
      <x:c r="E178" s="2" t="str">
        <x:v>Completo</x:v>
      </x:c>
      <x:c r="F178" s="56" t="n">
        <x:v>9.867298387096774</x:v>
      </x:c>
      <x:c r="G178" s="56" t="n">
        <x:f>F10</x:f>
        <x:v>9.15655510752688</x:v>
      </x:c>
      <x:c r="H178" s="57" t="n">
        <x:f>IF(ISNUMBER(G178),IF(G178=0,"n.a.",F178/G178-1),"n.a.")</x:f>
        <x:v>0.07762125288643196</x:v>
      </x:c>
      <x:c r="I178" s="58" t="n">
        <x:f>F178/J178</x:f>
        <x:v>0.025082853997441288</x:v>
      </x:c>
      <x:c r="J178" s="56" t="n">
        <x:v>393.3881841397849</x:v>
      </x:c>
    </x:row>
    <x:row r="179" ht="65" customHeight="1">
      <x:c r="A179" s="61" t="n">
        <x:v>44927</x:v>
      </x:c>
      <x:c r="B179" s="32" t="str">
        <x:v>Comercio y servicios: principalmente supermercados y centros comerciales</x:v>
      </x:c>
      <x:c r="C179" s="32" t="str">
        <x:v>Alimentación, comercios y servicios</x:v>
      </x:c>
      <x:c r="D179" s="62" t="n">
        <x:v>31</x:v>
      </x:c>
      <x:c r="E179" s="2" t="str">
        <x:v>Completo</x:v>
      </x:c>
      <x:c r="F179" s="56" t="n">
        <x:v>39.40074462365592</x:v>
      </x:c>
      <x:c r="G179" s="56" t="n">
        <x:f>F11</x:f>
        <x:v>34.46153897849462</x:v>
      </x:c>
      <x:c r="H179" s="57" t="n">
        <x:f>IF(ISNUMBER(G179),IF(G179=0,"n.a.",F179/G179-1),"n.a.")</x:f>
        <x:v>0.14332516166046894</x:v>
      </x:c>
      <x:c r="I179" s="58" t="n">
        <x:f>F179/J179</x:f>
        <x:v>0.1001574175640604</x:v>
      </x:c>
      <x:c r="J179" s="56" t="n">
        <x:v>393.3881841397849</x:v>
      </x:c>
    </x:row>
    <x:row r="180" ht="65" customHeight="1">
      <x:c r="A180" s="61" t="n">
        <x:v>44927</x:v>
      </x:c>
      <x:c r="B180" s="32" t="str">
        <x:v>Alimentación y artículos de consumo masivo</x:v>
      </x:c>
      <x:c r="C180" s="32" t="str">
        <x:v>Alimentación, comercios y servicios</x:v>
      </x:c>
      <x:c r="D180" s="62" t="n">
        <x:v>31</x:v>
      </x:c>
      <x:c r="E180" s="2" t="str">
        <x:v>Completo</x:v>
      </x:c>
      <x:c r="F180" s="56" t="n">
        <x:v>253.06402956989245</x:v>
      </x:c>
      <x:c r="G180" s="56" t="n">
        <x:f>F12</x:f>
        <x:v>252.2577674731183</x:v>
      </x:c>
      <x:c r="H180" s="57" t="n">
        <x:f>IF(ISNUMBER(G180),IF(G180=0,"n.a.",F180/G180-1),"n.a.")</x:f>
        <x:v>0.00319618343114092</x:v>
      </x:c>
      <x:c r="I180" s="58" t="n">
        <x:f>F180/J180</x:f>
        <x:v>0.6432934179842315</x:v>
      </x:c>
      <x:c r="J180" s="56" t="n">
        <x:v>393.3881841397849</x:v>
      </x:c>
    </x:row>
    <x:row r="181" ht="65" customHeight="1">
      <x:c r="A181" s="61" t="n">
        <x:v>44927</x:v>
      </x:c>
      <x:c r="B181" s="32" t="str">
        <x:v>Servicios públicos y transporte: agua y transporte en GBA</x:v>
      </x:c>
      <x:c r="C181" s="32" t="str">
        <x:v>Alimentación, comercios y servicios</x:v>
      </x:c>
      <x:c r="D181" s="62" t="n">
        <x:v>31</x:v>
      </x:c>
      <x:c r="E181" s="2" t="str">
        <x:v>Completo</x:v>
      </x:c>
      <x:c r="F181" s="56" t="n">
        <x:v>91.0561115591398</x:v>
      </x:c>
      <x:c r="G181" s="56" t="n">
        <x:f>F13</x:f>
        <x:v>82.11238440860215</x:v>
      </x:c>
      <x:c r="H181" s="57" t="n">
        <x:f>IF(ISNUMBER(G181),IF(G181=0,"n.a.",F181/G181-1),"n.a.")</x:f>
        <x:v>0.1089205631398118</x:v>
      </x:c>
      <x:c r="I181" s="58" t="n">
        <x:f>F181/J181</x:f>
        <x:v>0.23146631045426697</x:v>
      </x:c>
      <x:c r="J181" s="56" t="n">
        <x:v>393.3881841397849</x:v>
      </x:c>
    </x:row>
    <x:row r="182" ht="65" customHeight="1">
      <x:c r="A182" s="61" t="n">
        <x:v>44927</x:v>
      </x:c>
      <x:c r="B182" s="32" t="str">
        <x:v>Industria automotriz</x:v>
      </x:c>
      <x:c r="C182" s="32" t="str">
        <x:v>Industrias sin Aluar</x:v>
      </x:c>
      <x:c r="D182" s="62" t="n">
        <x:v>31</x:v>
      </x:c>
      <x:c r="E182" s="2" t="str">
        <x:v>Completo</x:v>
      </x:c>
      <x:c r="F182" s="56" t="n">
        <x:v>30.346767473118277</x:v>
      </x:c>
      <x:c r="G182" s="56" t="n">
        <x:f>F14</x:f>
        <x:v>27.15961559139785</x:v>
      </x:c>
      <x:c r="H182" s="57" t="n">
        <x:f>IF(ISNUMBER(G182),IF(G182=0,"n.a.",F182/G182-1),"n.a.")</x:f>
        <x:v>0.11734893194621954</x:v>
      </x:c>
      <x:c r="I182" s="58" t="n">
        <x:f>F182/J182</x:f>
        <x:v>0.02523223794723126</x:v>
      </x:c>
      <x:c r="J182" s="56" t="n">
        <x:v>1202.6982123655914</x:v>
      </x:c>
    </x:row>
    <x:row r="183" ht="65" customHeight="1">
      <x:c r="A183" s="61" t="n">
        <x:v>44927</x:v>
      </x:c>
      <x:c r="B183" s="32" t="str">
        <x:v>Derivados de petróleo</x:v>
      </x:c>
      <x:c r="C183" s="32" t="str">
        <x:v>Industrias sin Aluar</x:v>
      </x:c>
      <x:c r="D183" s="62" t="n">
        <x:v>31</x:v>
      </x:c>
      <x:c r="E183" s="2" t="str">
        <x:v>Completo</x:v>
      </x:c>
      <x:c r="F183" s="56" t="n">
        <x:v>161.63064516129032</x:v>
      </x:c>
      <x:c r="G183" s="56" t="n">
        <x:f>F15</x:f>
        <x:v>166.43643279569895</x:v>
      </x:c>
      <x:c r="H183" s="57" t="n">
        <x:f>IF(ISNUMBER(G183),IF(G183=0,"n.a.",F183/G183-1),"n.a.")</x:f>
        <x:v>-0.02887461329039509</x:v>
      </x:c>
      <x:c r="I183" s="58" t="n">
        <x:f>F183/J183</x:f>
        <x:v>0.13439002694065574</x:v>
      </x:c>
      <x:c r="J183" s="56" t="n">
        <x:v>1202.6982123655914</x:v>
      </x:c>
    </x:row>
    <x:row r="184" ht="65" customHeight="1">
      <x:c r="A184" s="61" t="n">
        <x:v>44927</x:v>
      </x:c>
      <x:c r="B184" s="32" t="str">
        <x:v>Construcción: elaboración de cemento y canteras</x:v>
      </x:c>
      <x:c r="C184" s="32" t="str">
        <x:v>Industrias sin Aluar</x:v>
      </x:c>
      <x:c r="D184" s="62" t="n">
        <x:v>31</x:v>
      </x:c>
      <x:c r="E184" s="2" t="str">
        <x:v>Completo</x:v>
      </x:c>
      <x:c r="F184" s="56" t="n">
        <x:v>155.53374059139784</x:v>
      </x:c>
      <x:c r="G184" s="56" t="n">
        <x:f>F16</x:f>
        <x:v>169.1680806451613</x:v>
      </x:c>
      <x:c r="H184" s="57" t="n">
        <x:f>IF(ISNUMBER(G184),IF(G184=0,"n.a.",F184/G184-1),"n.a.")</x:f>
        <x:v>-0.08059641039707821</x:v>
      </x:c>
      <x:c r="I184" s="58" t="n">
        <x:f>F184/J184</x:f>
        <x:v>0.12932067163006583</x:v>
      </x:c>
      <x:c r="J184" s="56" t="n">
        <x:v>1202.6982123655914</x:v>
      </x:c>
    </x:row>
    <x:row r="185" ht="65" customHeight="1">
      <x:c r="A185" s="61" t="n">
        <x:v>44927</x:v>
      </x:c>
      <x:c r="B185" s="32" t="str">
        <x:v>Madera y papel</x:v>
      </x:c>
      <x:c r="C185" s="32" t="str">
        <x:v>Industrias sin Aluar</x:v>
      </x:c>
      <x:c r="D185" s="62" t="n">
        <x:v>31</x:v>
      </x:c>
      <x:c r="E185" s="2" t="str">
        <x:v>Completo</x:v>
      </x:c>
      <x:c r="F185" s="56" t="n">
        <x:v>109.55588844086022</x:v>
      </x:c>
      <x:c r="G185" s="56" t="n">
        <x:f>F17</x:f>
        <x:v>102.87712499999999</x:v>
      </x:c>
      <x:c r="H185" s="57" t="n">
        <x:f>IF(ISNUMBER(G185),IF(G185=0,"n.a.",F185/G185-1),"n.a.")</x:f>
        <x:v>0.06491981031604666</x:v>
      </x:c>
      <x:c r="I185" s="58" t="n">
        <x:f>F185/J185</x:f>
        <x:v>0.09109175295552685</x:v>
      </x:c>
      <x:c r="J185" s="56" t="n">
        <x:v>1202.6982123655914</x:v>
      </x:c>
    </x:row>
    <x:row r="186" ht="65" customHeight="1">
      <x:c r="A186" s="61" t="n">
        <x:v>44927</x:v>
      </x:c>
      <x:c r="B186" s="32" t="str">
        <x:v>Productos metálicos no automotores</x:v>
      </x:c>
      <x:c r="C186" s="32" t="str">
        <x:v>Industrias sin Aluar</x:v>
      </x:c>
      <x:c r="D186" s="62" t="n">
        <x:v>31</x:v>
      </x:c>
      <x:c r="E186" s="2" t="str">
        <x:v>Completo</x:v>
      </x:c>
      <x:c r="F186" s="56" t="n">
        <x:v>44.24393548387097</x:v>
      </x:c>
      <x:c r="G186" s="56" t="n">
        <x:f>F18</x:f>
        <x:v>54.45709274193548</x:v>
      </x:c>
      <x:c r="H186" s="57" t="n">
        <x:f>IF(ISNUMBER(G186),IF(G186=0,"n.a.",F186/G186-1),"n.a.")</x:f>
        <x:v>-0.18754503304947312</x:v>
      </x:c>
      <x:c r="I186" s="58" t="n">
        <x:f>F186/J186</x:f>
        <x:v>0.03678722977133841</x:v>
      </x:c>
      <x:c r="J186" s="56" t="n">
        <x:v>1202.6982123655914</x:v>
      </x:c>
    </x:row>
    <x:row r="187" ht="65" customHeight="1">
      <x:c r="A187" s="61" t="n">
        <x:v>44927</x:v>
      </x:c>
      <x:c r="B187" s="32" t="str">
        <x:v>Gran siderurgia</x:v>
      </x:c>
      <x:c r="C187" s="32" t="str">
        <x:v>Industrias sin Aluar</x:v>
      </x:c>
      <x:c r="D187" s="62" t="n">
        <x:v>31</x:v>
      </x:c>
      <x:c r="E187" s="2" t="str">
        <x:v>Completo</x:v>
      </x:c>
      <x:c r="F187" s="56" t="n">
        <x:v>335.34868951612907</x:v>
      </x:c>
      <x:c r="G187" s="56" t="n">
        <x:f>F19</x:f>
        <x:v>255.77257258064515</x:v>
      </x:c>
      <x:c r="H187" s="57" t="n">
        <x:f>IF(ISNUMBER(G187),IF(G187=0,"n.a.",F187/G187-1),"n.a.")</x:f>
        <x:v>0.31112060270025066</x:v>
      </x:c>
      <x:c r="I187" s="58" t="n">
        <x:f>F187/J187</x:f>
        <x:v>0.27883028848652774</x:v>
      </x:c>
      <x:c r="J187" s="56" t="n">
        <x:v>1202.6982123655914</x:v>
      </x:c>
    </x:row>
    <x:row r="188" ht="65" customHeight="1">
      <x:c r="A188" s="61" t="n">
        <x:v>44927</x:v>
      </x:c>
      <x:c r="B188" s="32" t="str">
        <x:v>Industria textil</x:v>
      </x:c>
      <x:c r="C188" s="32" t="str">
        <x:v>Industrias sin Aluar</x:v>
      </x:c>
      <x:c r="D188" s="62" t="n">
        <x:v>31</x:v>
      </x:c>
      <x:c r="E188" s="2" t="str">
        <x:v>Completo</x:v>
      </x:c>
      <x:c r="F188" s="56" t="n">
        <x:v>43.68027688172043</x:v>
      </x:c>
      <x:c r="G188" s="56" t="n">
        <x:f>F20</x:f>
        <x:v>47.675805107526884</x:v>
      </x:c>
      <x:c r="H188" s="57" t="n">
        <x:f>IF(ISNUMBER(G188),IF(G188=0,"n.a.",F188/G188-1),"n.a.")</x:f>
        <x:v>-0.08380620351968959</x:v>
      </x:c>
      <x:c r="I188" s="58" t="n">
        <x:f>F188/J188</x:f>
        <x:v>0.03631856806023311</x:v>
      </x:c>
      <x:c r="J188" s="56" t="n">
        <x:v>1202.6982123655914</x:v>
      </x:c>
    </x:row>
    <x:row r="189" ht="65" customHeight="1">
      <x:c r="A189" s="61" t="n">
        <x:v>44927</x:v>
      </x:c>
      <x:c r="B189" s="32" t="str">
        <x:v>Químicas, caucho, plástico y otros minerales no metálicos</x:v>
      </x:c>
      <x:c r="C189" s="32" t="str">
        <x:v>Industrias sin Aluar</x:v>
      </x:c>
      <x:c r="D189" s="62" t="n">
        <x:v>31</x:v>
      </x:c>
      <x:c r="E189" s="2" t="str">
        <x:v>Completo</x:v>
      </x:c>
      <x:c r="F189" s="56" t="n">
        <x:v>322.3582688172043</x:v>
      </x:c>
      <x:c r="G189" s="56" t="n">
        <x:f>F21</x:f>
        <x:v>327.0321008064516</x:v>
      </x:c>
      <x:c r="H189" s="57" t="n">
        <x:f>IF(ISNUMBER(G189),IF(G189=0,"n.a.",F189/G189-1),"n.a.")</x:f>
        <x:v>-0.014291661209164919</x:v>
      </x:c>
      <x:c r="I189" s="58" t="n">
        <x:f>F189/J189</x:f>
        <x:v>0.26802922420842107</x:v>
      </x:c>
      <x:c r="J189" s="56" t="n">
        <x:v>1202.6982123655914</x:v>
      </x:c>
    </x:row>
    <x:row r="190" ht="65" customHeight="1">
      <x:c r="A190" s="61" t="n">
        <x:v>44927</x:v>
      </x:c>
      <x:c r="B190" s="32" t="str">
        <x:v>Extracción de minerales</x:v>
      </x:c>
      <x:c r="C190" s="32" t="str">
        <x:v>Petróleos y minerales</x:v>
      </x:c>
      <x:c r="D190" s="62" t="n">
        <x:v>31</x:v>
      </x:c>
      <x:c r="E190" s="2" t="str">
        <x:v>Completo</x:v>
      </x:c>
      <x:c r="F190" s="56" t="n">
        <x:v>19.24130510752688</x:v>
      </x:c>
      <x:c r="G190" s="56" t="n">
        <x:f>F22</x:f>
        <x:v>14.804048387096774</x:v>
      </x:c>
      <x:c r="H190" s="57" t="n">
        <x:f>IF(ISNUMBER(G190),IF(G190=0,"n.a.",F190/G190-1),"n.a.")</x:f>
        <x:v>0.29973265450129327</x:v>
      </x:c>
      <x:c r="I190" s="58" t="n">
        <x:f>F190/J190</x:f>
        <x:v>0.11596490318525102</x:v>
      </x:c>
      <x:c r="J190" s="56" t="n">
        <x:v>165.92352150537633</x:v>
      </x:c>
    </x:row>
    <x:row r="191" ht="65" customHeight="1">
      <x:c r="A191" s="61" t="n">
        <x:v>44927</x:v>
      </x:c>
      <x:c r="B191" s="32" t="str">
        <x:v>Extracción de petróleo</x:v>
      </x:c>
      <x:c r="C191" s="32" t="str">
        <x:v>Petróleos y minerales</x:v>
      </x:c>
      <x:c r="D191" s="62" t="n">
        <x:v>31</x:v>
      </x:c>
      <x:c r="E191" s="2" t="str">
        <x:v>Completo</x:v>
      </x:c>
      <x:c r="F191" s="56" t="n">
        <x:v>146.68221639784946</x:v>
      </x:c>
      <x:c r="G191" s="56" t="n">
        <x:f>F23</x:f>
        <x:v>163.31348387096773</x:v>
      </x:c>
      <x:c r="H191" s="57" t="n">
        <x:f>IF(ISNUMBER(G191),IF(G191=0,"n.a.",F191/G191-1),"n.a.")</x:f>
        <x:v>-0.1018364624825373</x:v>
      </x:c>
      <x:c r="I191" s="58" t="n">
        <x:f>F191/J191</x:f>
        <x:v>0.884035096814749</x:v>
      </x:c>
      <x:c r="J191" s="56" t="n">
        <x:v>165.92352150537633</x:v>
      </x:c>
    </x:row>
    <x:row r="192" ht="65" customHeight="1">
      <x:c r="A192" s="61" t="n">
        <x:v>44958</x:v>
      </x:c>
      <x:c r="B192" s="32" t="str">
        <x:v>Cargas y puertos</x:v>
      </x:c>
      <x:c r="C192" s="32" t="str">
        <x:v>Alimentación, comercios y servicios</x:v>
      </x:c>
      <x:c r="D192" s="62" t="n">
        <x:v>28</x:v>
      </x:c>
      <x:c r="E192" s="2" t="str">
        <x:v>Completo</x:v>
      </x:c>
      <x:c r="F192" s="56" t="n">
        <x:v>9.33863392857143</x:v>
      </x:c>
      <x:c r="G192" s="56" t="n">
        <x:f>F24</x:f>
        <x:v>8.332269345238094</x:v>
      </x:c>
      <x:c r="H192" s="57" t="n">
        <x:f>IF(ISNUMBER(G192),IF(G192=0,"n.a.",F192/G192-1),"n.a.")</x:f>
        <x:v>0.12077917091200052</x:v>
      </x:c>
      <x:c r="I192" s="58" t="n">
        <x:f>F192/J192</x:f>
        <x:v>0.02330375030895592</x:v>
      </x:c>
      <x:c r="J192" s="56" t="n">
        <x:v>400.73523809523806</x:v>
      </x:c>
    </x:row>
    <x:row r="193" ht="65" customHeight="1">
      <x:c r="A193" s="61" t="n">
        <x:v>44958</x:v>
      </x:c>
      <x:c r="B193" s="32" t="str">
        <x:v>Comercio y servicios: principalmente supermercados y centros comerciales</x:v>
      </x:c>
      <x:c r="C193" s="32" t="str">
        <x:v>Alimentación, comercios y servicios</x:v>
      </x:c>
      <x:c r="D193" s="62" t="n">
        <x:v>28</x:v>
      </x:c>
      <x:c r="E193" s="2" t="str">
        <x:v>Completo</x:v>
      </x:c>
      <x:c r="F193" s="56" t="n">
        <x:v>38.53780952380952</x:v>
      </x:c>
      <x:c r="G193" s="56" t="n">
        <x:f>F25</x:f>
        <x:v>32.13583035714286</x:v>
      </x:c>
      <x:c r="H193" s="57" t="n">
        <x:f>IF(ISNUMBER(G193),IF(G193=0,"n.a.",F193/G193-1),"n.a.")</x:f>
        <x:v>0.19921623606790329</x:v>
      </x:c>
      <x:c r="I193" s="58" t="n">
        <x:f>F193/J193</x:f>
        <x:v>0.09616775831091423</x:v>
      </x:c>
      <x:c r="J193" s="56" t="n">
        <x:v>400.73523809523806</x:v>
      </x:c>
    </x:row>
    <x:row r="194" ht="65" customHeight="1">
      <x:c r="A194" s="61" t="n">
        <x:v>44958</x:v>
      </x:c>
      <x:c r="B194" s="32" t="str">
        <x:v>Alimentación y artículos de consumo masivo</x:v>
      </x:c>
      <x:c r="C194" s="32" t="str">
        <x:v>Alimentación, comercios y servicios</x:v>
      </x:c>
      <x:c r="D194" s="62" t="n">
        <x:v>28</x:v>
      </x:c>
      <x:c r="E194" s="2" t="str">
        <x:v>Completo</x:v>
      </x:c>
      <x:c r="F194" s="56" t="n">
        <x:v>262.4367589285714</x:v>
      </x:c>
      <x:c r="G194" s="56" t="n">
        <x:f>F26</x:f>
        <x:v>280.3545535714286</x:v>
      </x:c>
      <x:c r="H194" s="57" t="n">
        <x:f>IF(ISNUMBER(G194),IF(G194=0,"n.a.",F194/G194-1),"n.a.")</x:f>
        <x:v>-0.0639111953581738</x:v>
      </x:c>
      <x:c r="I194" s="58" t="n">
        <x:f>F194/J194</x:f>
        <x:v>0.6548881505304536</x:v>
      </x:c>
      <x:c r="J194" s="56" t="n">
        <x:v>400.73523809523806</x:v>
      </x:c>
    </x:row>
    <x:row r="195" ht="65" customHeight="1">
      <x:c r="A195" s="61" t="n">
        <x:v>44958</x:v>
      </x:c>
      <x:c r="B195" s="32" t="str">
        <x:v>Servicios públicos y transporte: agua y transporte en GBA</x:v>
      </x:c>
      <x:c r="C195" s="32" t="str">
        <x:v>Alimentación, comercios y servicios</x:v>
      </x:c>
      <x:c r="D195" s="62" t="n">
        <x:v>28</x:v>
      </x:c>
      <x:c r="E195" s="2" t="str">
        <x:v>Completo</x:v>
      </x:c>
      <x:c r="F195" s="56" t="n">
        <x:v>90.42203571428571</x:v>
      </x:c>
      <x:c r="G195" s="56" t="n">
        <x:f>F27</x:f>
        <x:v>82.4677068452381</x:v>
      </x:c>
      <x:c r="H195" s="57" t="n">
        <x:f>IF(ISNUMBER(G195),IF(G195=0,"n.a.",F195/G195-1),"n.a.")</x:f>
        <x:v>0.09645386264923062</x:v>
      </x:c>
      <x:c r="I195" s="58" t="n">
        <x:f>F195/J195</x:f>
        <x:v>0.22564034084967632</x:v>
      </x:c>
      <x:c r="J195" s="56" t="n">
        <x:v>400.73523809523806</x:v>
      </x:c>
    </x:row>
    <x:row r="196" ht="65" customHeight="1">
      <x:c r="A196" s="61" t="n">
        <x:v>44958</x:v>
      </x:c>
      <x:c r="B196" s="32" t="str">
        <x:v>Industria automotriz</x:v>
      </x:c>
      <x:c r="C196" s="32" t="str">
        <x:v>Industrias sin Aluar</x:v>
      </x:c>
      <x:c r="D196" s="62" t="n">
        <x:v>28</x:v>
      </x:c>
      <x:c r="E196" s="2" t="str">
        <x:v>Completo</x:v>
      </x:c>
      <x:c r="F196" s="56" t="n">
        <x:v>41.615912202380954</x:v>
      </x:c>
      <x:c r="G196" s="56" t="n">
        <x:f>F28</x:f>
        <x:v>37.02190773809524</x:v>
      </x:c>
      <x:c r="H196" s="57" t="n">
        <x:f>IF(ISNUMBER(G196),IF(G196=0,"n.a.",F196/G196-1),"n.a.")</x:f>
        <x:v>0.12408880970654379</x:v>
      </x:c>
      <x:c r="I196" s="58" t="n">
        <x:f>F196/J196</x:f>
        <x:v>0.03492012018790668</x:v>
      </x:c>
      <x:c r="J196" s="56" t="n">
        <x:v>1191.7459613095236</x:v>
      </x:c>
    </x:row>
    <x:row r="197" ht="65" customHeight="1">
      <x:c r="A197" s="61" t="n">
        <x:v>44958</x:v>
      </x:c>
      <x:c r="B197" s="32" t="str">
        <x:v>Derivados de petróleo</x:v>
      </x:c>
      <x:c r="C197" s="32" t="str">
        <x:v>Industrias sin Aluar</x:v>
      </x:c>
      <x:c r="D197" s="62" t="n">
        <x:v>28</x:v>
      </x:c>
      <x:c r="E197" s="2" t="str">
        <x:v>Completo</x:v>
      </x:c>
      <x:c r="F197" s="56" t="n">
        <x:v>154.5521681547619</x:v>
      </x:c>
      <x:c r="G197" s="56" t="n">
        <x:f>F29</x:f>
        <x:v>147.58782291666668</x:v>
      </x:c>
      <x:c r="H197" s="57" t="n">
        <x:f>IF(ISNUMBER(G197),IF(G197=0,"n.a.",F197/G197-1),"n.a.")</x:f>
        <x:v>0.047187803847662524</x:v>
      </x:c>
      <x:c r="I197" s="58" t="n">
        <x:f>F197/J197</x:f>
        <x:v>0.12968549772548477</x:v>
      </x:c>
      <x:c r="J197" s="56" t="n">
        <x:v>1191.7459613095236</x:v>
      </x:c>
    </x:row>
    <x:row r="198" ht="65" customHeight="1">
      <x:c r="A198" s="61" t="n">
        <x:v>44958</x:v>
      </x:c>
      <x:c r="B198" s="32" t="str">
        <x:v>Construcción: elaboración de cemento y canteras</x:v>
      </x:c>
      <x:c r="C198" s="32" t="str">
        <x:v>Industrias sin Aluar</x:v>
      </x:c>
      <x:c r="D198" s="62" t="n">
        <x:v>28</x:v>
      </x:c>
      <x:c r="E198" s="2" t="str">
        <x:v>Completo</x:v>
      </x:c>
      <x:c r="F198" s="56" t="n">
        <x:v>173.6812857142857</x:v>
      </x:c>
      <x:c r="G198" s="56" t="n">
        <x:f>F30</x:f>
        <x:v>177.95991220238096</x:v>
      </x:c>
      <x:c r="H198" s="57" t="n">
        <x:f>IF(ISNUMBER(G198),IF(G198=0,"n.a.",F198/G198-1),"n.a.")</x:f>
        <x:v>-0.02404264216105867</x:v>
      </x:c>
      <x:c r="I198" s="58" t="n">
        <x:f>F198/J198</x:f>
        <x:v>0.1457368359976986</x:v>
      </x:c>
      <x:c r="J198" s="56" t="n">
        <x:v>1191.7459613095236</x:v>
      </x:c>
    </x:row>
    <x:row r="199" ht="65" customHeight="1">
      <x:c r="A199" s="61" t="n">
        <x:v>44958</x:v>
      </x:c>
      <x:c r="B199" s="32" t="str">
        <x:v>Madera y papel</x:v>
      </x:c>
      <x:c r="C199" s="32" t="str">
        <x:v>Industrias sin Aluar</x:v>
      </x:c>
      <x:c r="D199" s="62" t="n">
        <x:v>28</x:v>
      </x:c>
      <x:c r="E199" s="2" t="str">
        <x:v>Completo</x:v>
      </x:c>
      <x:c r="F199" s="56" t="n">
        <x:v>109.72295982142857</x:v>
      </x:c>
      <x:c r="G199" s="56" t="n">
        <x:f>F31</x:f>
        <x:v>110.09395833333333</x:v>
      </x:c>
      <x:c r="H199" s="57" t="n">
        <x:f>IF(ISNUMBER(G199),IF(G199=0,"n.a.",F199/G199-1),"n.a.")</x:f>
        <x:v>-0.003369835343566052</x:v>
      </x:c>
      <x:c r="I199" s="58" t="n">
        <x:f>F199/J199</x:f>
        <x:v>0.09206908467376884</x:v>
      </x:c>
      <x:c r="J199" s="56" t="n">
        <x:v>1191.7459613095236</x:v>
      </x:c>
    </x:row>
    <x:row r="200" ht="65" customHeight="1">
      <x:c r="A200" s="61" t="n">
        <x:v>44958</x:v>
      </x:c>
      <x:c r="B200" s="32" t="str">
        <x:v>Productos metálicos no automotores</x:v>
      </x:c>
      <x:c r="C200" s="32" t="str">
        <x:v>Industrias sin Aluar</x:v>
      </x:c>
      <x:c r="D200" s="62" t="n">
        <x:v>28</x:v>
      </x:c>
      <x:c r="E200" s="2" t="str">
        <x:v>Completo</x:v>
      </x:c>
      <x:c r="F200" s="56" t="n">
        <x:v>43.812755952380954</x:v>
      </x:c>
      <x:c r="G200" s="56" t="n">
        <x:f>F32</x:f>
        <x:v>64.37421875</x:v>
      </x:c>
      <x:c r="H200" s="57" t="n">
        <x:f>IF(ISNUMBER(G200),IF(G200=0,"n.a.",F200/G200-1),"n.a.")</x:f>
        <x:v>-0.3194052401236954</x:v>
      </x:c>
      <x:c r="I200" s="58" t="n">
        <x:f>F200/J200</x:f>
        <x:v>0.03676350277221689</x:v>
      </x:c>
      <x:c r="J200" s="56" t="n">
        <x:v>1191.7459613095236</x:v>
      </x:c>
    </x:row>
    <x:row r="201" ht="65" customHeight="1">
      <x:c r="A201" s="61" t="n">
        <x:v>44958</x:v>
      </x:c>
      <x:c r="B201" s="32" t="str">
        <x:v>Gran siderurgia</x:v>
      </x:c>
      <x:c r="C201" s="32" t="str">
        <x:v>Industrias sin Aluar</x:v>
      </x:c>
      <x:c r="D201" s="62" t="n">
        <x:v>28</x:v>
      </x:c>
      <x:c r="E201" s="2" t="str">
        <x:v>Completo</x:v>
      </x:c>
      <x:c r="F201" s="56" t="n">
        <x:v>276.4356294642857</x:v>
      </x:c>
      <x:c r="G201" s="56" t="n">
        <x:f>F33</x:f>
        <x:v>289.5002470238095</x:v>
      </x:c>
      <x:c r="H201" s="57" t="n">
        <x:f>IF(ISNUMBER(G201),IF(G201=0,"n.a.",F201/G201-1),"n.a.")</x:f>
        <x:v>-0.04512817413399073</x:v>
      </x:c>
      <x:c r="I201" s="58" t="n">
        <x:f>F201/J201</x:f>
        <x:v>0.23195852005282278</x:v>
      </x:c>
      <x:c r="J201" s="56" t="n">
        <x:v>1191.7459613095236</x:v>
      </x:c>
    </x:row>
    <x:row r="202" ht="65" customHeight="1">
      <x:c r="A202" s="61" t="n">
        <x:v>44958</x:v>
      </x:c>
      <x:c r="B202" s="32" t="str">
        <x:v>Industria textil</x:v>
      </x:c>
      <x:c r="C202" s="32" t="str">
        <x:v>Industrias sin Aluar</x:v>
      </x:c>
      <x:c r="D202" s="62" t="n">
        <x:v>28</x:v>
      </x:c>
      <x:c r="E202" s="2" t="str">
        <x:v>Completo</x:v>
      </x:c>
      <x:c r="F202" s="56" t="n">
        <x:v>64.85231398809523</x:v>
      </x:c>
      <x:c r="G202" s="56" t="n">
        <x:f>F34</x:f>
        <x:v>64.0452261904762</x:v>
      </x:c>
      <x:c r="H202" s="57" t="n">
        <x:f>IF(ISNUMBER(G202),IF(G202=0,"n.a.",F202/G202-1),"n.a.")</x:f>
        <x:v>0.012601841630142552</x:v>
      </x:c>
      <x:c r="I202" s="58" t="n">
        <x:f>F202/J202</x:f>
        <x:v>0.05441790120843683</x:v>
      </x:c>
      <x:c r="J202" s="56" t="n">
        <x:v>1191.7459613095236</x:v>
      </x:c>
    </x:row>
    <x:row r="203" ht="65" customHeight="1">
      <x:c r="A203" s="61" t="n">
        <x:v>44958</x:v>
      </x:c>
      <x:c r="B203" s="32" t="str">
        <x:v>Químicas, caucho, plástico y otros minerales no metálicos</x:v>
      </x:c>
      <x:c r="C203" s="32" t="str">
        <x:v>Industrias sin Aluar</x:v>
      </x:c>
      <x:c r="D203" s="62" t="n">
        <x:v>28</x:v>
      </x:c>
      <x:c r="E203" s="2" t="str">
        <x:v>Completo</x:v>
      </x:c>
      <x:c r="F203" s="56" t="n">
        <x:v>327.07293601190474</x:v>
      </x:c>
      <x:c r="G203" s="56" t="n">
        <x:f>F35</x:f>
        <x:v>326.57456845238096</x:v>
      </x:c>
      <x:c r="H203" s="57" t="n">
        <x:f>IF(ISNUMBER(G203),IF(G203=0,"n.a.",F203/G203-1),"n.a.")</x:f>
        <x:v>0.0015260452211129927</x:v>
      </x:c>
      <x:c r="I203" s="58" t="n">
        <x:f>F203/J203</x:f>
        <x:v>0.2744485373816647</x:v>
      </x:c>
      <x:c r="J203" s="56" t="n">
        <x:v>1191.7459613095236</x:v>
      </x:c>
    </x:row>
    <x:row r="204" ht="65" customHeight="1">
      <x:c r="A204" s="61" t="n">
        <x:v>44958</x:v>
      </x:c>
      <x:c r="B204" s="32" t="str">
        <x:v>Extracción de minerales</x:v>
      </x:c>
      <x:c r="C204" s="32" t="str">
        <x:v>Petróleos y minerales</x:v>
      </x:c>
      <x:c r="D204" s="62" t="n">
        <x:v>28</x:v>
      </x:c>
      <x:c r="E204" s="2" t="str">
        <x:v>Completo</x:v>
      </x:c>
      <x:c r="F204" s="56" t="n">
        <x:v>17.571998511904763</x:v>
      </x:c>
      <x:c r="G204" s="56" t="n">
        <x:f>F36</x:f>
        <x:v>16.29373363095238</x:v>
      </x:c>
      <x:c r="H204" s="57" t="n">
        <x:f>IF(ISNUMBER(G204),IF(G204=0,"n.a.",F204/G204-1),"n.a.")</x:f>
        <x:v>0.07845131815117723</x:v>
      </x:c>
      <x:c r="I204" s="58" t="n">
        <x:f>F204/J204</x:f>
        <x:v>0.09873922098351777</x:v>
      </x:c>
      <x:c r="J204" s="56" t="n">
        <x:v>177.9637142857143</x:v>
      </x:c>
    </x:row>
    <x:row r="205" ht="65" customHeight="1">
      <x:c r="A205" s="61" t="n">
        <x:v>44958</x:v>
      </x:c>
      <x:c r="B205" s="32" t="str">
        <x:v>Extracción de petróleo</x:v>
      </x:c>
      <x:c r="C205" s="32" t="str">
        <x:v>Petróleos y minerales</x:v>
      </x:c>
      <x:c r="D205" s="62" t="n">
        <x:v>28</x:v>
      </x:c>
      <x:c r="E205" s="2" t="str">
        <x:v>Completo</x:v>
      </x:c>
      <x:c r="F205" s="56" t="n">
        <x:v>160.39171577380952</x:v>
      </x:c>
      <x:c r="G205" s="56" t="n">
        <x:f>F37</x:f>
        <x:v>166.90400595238094</x:v>
      </x:c>
      <x:c r="H205" s="57" t="n">
        <x:f>IF(ISNUMBER(G205),IF(G205=0,"n.a.",F205/G205-1),"n.a.")</x:f>
        <x:v>-0.0390181777927453</x:v>
      </x:c>
      <x:c r="I205" s="58" t="n">
        <x:f>F205/J205</x:f>
        <x:v>0.9012607790164822</x:v>
      </x:c>
      <x:c r="J205" s="56" t="n">
        <x:v>177.9637142857143</x:v>
      </x:c>
    </x:row>
    <x:row r="206" ht="65" customHeight="1">
      <x:c r="A206" s="61" t="n">
        <x:v>44986</x:v>
      </x:c>
      <x:c r="B206" s="32" t="str">
        <x:v>Cargas y puertos</x:v>
      </x:c>
      <x:c r="C206" s="32" t="str">
        <x:v>Alimentación, comercios y servicios</x:v>
      </x:c>
      <x:c r="D206" s="62" t="n">
        <x:v>31</x:v>
      </x:c>
      <x:c r="E206" s="2" t="str">
        <x:v>Completo</x:v>
      </x:c>
      <x:c r="F206" s="56" t="n">
        <x:v>9.396623655913977</x:v>
      </x:c>
      <x:c r="G206" s="56" t="n">
        <x:f>F38</x:f>
        <x:v>7.846103494623656</x:v>
      </x:c>
      <x:c r="H206" s="57" t="n">
        <x:f>IF(ISNUMBER(G206),IF(G206=0,"n.a.",F206/G206-1),"n.a.")</x:f>
        <x:v>0.19761658284940742</x:v>
      </x:c>
      <x:c r="I206" s="58" t="n">
        <x:f>F206/J206</x:f>
        <x:v>0.021815147655595595</x:v>
      </x:c>
      <x:c r="J206" s="56" t="n">
        <x:v>430.73848521505374</x:v>
      </x:c>
    </x:row>
    <x:row r="207" ht="65" customHeight="1">
      <x:c r="A207" s="61" t="n">
        <x:v>44986</x:v>
      </x:c>
      <x:c r="B207" s="32" t="str">
        <x:v>Comercio y servicios: principalmente supermercados y centros comerciales</x:v>
      </x:c>
      <x:c r="C207" s="32" t="str">
        <x:v>Alimentación, comercios y servicios</x:v>
      </x:c>
      <x:c r="D207" s="62" t="n">
        <x:v>31</x:v>
      </x:c>
      <x:c r="E207" s="2" t="str">
        <x:v>Completo</x:v>
      </x:c>
      <x:c r="F207" s="56" t="n">
        <x:v>39.80274193548387</x:v>
      </x:c>
      <x:c r="G207" s="56" t="n">
        <x:f>F39</x:f>
        <x:v>29.484176075268817</x:v>
      </x:c>
      <x:c r="H207" s="57" t="n">
        <x:f>IF(ISNUMBER(G207),IF(G207=0,"n.a.",F207/G207-1),"n.a.")</x:f>
        <x:v>0.34996961874984245</x:v>
      </x:c>
      <x:c r="I207" s="58" t="n">
        <x:f>F207/J207</x:f>
        <x:v>0.09240581768683069</x:v>
      </x:c>
      <x:c r="J207" s="56" t="n">
        <x:v>430.73848521505374</x:v>
      </x:c>
    </x:row>
    <x:row r="208" ht="65" customHeight="1">
      <x:c r="A208" s="61" t="n">
        <x:v>44986</x:v>
      </x:c>
      <x:c r="B208" s="32" t="str">
        <x:v>Alimentación y artículos de consumo masivo</x:v>
      </x:c>
      <x:c r="C208" s="32" t="str">
        <x:v>Alimentación, comercios y servicios</x:v>
      </x:c>
      <x:c r="D208" s="62" t="n">
        <x:v>31</x:v>
      </x:c>
      <x:c r="E208" s="2" t="str">
        <x:v>Completo</x:v>
      </x:c>
      <x:c r="F208" s="56" t="n">
        <x:v>289.14820967741935</x:v>
      </x:c>
      <x:c r="G208" s="56" t="n">
        <x:f>F40</x:f>
        <x:v>277.9242338709677</x:v>
      </x:c>
      <x:c r="H208" s="57" t="n">
        <x:f>IF(ISNUMBER(G208),IF(G208=0,"n.a.",F208/G208-1),"n.a.")</x:f>
        <x:v>0.04038502022699686</x:v>
      </x:c>
      <x:c r="I208" s="58" t="n">
        <x:f>F208/J208</x:f>
        <x:v>0.6712848273426439</x:v>
      </x:c>
      <x:c r="J208" s="56" t="n">
        <x:v>430.73848521505374</x:v>
      </x:c>
    </x:row>
    <x:row r="209" ht="65" customHeight="1">
      <x:c r="A209" s="61" t="n">
        <x:v>44986</x:v>
      </x:c>
      <x:c r="B209" s="32" t="str">
        <x:v>Servicios públicos y transporte: agua y transporte en GBA</x:v>
      </x:c>
      <x:c r="C209" s="32" t="str">
        <x:v>Alimentación, comercios y servicios</x:v>
      </x:c>
      <x:c r="D209" s="62" t="n">
        <x:v>31</x:v>
      </x:c>
      <x:c r="E209" s="2" t="str">
        <x:v>Completo</x:v>
      </x:c>
      <x:c r="F209" s="56" t="n">
        <x:v>92.39090994623656</x:v>
      </x:c>
      <x:c r="G209" s="56" t="n">
        <x:f>F41</x:f>
        <x:v>82.28246774193548</x:v>
      </x:c>
      <x:c r="H209" s="57" t="n">
        <x:f>IF(ISNUMBER(G209),IF(G209=0,"n.a.",F209/G209-1),"n.a.")</x:f>
        <x:v>0.12285049879646825</x:v>
      </x:c>
      <x:c r="I209" s="58" t="n">
        <x:f>F209/J209</x:f>
        <x:v>0.2144942073149298</x:v>
      </x:c>
      <x:c r="J209" s="56" t="n">
        <x:v>430.73848521505374</x:v>
      </x:c>
    </x:row>
    <x:row r="210" ht="65" customHeight="1">
      <x:c r="A210" s="61" t="n">
        <x:v>44986</x:v>
      </x:c>
      <x:c r="B210" s="32" t="str">
        <x:v>Industria automotriz</x:v>
      </x:c>
      <x:c r="C210" s="32" t="str">
        <x:v>Industrias sin Aluar</x:v>
      </x:c>
      <x:c r="D210" s="62" t="n">
        <x:v>31</x:v>
      </x:c>
      <x:c r="E210" s="2" t="str">
        <x:v>Completo</x:v>
      </x:c>
      <x:c r="F210" s="56" t="n">
        <x:v>46.577749999999995</x:v>
      </x:c>
      <x:c r="G210" s="56" t="n">
        <x:f>F42</x:f>
        <x:v>37.392795698924736</x:v>
      </x:c>
      <x:c r="H210" s="57" t="n">
        <x:f>IF(ISNUMBER(G210),IF(G210=0,"n.a.",F210/G210-1),"n.a.")</x:f>
        <x:v>0.24563432953849396</x:v>
      </x:c>
      <x:c r="I210" s="58" t="n">
        <x:f>F210/J210</x:f>
        <x:v>0.036934828071954494</x:v>
      </x:c>
      <x:c r="J210" s="56" t="n">
        <x:v>1261.079377688172</x:v>
      </x:c>
    </x:row>
    <x:row r="211" ht="65" customHeight="1">
      <x:c r="A211" s="61" t="n">
        <x:v>44986</x:v>
      </x:c>
      <x:c r="B211" s="32" t="str">
        <x:v>Derivados de petróleo</x:v>
      </x:c>
      <x:c r="C211" s="32" t="str">
        <x:v>Industrias sin Aluar</x:v>
      </x:c>
      <x:c r="D211" s="62" t="n">
        <x:v>31</x:v>
      </x:c>
      <x:c r="E211" s="2" t="str">
        <x:v>Completo</x:v>
      </x:c>
      <x:c r="F211" s="56" t="n">
        <x:v>154.19907930107527</x:v>
      </x:c>
      <x:c r="G211" s="56" t="n">
        <x:f>F43</x:f>
        <x:v>164.19376478494624</x:v>
      </x:c>
      <x:c r="H211" s="57" t="n">
        <x:f>IF(ISNUMBER(G211),IF(G211=0,"n.a.",F211/G211-1),"n.a.")</x:f>
        <x:v>-0.0608712851974712</x:v>
      </x:c>
      <x:c r="I211" s="58" t="n">
        <x:f>F211/J211</x:f>
        <x:v>0.12227547450958651</x:v>
      </x:c>
      <x:c r="J211" s="56" t="n">
        <x:v>1261.079377688172</x:v>
      </x:c>
    </x:row>
    <x:row r="212" ht="65" customHeight="1">
      <x:c r="A212" s="61" t="n">
        <x:v>44986</x:v>
      </x:c>
      <x:c r="B212" s="32" t="str">
        <x:v>Construcción: elaboración de cemento y canteras</x:v>
      </x:c>
      <x:c r="C212" s="32" t="str">
        <x:v>Industrias sin Aluar</x:v>
      </x:c>
      <x:c r="D212" s="62" t="n">
        <x:v>31</x:v>
      </x:c>
      <x:c r="E212" s="2" t="str">
        <x:v>Completo</x:v>
      </x:c>
      <x:c r="F212" s="56" t="n">
        <x:v>180.8219072580645</x:v>
      </x:c>
      <x:c r="G212" s="56" t="n">
        <x:f>F44</x:f>
        <x:v>173.1340806451613</x:v>
      </x:c>
      <x:c r="H212" s="57" t="n">
        <x:f>IF(ISNUMBER(G212),IF(G212=0,"n.a.",F212/G212-1),"n.a.")</x:f>
        <x:v>0.044403889657400386</x:v>
      </x:c>
      <x:c r="I212" s="58" t="n">
        <x:f>F212/J212</x:f>
        <x:v>0.14338661820761014</x:v>
      </x:c>
      <x:c r="J212" s="56" t="n">
        <x:v>1261.079377688172</x:v>
      </x:c>
    </x:row>
    <x:row r="213" ht="65" customHeight="1">
      <x:c r="A213" s="61" t="n">
        <x:v>44986</x:v>
      </x:c>
      <x:c r="B213" s="32" t="str">
        <x:v>Madera y papel</x:v>
      </x:c>
      <x:c r="C213" s="32" t="str">
        <x:v>Industrias sin Aluar</x:v>
      </x:c>
      <x:c r="D213" s="62" t="n">
        <x:v>31</x:v>
      </x:c>
      <x:c r="E213" s="2" t="str">
        <x:v>Completo</x:v>
      </x:c>
      <x:c r="F213" s="56" t="n">
        <x:v>108.11033870967742</x:v>
      </x:c>
      <x:c r="G213" s="56" t="n">
        <x:f>F45</x:f>
        <x:v>105.10348521505377</x:v>
      </x:c>
      <x:c r="H213" s="57" t="n">
        <x:f>IF(ISNUMBER(G213),IF(G213=0,"n.a.",F213/G213-1),"n.a.")</x:f>
        <x:v>0.028608504165882787</x:v>
      </x:c>
      <x:c r="I213" s="58" t="n">
        <x:f>F213/J213</x:f>
        <x:v>0.08572841695965783</x:v>
      </x:c>
      <x:c r="J213" s="56" t="n">
        <x:v>1261.079377688172</x:v>
      </x:c>
    </x:row>
    <x:row r="214" ht="65" customHeight="1">
      <x:c r="A214" s="61" t="n">
        <x:v>44986</x:v>
      </x:c>
      <x:c r="B214" s="32" t="str">
        <x:v>Productos metálicos no automotores</x:v>
      </x:c>
      <x:c r="C214" s="32" t="str">
        <x:v>Industrias sin Aluar</x:v>
      </x:c>
      <x:c r="D214" s="62" t="n">
        <x:v>31</x:v>
      </x:c>
      <x:c r="E214" s="2" t="str">
        <x:v>Completo</x:v>
      </x:c>
      <x:c r="F214" s="56" t="n">
        <x:v>49.636471774193545</x:v>
      </x:c>
      <x:c r="G214" s="56" t="n">
        <x:f>F46</x:f>
        <x:v>62.94465725806452</x:v>
      </x:c>
      <x:c r="H214" s="57" t="n">
        <x:f>IF(ISNUMBER(G214),IF(G214=0,"n.a.",F214/G214-1),"n.a.")</x:f>
        <x:v>-0.21142676858671616</x:v>
      </x:c>
      <x:c r="I214" s="58" t="n">
        <x:f>F214/J214</x:f>
        <x:v>0.03936030725138635</x:v>
      </x:c>
      <x:c r="J214" s="56" t="n">
        <x:v>1261.079377688172</x:v>
      </x:c>
    </x:row>
    <x:row r="215" ht="65" customHeight="1">
      <x:c r="A215" s="61" t="n">
        <x:v>44986</x:v>
      </x:c>
      <x:c r="B215" s="32" t="str">
        <x:v>Gran siderurgia</x:v>
      </x:c>
      <x:c r="C215" s="32" t="str">
        <x:v>Industrias sin Aluar</x:v>
      </x:c>
      <x:c r="D215" s="62" t="n">
        <x:v>31</x:v>
      </x:c>
      <x:c r="E215" s="2" t="str">
        <x:v>Completo</x:v>
      </x:c>
      <x:c r="F215" s="56" t="n">
        <x:v>322.6856801075269</x:v>
      </x:c>
      <x:c r="G215" s="56" t="n">
        <x:f>F47</x:f>
        <x:v>330.94274462365587</x:v>
      </x:c>
      <x:c r="H215" s="57" t="n">
        <x:f>IF(ISNUMBER(G215),IF(G215=0,"n.a.",F215/G215-1),"n.a.")</x:f>
        <x:v>-0.02495013004596558</x:v>
      </x:c>
      <x:c r="I215" s="58" t="n">
        <x:f>F215/J215</x:f>
        <x:v>0.25588054631349116</x:v>
      </x:c>
      <x:c r="J215" s="56" t="n">
        <x:v>1261.079377688172</x:v>
      </x:c>
    </x:row>
    <x:row r="216" ht="65" customHeight="1">
      <x:c r="A216" s="61" t="n">
        <x:v>44986</x:v>
      </x:c>
      <x:c r="B216" s="32" t="str">
        <x:v>Industria textil</x:v>
      </x:c>
      <x:c r="C216" s="32" t="str">
        <x:v>Industrias sin Aluar</x:v>
      </x:c>
      <x:c r="D216" s="62" t="n">
        <x:v>31</x:v>
      </x:c>
      <x:c r="E216" s="2" t="str">
        <x:v>Completo</x:v>
      </x:c>
      <x:c r="F216" s="56" t="n">
        <x:v>68.00813709677419</x:v>
      </x:c>
      <x:c r="G216" s="56" t="n">
        <x:f>F48</x:f>
        <x:v>63.16328225806452</x:v>
      </x:c>
      <x:c r="H216" s="57" t="n">
        <x:f>IF(ISNUMBER(G216),IF(G216=0,"n.a.",F216/G216-1),"n.a.")</x:f>
        <x:v>0.07670365860525075</x:v>
      </x:c>
      <x:c r="I216" s="58" t="n">
        <x:f>F216/J216</x:f>
        <x:v>0.05392851417604469</x:v>
      </x:c>
      <x:c r="J216" s="56" t="n">
        <x:v>1261.079377688172</x:v>
      </x:c>
    </x:row>
    <x:row r="217" ht="65" customHeight="1">
      <x:c r="A217" s="61" t="n">
        <x:v>44986</x:v>
      </x:c>
      <x:c r="B217" s="32" t="str">
        <x:v>Químicas, caucho, plástico y otros minerales no metálicos</x:v>
      </x:c>
      <x:c r="C217" s="32" t="str">
        <x:v>Industrias sin Aluar</x:v>
      </x:c>
      <x:c r="D217" s="62" t="n">
        <x:v>31</x:v>
      </x:c>
      <x:c r="E217" s="2" t="str">
        <x:v>Completo</x:v>
      </x:c>
      <x:c r="F217" s="56" t="n">
        <x:v>331.04001344086026</x:v>
      </x:c>
      <x:c r="G217" s="56" t="n">
        <x:f>F49</x:f>
        <x:v>356.29222043010753</x:v>
      </x:c>
      <x:c r="H217" s="57" t="n">
        <x:f>IF(ISNUMBER(G217),IF(G217=0,"n.a.",F217/G217-1),"n.a.")</x:f>
        <x:v>-0.07087498839790385</x:v>
      </x:c>
      <x:c r="I217" s="58" t="n">
        <x:f>F217/J217</x:f>
        <x:v>0.26250529451026894</x:v>
      </x:c>
      <x:c r="J217" s="56" t="n">
        <x:v>1261.079377688172</x:v>
      </x:c>
    </x:row>
    <x:row r="218" ht="65" customHeight="1">
      <x:c r="A218" s="61" t="n">
        <x:v>44986</x:v>
      </x:c>
      <x:c r="B218" s="32" t="str">
        <x:v>Extracción de minerales</x:v>
      </x:c>
      <x:c r="C218" s="32" t="str">
        <x:v>Petróleos y minerales</x:v>
      </x:c>
      <x:c r="D218" s="62" t="n">
        <x:v>31</x:v>
      </x:c>
      <x:c r="E218" s="2" t="str">
        <x:v>Completo</x:v>
      </x:c>
      <x:c r="F218" s="56" t="n">
        <x:v>19.676653225806454</x:v>
      </x:c>
      <x:c r="G218" s="56" t="n">
        <x:f>F50</x:f>
        <x:v>17.75885752688172</x:v>
      </x:c>
      <x:c r="H218" s="57" t="n">
        <x:f>IF(ISNUMBER(G218),IF(G218=0,"n.a.",F218/G218-1),"n.a.")</x:f>
        <x:v>0.10799093894535461</x:v>
      </x:c>
      <x:c r="I218" s="58" t="n">
        <x:f>F218/J218</x:f>
        <x:v>0.10506580659013182</x:v>
      </x:c>
      <x:c r="J218" s="56" t="n">
        <x:v>187.2793239247312</x:v>
      </x:c>
    </x:row>
    <x:row r="219" ht="65" customHeight="1">
      <x:c r="A219" s="61" t="n">
        <x:v>44986</x:v>
      </x:c>
      <x:c r="B219" s="32" t="str">
        <x:v>Extracción de petróleo</x:v>
      </x:c>
      <x:c r="C219" s="32" t="str">
        <x:v>Petróleos y minerales</x:v>
      </x:c>
      <x:c r="D219" s="62" t="n">
        <x:v>31</x:v>
      </x:c>
      <x:c r="E219" s="2" t="str">
        <x:v>Completo</x:v>
      </x:c>
      <x:c r="F219" s="56" t="n">
        <x:v>167.60267069892473</x:v>
      </x:c>
      <x:c r="G219" s="56" t="n">
        <x:f>F51</x:f>
        <x:v>170.04050940860213</x:v>
      </x:c>
      <x:c r="H219" s="57" t="n">
        <x:f>IF(ISNUMBER(G219),IF(G219=0,"n.a.",F219/G219-1),"n.a.")</x:f>
        <x:v>-0.014336811376043035</x:v>
      </x:c>
      <x:c r="I219" s="58" t="n">
        <x:f>F219/J219</x:f>
        <x:v>0.8949341934098681</x:v>
      </x:c>
      <x:c r="J219" s="56" t="n">
        <x:v>187.2793239247312</x:v>
      </x:c>
    </x:row>
    <x:row r="220" ht="65" customHeight="1">
      <x:c r="A220" s="61" t="n">
        <x:v>45017</x:v>
      </x:c>
      <x:c r="B220" s="32" t="str">
        <x:v>Cargas y puertos</x:v>
      </x:c>
      <x:c r="C220" s="32" t="str">
        <x:v>Alimentación, comercios y servicios</x:v>
      </x:c>
      <x:c r="D220" s="62" t="n">
        <x:v>30</x:v>
      </x:c>
      <x:c r="E220" s="2" t="str">
        <x:v>Completo</x:v>
      </x:c>
      <x:c r="F220" s="56" t="n">
        <x:v>7.096625</x:v>
      </x:c>
      <x:c r="G220" s="56" t="n">
        <x:f>F52</x:f>
        <x:v>7.616648611111112</x:v>
      </x:c>
      <x:c r="H220" s="57" t="n">
        <x:f>IF(ISNUMBER(G220),IF(G220=0,"n.a.",F220/G220-1),"n.a.")</x:f>
        <x:v>-0.06827459656633028</x:v>
      </x:c>
      <x:c r="I220" s="58" t="n">
        <x:f>F220/J220</x:f>
        <x:v>0.017518222318695983</x:v>
      </x:c>
      <x:c r="J220" s="56" t="n">
        <x:v>405.0996083333333</x:v>
      </x:c>
    </x:row>
    <x:row r="221" ht="65" customHeight="1">
      <x:c r="A221" s="61" t="n">
        <x:v>45017</x:v>
      </x:c>
      <x:c r="B221" s="32" t="str">
        <x:v>Comercio y servicios: principalmente supermercados y centros comerciales</x:v>
      </x:c>
      <x:c r="C221" s="32" t="str">
        <x:v>Alimentación, comercios y servicios</x:v>
      </x:c>
      <x:c r="D221" s="62" t="n">
        <x:v>30</x:v>
      </x:c>
      <x:c r="E221" s="2" t="str">
        <x:v>Completo</x:v>
      </x:c>
      <x:c r="F221" s="56" t="n">
        <x:v>30.459856944444443</x:v>
      </x:c>
      <x:c r="G221" s="56" t="n">
        <x:f>F53</x:f>
        <x:v>26.603906944444443</x:v>
      </x:c>
      <x:c r="H221" s="57" t="n">
        <x:f>IF(ISNUMBER(G221),IF(G221=0,"n.a.",F221/G221-1),"n.a.")</x:f>
        <x:v>0.14493923798681818</x:v>
      </x:c>
      <x:c r="I221" s="58" t="n">
        <x:f>F221/J221</x:f>
        <x:v>0.07519103034871553</x:v>
      </x:c>
      <x:c r="J221" s="56" t="n">
        <x:v>405.0996083333333</x:v>
      </x:c>
    </x:row>
    <x:row r="222" ht="65" customHeight="1">
      <x:c r="A222" s="61" t="n">
        <x:v>45017</x:v>
      </x:c>
      <x:c r="B222" s="32" t="str">
        <x:v>Alimentación y artículos de consumo masivo</x:v>
      </x:c>
      <x:c r="C222" s="32" t="str">
        <x:v>Alimentación, comercios y servicios</x:v>
      </x:c>
      <x:c r="D222" s="62" t="n">
        <x:v>30</x:v>
      </x:c>
      <x:c r="E222" s="2" t="str">
        <x:v>Completo</x:v>
      </x:c>
      <x:c r="F222" s="56" t="n">
        <x:v>280.81244722222226</x:v>
      </x:c>
      <x:c r="G222" s="56" t="n">
        <x:f>F54</x:f>
        <x:v>286.55909722222225</x:v>
      </x:c>
      <x:c r="H222" s="57" t="n">
        <x:f>IF(ISNUMBER(G222),IF(G222=0,"n.a.",F222/G222-1),"n.a.")</x:f>
        <x:v>-0.020053978588380095</x:v>
      </x:c>
      <x:c r="I222" s="58" t="n">
        <x:f>F222/J222</x:f>
        <x:v>0.6931935786794386</x:v>
      </x:c>
      <x:c r="J222" s="56" t="n">
        <x:v>405.0996083333333</x:v>
      </x:c>
    </x:row>
    <x:row r="223" ht="65" customHeight="1">
      <x:c r="A223" s="61" t="n">
        <x:v>45017</x:v>
      </x:c>
      <x:c r="B223" s="32" t="str">
        <x:v>Servicios públicos y transporte: agua y transporte en GBA</x:v>
      </x:c>
      <x:c r="C223" s="32" t="str">
        <x:v>Alimentación, comercios y servicios</x:v>
      </x:c>
      <x:c r="D223" s="62" t="n">
        <x:v>30</x:v>
      </x:c>
      <x:c r="E223" s="2" t="str">
        <x:v>Completo</x:v>
      </x:c>
      <x:c r="F223" s="56" t="n">
        <x:v>86.73067916666668</x:v>
      </x:c>
      <x:c r="G223" s="56" t="n">
        <x:f>F55</x:f>
        <x:v>83.04562638888889</x:v>
      </x:c>
      <x:c r="H223" s="57" t="n">
        <x:f>IF(ISNUMBER(G223),IF(G223=0,"n.a.",F223/G223-1),"n.a.")</x:f>
        <x:v>0.04437383325307587</x:v>
      </x:c>
      <x:c r="I223" s="58" t="n">
        <x:f>F223/J223</x:f>
        <x:v>0.21409716865315</x:v>
      </x:c>
      <x:c r="J223" s="56" t="n">
        <x:v>405.0996083333333</x:v>
      </x:c>
    </x:row>
    <x:row r="224" ht="65" customHeight="1">
      <x:c r="A224" s="61" t="n">
        <x:v>45017</x:v>
      </x:c>
      <x:c r="B224" s="32" t="str">
        <x:v>Industria automotriz</x:v>
      </x:c>
      <x:c r="C224" s="32" t="str">
        <x:v>Industrias sin Aluar</x:v>
      </x:c>
      <x:c r="D224" s="62" t="n">
        <x:v>30</x:v>
      </x:c>
      <x:c r="E224" s="2" t="str">
        <x:v>Completo</x:v>
      </x:c>
      <x:c r="F224" s="56" t="n">
        <x:v>38.1571</x:v>
      </x:c>
      <x:c r="G224" s="56" t="n">
        <x:f>F56</x:f>
        <x:v>35.554947222222225</x:v>
      </x:c>
      <x:c r="H224" s="57" t="n">
        <x:f>IF(ISNUMBER(G224),IF(G224=0,"n.a.",F224/G224-1),"n.a.")</x:f>
        <x:v>0.07318679905539005</x:v>
      </x:c>
      <x:c r="I224" s="58" t="n">
        <x:f>F224/J224</x:f>
        <x:v>0.030440077496378552</x:v>
      </x:c>
      <x:c r="J224" s="56" t="n">
        <x:v>1253.5152055555554</x:v>
      </x:c>
    </x:row>
    <x:row r="225" ht="65" customHeight="1">
      <x:c r="A225" s="61" t="n">
        <x:v>45017</x:v>
      </x:c>
      <x:c r="B225" s="32" t="str">
        <x:v>Derivados de petróleo</x:v>
      </x:c>
      <x:c r="C225" s="32" t="str">
        <x:v>Industrias sin Aluar</x:v>
      </x:c>
      <x:c r="D225" s="62" t="n">
        <x:v>30</x:v>
      </x:c>
      <x:c r="E225" s="2" t="str">
        <x:v>Completo</x:v>
      </x:c>
      <x:c r="F225" s="56" t="n">
        <x:v>166.33599305555558</x:v>
      </x:c>
      <x:c r="G225" s="56" t="n">
        <x:f>F57</x:f>
        <x:v>200.17178194444443</x:v>
      </x:c>
      <x:c r="H225" s="57" t="n">
        <x:f>IF(ISNUMBER(G225),IF(G225=0,"n.a.",F225/G225-1),"n.a.")</x:f>
        <x:v>-0.16903375970485002</x:v>
      </x:c>
      <x:c r="I225" s="58" t="n">
        <x:f>F225/J225</x:f>
        <x:v>0.13269563250478145</x:v>
      </x:c>
      <x:c r="J225" s="56" t="n">
        <x:v>1253.5152055555554</x:v>
      </x:c>
    </x:row>
    <x:row r="226" ht="65" customHeight="1">
      <x:c r="A226" s="61" t="n">
        <x:v>45017</x:v>
      </x:c>
      <x:c r="B226" s="32" t="str">
        <x:v>Construcción: elaboración de cemento y canteras</x:v>
      </x:c>
      <x:c r="C226" s="32" t="str">
        <x:v>Industrias sin Aluar</x:v>
      </x:c>
      <x:c r="D226" s="62" t="n">
        <x:v>30</x:v>
      </x:c>
      <x:c r="E226" s="2" t="str">
        <x:v>Completo</x:v>
      </x:c>
      <x:c r="F226" s="56" t="n">
        <x:v>178.35109305555554</x:v>
      </x:c>
      <x:c r="G226" s="56" t="n">
        <x:f>F58</x:f>
        <x:v>174.80569027777776</x:v>
      </x:c>
      <x:c r="H226" s="57" t="n">
        <x:f>IF(ISNUMBER(G226),IF(G226=0,"n.a.",F226/G226-1),"n.a.")</x:f>
        <x:v>0.020281964346491765</x:v>
      </x:c>
      <x:c r="I226" s="58" t="n">
        <x:f>F226/J226</x:f>
        <x:v>0.14228075755691427</x:v>
      </x:c>
      <x:c r="J226" s="56" t="n">
        <x:v>1253.5152055555554</x:v>
      </x:c>
    </x:row>
    <x:row r="227" ht="65" customHeight="1">
      <x:c r="A227" s="61" t="n">
        <x:v>45017</x:v>
      </x:c>
      <x:c r="B227" s="32" t="str">
        <x:v>Madera y papel</x:v>
      </x:c>
      <x:c r="C227" s="32" t="str">
        <x:v>Industrias sin Aluar</x:v>
      </x:c>
      <x:c r="D227" s="62" t="n">
        <x:v>30</x:v>
      </x:c>
      <x:c r="E227" s="2" t="str">
        <x:v>Completo</x:v>
      </x:c>
      <x:c r="F227" s="56" t="n">
        <x:v>104.97321666666667</x:v>
      </x:c>
      <x:c r="G227" s="56" t="n">
        <x:f>F59</x:f>
        <x:v>104.13508888888889</x:v>
      </x:c>
      <x:c r="H227" s="57" t="n">
        <x:f>IF(ISNUMBER(G227),IF(G227=0,"n.a.",F227/G227-1),"n.a.")</x:f>
        <x:v>0.008048466532467824</x:v>
      </x:c>
      <x:c r="I227" s="58" t="n">
        <x:f>F227/J227</x:f>
        <x:v>0.08374307403805505</x:v>
      </x:c>
      <x:c r="J227" s="56" t="n">
        <x:v>1253.5152055555554</x:v>
      </x:c>
    </x:row>
    <x:row r="228" ht="65" customHeight="1">
      <x:c r="A228" s="61" t="n">
        <x:v>45017</x:v>
      </x:c>
      <x:c r="B228" s="32" t="str">
        <x:v>Productos metálicos no automotores</x:v>
      </x:c>
      <x:c r="C228" s="32" t="str">
        <x:v>Industrias sin Aluar</x:v>
      </x:c>
      <x:c r="D228" s="62" t="n">
        <x:v>30</x:v>
      </x:c>
      <x:c r="E228" s="2" t="str">
        <x:v>Completo</x:v>
      </x:c>
      <x:c r="F228" s="56" t="n">
        <x:v>48.040640277777776</x:v>
      </x:c>
      <x:c r="G228" s="56" t="n">
        <x:f>F60</x:f>
        <x:v>56.47754722222223</x:v>
      </x:c>
      <x:c r="H228" s="57" t="n">
        <x:f>IF(ISNUMBER(G228),IF(G228=0,"n.a.",F228/G228-1),"n.a.")</x:f>
        <x:v>-0.14938515143456477</x:v>
      </x:c>
      <x:c r="I228" s="58" t="n">
        <x:f>F228/J228</x:f>
        <x:v>0.038324736760162605</x:v>
      </x:c>
      <x:c r="J228" s="56" t="n">
        <x:v>1253.5152055555554</x:v>
      </x:c>
    </x:row>
    <x:row r="229" ht="65" customHeight="1">
      <x:c r="A229" s="61" t="n">
        <x:v>45017</x:v>
      </x:c>
      <x:c r="B229" s="32" t="str">
        <x:v>Gran siderurgia</x:v>
      </x:c>
      <x:c r="C229" s="32" t="str">
        <x:v>Industrias sin Aluar</x:v>
      </x:c>
      <x:c r="D229" s="62" t="n">
        <x:v>30</x:v>
      </x:c>
      <x:c r="E229" s="2" t="str">
        <x:v>Completo</x:v>
      </x:c>
      <x:c r="F229" s="56" t="n">
        <x:v>321.56680694444447</x:v>
      </x:c>
      <x:c r="G229" s="56" t="n">
        <x:f>F61</x:f>
        <x:v>295.4892416666667</x:v>
      </x:c>
      <x:c r="H229" s="57" t="n">
        <x:f>IF(ISNUMBER(G229),IF(G229=0,"n.a.",F229/G229-1),"n.a.")</x:f>
        <x:v>0.08825216488658194</x:v>
      </x:c>
      <x:c r="I229" s="58" t="n">
        <x:f>F229/J229</x:f>
        <x:v>0.25653203528706037</x:v>
      </x:c>
      <x:c r="J229" s="56" t="n">
        <x:v>1253.5152055555554</x:v>
      </x:c>
    </x:row>
    <x:row r="230" ht="65" customHeight="1">
      <x:c r="A230" s="61" t="n">
        <x:v>45017</x:v>
      </x:c>
      <x:c r="B230" s="32" t="str">
        <x:v>Industria textil</x:v>
      </x:c>
      <x:c r="C230" s="32" t="str">
        <x:v>Industrias sin Aluar</x:v>
      </x:c>
      <x:c r="D230" s="62" t="n">
        <x:v>30</x:v>
      </x:c>
      <x:c r="E230" s="2" t="str">
        <x:v>Completo</x:v>
      </x:c>
      <x:c r="F230" s="56" t="n">
        <x:v>63.00198472222222</x:v>
      </x:c>
      <x:c r="G230" s="56" t="n">
        <x:f>F62</x:f>
        <x:v>61.509987499999994</x:v>
      </x:c>
      <x:c r="H230" s="57" t="n">
        <x:f>IF(ISNUMBER(G230),IF(G230=0,"n.a.",F230/G230-1),"n.a.")</x:f>
        <x:v>0.02425617827059745</x:v>
      </x:c>
      <x:c r="I230" s="58" t="n">
        <x:f>F230/J230</x:f>
        <x:v>0.05026024769623745</x:v>
      </x:c>
      <x:c r="J230" s="56" t="n">
        <x:v>1253.5152055555554</x:v>
      </x:c>
    </x:row>
    <x:row r="231" ht="65" customHeight="1">
      <x:c r="A231" s="61" t="n">
        <x:v>45017</x:v>
      </x:c>
      <x:c r="B231" s="32" t="str">
        <x:v>Químicas, caucho, plástico y otros minerales no metálicos</x:v>
      </x:c>
      <x:c r="C231" s="32" t="str">
        <x:v>Industrias sin Aluar</x:v>
      </x:c>
      <x:c r="D231" s="62" t="n">
        <x:v>30</x:v>
      </x:c>
      <x:c r="E231" s="2" t="str">
        <x:v>Completo</x:v>
      </x:c>
      <x:c r="F231" s="56" t="n">
        <x:v>333.08837083333333</x:v>
      </x:c>
      <x:c r="G231" s="56" t="n">
        <x:f>F63</x:f>
        <x:v>398.57307777777777</x:v>
      </x:c>
      <x:c r="H231" s="57" t="n">
        <x:f>IF(ISNUMBER(G231),IF(G231=0,"n.a.",F231/G231-1),"n.a.")</x:f>
        <x:v>-0.16429786805860247</x:v>
      </x:c>
      <x:c r="I231" s="58" t="n">
        <x:f>F231/J231</x:f>
        <x:v>0.26572343866041037</x:v>
      </x:c>
      <x:c r="J231" s="56" t="n">
        <x:v>1253.5152055555554</x:v>
      </x:c>
    </x:row>
    <x:row r="232" ht="65" customHeight="1">
      <x:c r="A232" s="61" t="n">
        <x:v>45017</x:v>
      </x:c>
      <x:c r="B232" s="32" t="str">
        <x:v>Extracción de minerales</x:v>
      </x:c>
      <x:c r="C232" s="32" t="str">
        <x:v>Petróleos y minerales</x:v>
      </x:c>
      <x:c r="D232" s="62" t="n">
        <x:v>30</x:v>
      </x:c>
      <x:c r="E232" s="2" t="str">
        <x:v>Completo</x:v>
      </x:c>
      <x:c r="F232" s="56" t="n">
        <x:v>20.03678611111111</x:v>
      </x:c>
      <x:c r="G232" s="56" t="n">
        <x:f>F64</x:f>
        <x:v>18.193920833333333</x:v>
      </x:c>
      <x:c r="H232" s="57" t="n">
        <x:f>IF(ISNUMBER(G232),IF(G232=0,"n.a.",F232/G232-1),"n.a.")</x:f>
        <x:v>0.10129016690022286</x:v>
      </x:c>
      <x:c r="I232" s="58" t="n">
        <x:f>F232/J232</x:f>
        <x:v>0.10642746999795902</x:v>
      </x:c>
      <x:c r="J232" s="56" t="n">
        <x:v>188.26705277777776</x:v>
      </x:c>
    </x:row>
    <x:row r="233" ht="65" customHeight="1">
      <x:c r="A233" s="61" t="n">
        <x:v>45017</x:v>
      </x:c>
      <x:c r="B233" s="32" t="str">
        <x:v>Extracción de petróleo</x:v>
      </x:c>
      <x:c r="C233" s="32" t="str">
        <x:v>Petróleos y minerales</x:v>
      </x:c>
      <x:c r="D233" s="62" t="n">
        <x:v>30</x:v>
      </x:c>
      <x:c r="E233" s="2" t="str">
        <x:v>Completo</x:v>
      </x:c>
      <x:c r="F233" s="56" t="n">
        <x:v>168.23026666666667</x:v>
      </x:c>
      <x:c r="G233" s="56" t="n">
        <x:f>F65</x:f>
        <x:v>183.48032083333334</x:v>
      </x:c>
      <x:c r="H233" s="57" t="n">
        <x:f>IF(ISNUMBER(G233),IF(G233=0,"n.a.",F233/G233-1),"n.a.")</x:f>
        <x:v>-0.0831154758036381</x:v>
      </x:c>
      <x:c r="I233" s="58" t="n">
        <x:f>F233/J233</x:f>
        <x:v>0.8935725300020411</x:v>
      </x:c>
      <x:c r="J233" s="56" t="n">
        <x:v>188.26705277777776</x:v>
      </x:c>
    </x:row>
    <x:row r="234" ht="65" customHeight="1">
      <x:c r="A234" s="61" t="n">
        <x:v>45047</x:v>
      </x:c>
      <x:c r="B234" s="32" t="str">
        <x:v>Cargas y puertos</x:v>
      </x:c>
      <x:c r="C234" s="32" t="str">
        <x:v>Alimentación, comercios y servicios</x:v>
      </x:c>
      <x:c r="D234" s="62" t="n">
        <x:v>31</x:v>
      </x:c>
      <x:c r="E234" s="2" t="str">
        <x:v>Completo</x:v>
      </x:c>
      <x:c r="F234" s="56" t="n">
        <x:v>6.715490591397849</x:v>
      </x:c>
      <x:c r="G234" s="56" t="n">
        <x:f>F66</x:f>
        <x:v>8.200380376344086</x:v>
      </x:c>
      <x:c r="H234" s="57" t="n">
        <x:f>IF(ISNUMBER(G234),IF(G234=0,"n.a.",F234/G234-1),"n.a.")</x:f>
        <x:v>-0.1810757204909358</x:v>
      </x:c>
      <x:c r="I234" s="58" t="n">
        <x:f>F234/J234</x:f>
        <x:v>0.016790881138977875</x:v>
      </x:c>
      <x:c r="J234" s="56" t="n">
        <x:v>399.94867069892473</x:v>
      </x:c>
    </x:row>
    <x:row r="235" ht="65" customHeight="1">
      <x:c r="A235" s="61" t="n">
        <x:v>45047</x:v>
      </x:c>
      <x:c r="B235" s="32" t="str">
        <x:v>Comercio y servicios: principalmente supermercados y centros comerciales</x:v>
      </x:c>
      <x:c r="C235" s="32" t="str">
        <x:v>Alimentación, comercios y servicios</x:v>
      </x:c>
      <x:c r="D235" s="62" t="n">
        <x:v>31</x:v>
      </x:c>
      <x:c r="E235" s="2" t="str">
        <x:v>Completo</x:v>
      </x:c>
      <x:c r="F235" s="56" t="n">
        <x:v>29.059623655913978</x:v>
      </x:c>
      <x:c r="G235" s="56" t="n">
        <x:f>F67</x:f>
        <x:v>26.370419354838713</x:v>
      </x:c>
      <x:c r="H235" s="57" t="n">
        <x:f>IF(ISNUMBER(G235),IF(G235=0,"n.a.",F235/G235-1),"n.a.")</x:f>
        <x:v>0.10197806356013905</x:v>
      </x:c>
      <x:c r="I235" s="58" t="n">
        <x:f>F235/J235</x:f>
        <x:v>0.07265838289981372</x:v>
      </x:c>
      <x:c r="J235" s="56" t="n">
        <x:v>399.94867069892473</x:v>
      </x:c>
    </x:row>
    <x:row r="236" ht="65" customHeight="1">
      <x:c r="A236" s="61" t="n">
        <x:v>45047</x:v>
      </x:c>
      <x:c r="B236" s="32" t="str">
        <x:v>Alimentación y artículos de consumo masivo</x:v>
      </x:c>
      <x:c r="C236" s="32" t="str">
        <x:v>Alimentación, comercios y servicios</x:v>
      </x:c>
      <x:c r="D236" s="62" t="n">
        <x:v>31</x:v>
      </x:c>
      <x:c r="E236" s="2" t="str">
        <x:v>Completo</x:v>
      </x:c>
      <x:c r="F236" s="56" t="n">
        <x:v>275.2428588709677</x:v>
      </x:c>
      <x:c r="G236" s="56" t="n">
        <x:f>F68</x:f>
        <x:v>280.4532822580645</x:v>
      </x:c>
      <x:c r="H236" s="57" t="n">
        <x:f>IF(ISNUMBER(G236),IF(G236=0,"n.a.",F236/G236-1),"n.a.")</x:f>
        <x:v>-0.018578578739193774</x:v>
      </x:c>
      <x:c r="I236" s="58" t="n">
        <x:f>F236/J236</x:f>
        <x:v>0.6881954586571595</x:v>
      </x:c>
      <x:c r="J236" s="56" t="n">
        <x:v>399.94867069892473</x:v>
      </x:c>
    </x:row>
    <x:row r="237" ht="65" customHeight="1">
      <x:c r="A237" s="61" t="n">
        <x:v>45047</x:v>
      </x:c>
      <x:c r="B237" s="32" t="str">
        <x:v>Servicios públicos y transporte: agua y transporte en GBA</x:v>
      </x:c>
      <x:c r="C237" s="32" t="str">
        <x:v>Alimentación, comercios y servicios</x:v>
      </x:c>
      <x:c r="D237" s="62" t="n">
        <x:v>31</x:v>
      </x:c>
      <x:c r="E237" s="2" t="str">
        <x:v>Completo</x:v>
      </x:c>
      <x:c r="F237" s="56" t="n">
        <x:v>88.93069758064517</x:v>
      </x:c>
      <x:c r="G237" s="56" t="n">
        <x:f>F69</x:f>
        <x:v>82.54761155913978</x:v>
      </x:c>
      <x:c r="H237" s="57" t="n">
        <x:f>IF(ISNUMBER(G237),IF(G237=0,"n.a.",F237/G237-1),"n.a.")</x:f>
        <x:v>0.07732611399582834</x:v>
      </x:c>
      <x:c r="I237" s="58" t="n">
        <x:f>F237/J237</x:f>
        <x:v>0.22235527730404897</x:v>
      </x:c>
      <x:c r="J237" s="56" t="n">
        <x:v>399.94867069892473</x:v>
      </x:c>
    </x:row>
    <x:row r="238" ht="65" customHeight="1">
      <x:c r="A238" s="61" t="n">
        <x:v>45047</x:v>
      </x:c>
      <x:c r="B238" s="32" t="str">
        <x:v>Industria automotriz</x:v>
      </x:c>
      <x:c r="C238" s="32" t="str">
        <x:v>Industrias sin Aluar</x:v>
      </x:c>
      <x:c r="D238" s="62" t="n">
        <x:v>31</x:v>
      </x:c>
      <x:c r="E238" s="2" t="str">
        <x:v>Completo</x:v>
      </x:c>
      <x:c r="F238" s="56" t="n">
        <x:v>37.40162096774194</x:v>
      </x:c>
      <x:c r="G238" s="56" t="n">
        <x:f>F70</x:f>
        <x:v>33.78188172043011</x:v>
      </x:c>
      <x:c r="H238" s="57" t="n">
        <x:f>IF(ISNUMBER(G238),IF(G238=0,"n.a.",F238/G238-1),"n.a.")</x:f>
        <x:v>0.10715031439834632</x:v>
      </x:c>
      <x:c r="I238" s="58" t="n">
        <x:f>F238/J238</x:f>
        <x:v>0.029448126930505015</x:v>
      </x:c>
      <x:c r="J238" s="56" t="n">
        <x:v>1270.0848870967743</x:v>
      </x:c>
    </x:row>
    <x:row r="239" ht="65" customHeight="1">
      <x:c r="A239" s="61" t="n">
        <x:v>45047</x:v>
      </x:c>
      <x:c r="B239" s="32" t="str">
        <x:v>Derivados de petróleo</x:v>
      </x:c>
      <x:c r="C239" s="32" t="str">
        <x:v>Industrias sin Aluar</x:v>
      </x:c>
      <x:c r="D239" s="62" t="n">
        <x:v>31</x:v>
      </x:c>
      <x:c r="E239" s="2" t="str">
        <x:v>Completo</x:v>
      </x:c>
      <x:c r="F239" s="56" t="n">
        <x:v>153.75251344086024</x:v>
      </x:c>
      <x:c r="G239" s="56" t="n">
        <x:f>F71</x:f>
        <x:v>210.03337231182797</x:v>
      </x:c>
      <x:c r="H239" s="57" t="n">
        <x:f>IF(ISNUMBER(G239),IF(G239=0,"n.a.",F239/G239-1),"n.a.")</x:f>
        <x:v>-0.26796150655244366</x:v>
      </x:c>
      <x:c r="I239" s="58" t="n">
        <x:f>F239/J239</x:f>
        <x:v>0.12105687974314511</x:v>
      </x:c>
      <x:c r="J239" s="56" t="n">
        <x:v>1270.0848870967743</x:v>
      </x:c>
    </x:row>
    <x:row r="240" ht="65" customHeight="1">
      <x:c r="A240" s="61" t="n">
        <x:v>45047</x:v>
      </x:c>
      <x:c r="B240" s="32" t="str">
        <x:v>Construcción: elaboración de cemento y canteras</x:v>
      </x:c>
      <x:c r="C240" s="32" t="str">
        <x:v>Industrias sin Aluar</x:v>
      </x:c>
      <x:c r="D240" s="62" t="n">
        <x:v>31</x:v>
      </x:c>
      <x:c r="E240" s="2" t="str">
        <x:v>Completo</x:v>
      </x:c>
      <x:c r="F240" s="56" t="n">
        <x:v>175.4919677419355</x:v>
      </x:c>
      <x:c r="G240" s="56" t="n">
        <x:f>F72</x:f>
        <x:v>175.85155241935482</x:v>
      </x:c>
      <x:c r="H240" s="57" t="n">
        <x:f>IF(ISNUMBER(G240),IF(G240=0,"n.a.",F240/G240-1),"n.a.")</x:f>
        <x:v>-0.0020448194654648644</x:v>
      </x:c>
      <x:c r="I240" s="58" t="n">
        <x:f>F240/J240</x:f>
        <x:v>0.13817341622187482</x:v>
      </x:c>
      <x:c r="J240" s="56" t="n">
        <x:v>1270.0848870967743</x:v>
      </x:c>
    </x:row>
    <x:row r="241" ht="65" customHeight="1">
      <x:c r="A241" s="61" t="n">
        <x:v>45047</x:v>
      </x:c>
      <x:c r="B241" s="32" t="str">
        <x:v>Madera y papel</x:v>
      </x:c>
      <x:c r="C241" s="32" t="str">
        <x:v>Industrias sin Aluar</x:v>
      </x:c>
      <x:c r="D241" s="62" t="n">
        <x:v>31</x:v>
      </x:c>
      <x:c r="E241" s="2" t="str">
        <x:v>Completo</x:v>
      </x:c>
      <x:c r="F241" s="56" t="n">
        <x:v>108.79648387096775</x:v>
      </x:c>
      <x:c r="G241" s="56" t="n">
        <x:f>F73</x:f>
        <x:v>107.2743629032258</x:v>
      </x:c>
      <x:c r="H241" s="57" t="n">
        <x:f>IF(ISNUMBER(G241),IF(G241=0,"n.a.",F241/G241-1),"n.a.")</x:f>
        <x:v>0.014189046912495451</x:v>
      </x:c>
      <x:c r="I241" s="58" t="n">
        <x:f>F241/J241</x:f>
        <x:v>0.08566079714534701</x:v>
      </x:c>
      <x:c r="J241" s="56" t="n">
        <x:v>1270.0848870967743</x:v>
      </x:c>
    </x:row>
    <x:row r="242" ht="65" customHeight="1">
      <x:c r="A242" s="61" t="n">
        <x:v>45047</x:v>
      </x:c>
      <x:c r="B242" s="32" t="str">
        <x:v>Productos metálicos no automotores</x:v>
      </x:c>
      <x:c r="C242" s="32" t="str">
        <x:v>Industrias sin Aluar</x:v>
      </x:c>
      <x:c r="D242" s="62" t="n">
        <x:v>31</x:v>
      </x:c>
      <x:c r="E242" s="2" t="str">
        <x:v>Completo</x:v>
      </x:c>
      <x:c r="F242" s="56" t="n">
        <x:v>47.84571370967742</x:v>
      </x:c>
      <x:c r="G242" s="56" t="n">
        <x:f>F74</x:f>
        <x:v>56.59469758064516</x:v>
      </x:c>
      <x:c r="H242" s="57" t="n">
        <x:f>IF(ISNUMBER(G242),IF(G242=0,"n.a.",F242/G242-1),"n.a.")</x:f>
        <x:v>-0.15459016913202495</x:v>
      </x:c>
      <x:c r="I242" s="58" t="n">
        <x:f>F242/J242</x:f>
        <x:v>0.037671272365932665</x:v>
      </x:c>
      <x:c r="J242" s="56" t="n">
        <x:v>1270.0848870967743</x:v>
      </x:c>
    </x:row>
    <x:row r="243" ht="65" customHeight="1">
      <x:c r="A243" s="61" t="n">
        <x:v>45047</x:v>
      </x:c>
      <x:c r="B243" s="32" t="str">
        <x:v>Gran siderurgia</x:v>
      </x:c>
      <x:c r="C243" s="32" t="str">
        <x:v>Industrias sin Aluar</x:v>
      </x:c>
      <x:c r="D243" s="62" t="n">
        <x:v>31</x:v>
      </x:c>
      <x:c r="E243" s="2" t="str">
        <x:v>Completo</x:v>
      </x:c>
      <x:c r="F243" s="56" t="n">
        <x:v>357.60996505376346</x:v>
      </x:c>
      <x:c r="G243" s="56" t="n">
        <x:f>F75</x:f>
        <x:v>357.4851182795699</x:v>
      </x:c>
      <x:c r="H243" s="57" t="n">
        <x:f>IF(ISNUMBER(G243),IF(G243=0,"n.a.",F243/G243-1),"n.a.")</x:f>
        <x:v>0.00034923628372096616</x:v>
      </x:c>
      <x:c r="I243" s="58" t="n">
        <x:f>F243/J243</x:f>
        <x:v>0.28156382985644907</x:v>
      </x:c>
      <x:c r="J243" s="56" t="n">
        <x:v>1270.0848870967743</x:v>
      </x:c>
    </x:row>
    <x:row r="244" ht="65" customHeight="1">
      <x:c r="A244" s="61" t="n">
        <x:v>45047</x:v>
      </x:c>
      <x:c r="B244" s="32" t="str">
        <x:v>Industria textil</x:v>
      </x:c>
      <x:c r="C244" s="32" t="str">
        <x:v>Industrias sin Aluar</x:v>
      </x:c>
      <x:c r="D244" s="62" t="n">
        <x:v>31</x:v>
      </x:c>
      <x:c r="E244" s="2" t="str">
        <x:v>Completo</x:v>
      </x:c>
      <x:c r="F244" s="56" t="n">
        <x:v>60.61020833333333</x:v>
      </x:c>
      <x:c r="G244" s="56" t="n">
        <x:f>F76</x:f>
        <x:v>59.93705107526882</x:v>
      </x:c>
      <x:c r="H244" s="57" t="n">
        <x:f>IF(ISNUMBER(G244),IF(G244=0,"n.a.",F244/G244-1),"n.a.")</x:f>
        <x:v>0.011231070698142442</x:v>
      </x:c>
      <x:c r="I244" s="58" t="n">
        <x:f>F244/J244</x:f>
        <x:v>0.04772138378237008</x:v>
      </x:c>
      <x:c r="J244" s="56" t="n">
        <x:v>1270.0848870967743</x:v>
      </x:c>
    </x:row>
    <x:row r="245" ht="65" customHeight="1">
      <x:c r="A245" s="61" t="n">
        <x:v>45047</x:v>
      </x:c>
      <x:c r="B245" s="32" t="str">
        <x:v>Químicas, caucho, plástico y otros minerales no metálicos</x:v>
      </x:c>
      <x:c r="C245" s="32" t="str">
        <x:v>Industrias sin Aluar</x:v>
      </x:c>
      <x:c r="D245" s="62" t="n">
        <x:v>31</x:v>
      </x:c>
      <x:c r="E245" s="2" t="str">
        <x:v>Completo</x:v>
      </x:c>
      <x:c r="F245" s="56" t="n">
        <x:v>328.57641397849466</x:v>
      </x:c>
      <x:c r="G245" s="56" t="n">
        <x:f>F77</x:f>
        <x:v>334.87222580645164</x:v>
      </x:c>
      <x:c r="H245" s="57" t="n">
        <x:f>IF(ISNUMBER(G245),IF(G245=0,"n.a.",F245/G245-1),"n.a.")</x:f>
        <x:v>-0.018800638998337837</x:v>
      </x:c>
      <x:c r="I245" s="58" t="n">
        <x:f>F245/J245</x:f>
        <x:v>0.2587042939543762</x:v>
      </x:c>
      <x:c r="J245" s="56" t="n">
        <x:v>1270.0848870967743</x:v>
      </x:c>
    </x:row>
    <x:row r="246" ht="65" customHeight="1">
      <x:c r="A246" s="61" t="n">
        <x:v>45047</x:v>
      </x:c>
      <x:c r="B246" s="32" t="str">
        <x:v>Extracción de minerales</x:v>
      </x:c>
      <x:c r="C246" s="32" t="str">
        <x:v>Petróleos y minerales</x:v>
      </x:c>
      <x:c r="D246" s="62" t="n">
        <x:v>31</x:v>
      </x:c>
      <x:c r="E246" s="2" t="str">
        <x:v>Completo</x:v>
      </x:c>
      <x:c r="F246" s="56" t="n">
        <x:v>20.764936827956987</x:v>
      </x:c>
      <x:c r="G246" s="56" t="n">
        <x:f>F78</x:f>
        <x:v>18.976434139784946</x:v>
      </x:c>
      <x:c r="H246" s="57" t="n">
        <x:f>IF(ISNUMBER(G246),IF(G246=0,"n.a.",F246/G246-1),"n.a.")</x:f>
        <x:v>0.09424861778548621</x:v>
      </x:c>
      <x:c r="I246" s="58" t="n">
        <x:f>F246/J246</x:f>
        <x:v>0.10999708871897006</x:v>
      </x:c>
      <x:c r="J246" s="56" t="n">
        <x:v>188.77714919354838</x:v>
      </x:c>
    </x:row>
    <x:row r="247" ht="65" customHeight="1">
      <x:c r="A247" s="61" t="n">
        <x:v>45047</x:v>
      </x:c>
      <x:c r="B247" s="32" t="str">
        <x:v>Extracción de petróleo</x:v>
      </x:c>
      <x:c r="C247" s="32" t="str">
        <x:v>Petróleos y minerales</x:v>
      </x:c>
      <x:c r="D247" s="62" t="n">
        <x:v>31</x:v>
      </x:c>
      <x:c r="E247" s="2" t="str">
        <x:v>Completo</x:v>
      </x:c>
      <x:c r="F247" s="56" t="n">
        <x:v>168.01221236559138</x:v>
      </x:c>
      <x:c r="G247" s="56" t="n">
        <x:f>F79</x:f>
        <x:v>174.7756626344086</x:v>
      </x:c>
      <x:c r="H247" s="57" t="n">
        <x:f>IF(ISNUMBER(G247),IF(G247=0,"n.a.",F247/G247-1),"n.a.")</x:f>
        <x:v>-0.03869789515811961</x:v>
      </x:c>
      <x:c r="I247" s="58" t="n">
        <x:f>F247/J247</x:f>
        <x:v>0.8900029112810298</x:v>
      </x:c>
      <x:c r="J247" s="56" t="n">
        <x:v>188.77714919354838</x:v>
      </x:c>
    </x:row>
    <x:row r="248" ht="65" customHeight="1">
      <x:c r="A248" s="61" t="n">
        <x:v>45078</x:v>
      </x:c>
      <x:c r="B248" s="32" t="str">
        <x:v>Cargas y puertos</x:v>
      </x:c>
      <x:c r="C248" s="32" t="str">
        <x:v>Alimentación, comercios y servicios</x:v>
      </x:c>
      <x:c r="D248" s="62" t="n">
        <x:v>30</x:v>
      </x:c>
      <x:c r="E248" s="2" t="str">
        <x:v>Completo</x:v>
      </x:c>
      <x:c r="F248" s="56" t="n">
        <x:v>6.961018055555556</x:v>
      </x:c>
      <x:c r="G248" s="56" t="n">
        <x:f>F80</x:f>
        <x:v>8.289541666666667</x:v>
      </x:c>
      <x:c r="H248" s="57" t="n">
        <x:f>IF(ISNUMBER(G248),IF(G248=0,"n.a.",F248/G248-1),"n.a.")</x:f>
        <x:v>-0.16026502604520076</x:v>
      </x:c>
      <x:c r="I248" s="58" t="n">
        <x:f>F248/J248</x:f>
        <x:v>0.01751917319470826</x:v>
      </x:c>
      <x:c r="J248" s="56" t="n">
        <x:v>397.3371333333334</x:v>
      </x:c>
    </x:row>
    <x:row r="249" ht="65" customHeight="1">
      <x:c r="A249" s="61" t="n">
        <x:v>45078</x:v>
      </x:c>
      <x:c r="B249" s="32" t="str">
        <x:v>Comercio y servicios: principalmente supermercados y centros comerciales</x:v>
      </x:c>
      <x:c r="C249" s="32" t="str">
        <x:v>Alimentación, comercios y servicios</x:v>
      </x:c>
      <x:c r="D249" s="62" t="n">
        <x:v>30</x:v>
      </x:c>
      <x:c r="E249" s="2" t="str">
        <x:v>Completo</x:v>
      </x:c>
      <x:c r="F249" s="56" t="n">
        <x:v>28.469118055555555</x:v>
      </x:c>
      <x:c r="G249" s="56" t="n">
        <x:f>F81</x:f>
        <x:v>26.9408125</x:v>
      </x:c>
      <x:c r="H249" s="57" t="n">
        <x:f>IF(ISNUMBER(G249),IF(G249=0,"n.a.",F249/G249-1),"n.a.")</x:f>
        <x:v>0.0567282651759502</x:v>
      </x:c>
      <x:c r="I249" s="58" t="n">
        <x:f>F249/J249</x:f>
        <x:v>0.07164977966374034</x:v>
      </x:c>
      <x:c r="J249" s="56" t="n">
        <x:v>397.3371333333334</x:v>
      </x:c>
    </x:row>
    <x:row r="250" ht="65" customHeight="1">
      <x:c r="A250" s="61" t="n">
        <x:v>45078</x:v>
      </x:c>
      <x:c r="B250" s="32" t="str">
        <x:v>Alimentación y artículos de consumo masivo</x:v>
      </x:c>
      <x:c r="C250" s="32" t="str">
        <x:v>Alimentación, comercios y servicios</x:v>
      </x:c>
      <x:c r="D250" s="62" t="n">
        <x:v>30</x:v>
      </x:c>
      <x:c r="E250" s="2" t="str">
        <x:v>Completo</x:v>
      </x:c>
      <x:c r="F250" s="56" t="n">
        <x:v>272.8942791666667</x:v>
      </x:c>
      <x:c r="G250" s="56" t="n">
        <x:f>F82</x:f>
        <x:v>273.6364597222222</x:v>
      </x:c>
      <x:c r="H250" s="57" t="n">
        <x:f>IF(ISNUMBER(G250),IF(G250=0,"n.a.",F250/G250-1),"n.a.")</x:f>
        <x:v>-0.002712286792150742</x:v>
      </x:c>
      <x:c r="I250" s="58" t="n">
        <x:f>F250/J250</x:f>
        <x:v>0.6868078925251889</x:v>
      </x:c>
      <x:c r="J250" s="56" t="n">
        <x:v>397.3371333333334</x:v>
      </x:c>
    </x:row>
    <x:row r="251" ht="65" customHeight="1">
      <x:c r="A251" s="61" t="n">
        <x:v>45078</x:v>
      </x:c>
      <x:c r="B251" s="32" t="str">
        <x:v>Servicios públicos y transporte: agua y transporte en GBA</x:v>
      </x:c>
      <x:c r="C251" s="32" t="str">
        <x:v>Alimentación, comercios y servicios</x:v>
      </x:c>
      <x:c r="D251" s="62" t="n">
        <x:v>30</x:v>
      </x:c>
      <x:c r="E251" s="2" t="str">
        <x:v>Completo</x:v>
      </x:c>
      <x:c r="F251" s="56" t="n">
        <x:v>89.01271805555555</x:v>
      </x:c>
      <x:c r="G251" s="56" t="n">
        <x:f>F83</x:f>
        <x:v>82.35025138888889</x:v>
      </x:c>
      <x:c r="H251" s="57" t="n">
        <x:f>IF(ISNUMBER(G251),IF(G251=0,"n.a.",F251/G251-1),"n.a.")</x:f>
        <x:v>0.08090402341583625</x:v>
      </x:c>
      <x:c r="I251" s="58" t="n">
        <x:f>F251/J251</x:f>
        <x:v>0.2240231546163624</x:v>
      </x:c>
      <x:c r="J251" s="56" t="n">
        <x:v>397.3371333333334</x:v>
      </x:c>
    </x:row>
    <x:row r="252" ht="65" customHeight="1">
      <x:c r="A252" s="61" t="n">
        <x:v>45078</x:v>
      </x:c>
      <x:c r="B252" s="32" t="str">
        <x:v>Industria automotriz</x:v>
      </x:c>
      <x:c r="C252" s="32" t="str">
        <x:v>Industrias sin Aluar</x:v>
      </x:c>
      <x:c r="D252" s="62" t="n">
        <x:v>30</x:v>
      </x:c>
      <x:c r="E252" s="2" t="str">
        <x:v>Completo</x:v>
      </x:c>
      <x:c r="F252" s="56" t="n">
        <x:v>38.96101388888889</x:v>
      </x:c>
      <x:c r="G252" s="56" t="n">
        <x:f>F84</x:f>
        <x:v>38.01621111111111</x:v>
      </x:c>
      <x:c r="H252" s="57" t="n">
        <x:f>IF(ISNUMBER(G252),IF(G252=0,"n.a.",F252/G252-1),"n.a.")</x:f>
        <x:v>0.024852628659294274</x:v>
      </x:c>
      <x:c r="I252" s="58" t="n">
        <x:f>F252/J252</x:f>
        <x:v>0.03143130275611588</x:v>
      </x:c>
      <x:c r="J252" s="56" t="n">
        <x:v>1239.560898611111</x:v>
      </x:c>
    </x:row>
    <x:row r="253" ht="65" customHeight="1">
      <x:c r="A253" s="61" t="n">
        <x:v>45078</x:v>
      </x:c>
      <x:c r="B253" s="32" t="str">
        <x:v>Derivados de petróleo</x:v>
      </x:c>
      <x:c r="C253" s="32" t="str">
        <x:v>Industrias sin Aluar</x:v>
      </x:c>
      <x:c r="D253" s="62" t="n">
        <x:v>30</x:v>
      </x:c>
      <x:c r="E253" s="2" t="str">
        <x:v>Completo</x:v>
      </x:c>
      <x:c r="F253" s="56" t="n">
        <x:v>153.00893750000003</x:v>
      </x:c>
      <x:c r="G253" s="56" t="n">
        <x:f>F85</x:f>
        <x:v>151.2083986111111</x:v>
      </x:c>
      <x:c r="H253" s="57" t="n">
        <x:f>IF(ISNUMBER(G253),IF(G253=0,"n.a.",F253/G253-1),"n.a.")</x:f>
        <x:v>0.01190766455717629</x:v>
      </x:c>
      <x:c r="I253" s="58" t="n">
        <x:f>F253/J253</x:f>
        <x:v>0.12343801556780448</x:v>
      </x:c>
      <x:c r="J253" s="56" t="n">
        <x:v>1239.560898611111</x:v>
      </x:c>
    </x:row>
    <x:row r="254" ht="65" customHeight="1">
      <x:c r="A254" s="61" t="n">
        <x:v>45078</x:v>
      </x:c>
      <x:c r="B254" s="32" t="str">
        <x:v>Construcción: elaboración de cemento y canteras</x:v>
      </x:c>
      <x:c r="C254" s="32" t="str">
        <x:v>Industrias sin Aluar</x:v>
      </x:c>
      <x:c r="D254" s="62" t="n">
        <x:v>30</x:v>
      </x:c>
      <x:c r="E254" s="2" t="str">
        <x:v>Completo</x:v>
      </x:c>
      <x:c r="F254" s="56" t="n">
        <x:v>162.46503194444446</x:v>
      </x:c>
      <x:c r="G254" s="56" t="n">
        <x:f>F86</x:f>
        <x:v>168.804925</x:v>
      </x:c>
      <x:c r="H254" s="57" t="n">
        <x:f>IF(ISNUMBER(G254),IF(G254=0,"n.a.",F254/G254-1),"n.a.")</x:f>
        <x:v>-0.03755751235075355</x:v>
      </x:c>
      <x:c r="I254" s="58" t="n">
        <x:f>F254/J254</x:f>
        <x:v>0.131066599572866</x:v>
      </x:c>
      <x:c r="J254" s="56" t="n">
        <x:v>1239.560898611111</x:v>
      </x:c>
    </x:row>
    <x:row r="255" ht="65" customHeight="1">
      <x:c r="A255" s="61" t="n">
        <x:v>45078</x:v>
      </x:c>
      <x:c r="B255" s="32" t="str">
        <x:v>Madera y papel</x:v>
      </x:c>
      <x:c r="C255" s="32" t="str">
        <x:v>Industrias sin Aluar</x:v>
      </x:c>
      <x:c r="D255" s="62" t="n">
        <x:v>30</x:v>
      </x:c>
      <x:c r="E255" s="2" t="str">
        <x:v>Completo</x:v>
      </x:c>
      <x:c r="F255" s="56" t="n">
        <x:v>109.91046388888888</x:v>
      </x:c>
      <x:c r="G255" s="56" t="n">
        <x:f>F87</x:f>
        <x:v>117.95675694444444</x:v>
      </x:c>
      <x:c r="H255" s="57" t="n">
        <x:f>IF(ISNUMBER(G255),IF(G255=0,"n.a.",F255/G255-1),"n.a.")</x:f>
        <x:v>-0.0682139223219338</x:v>
      </x:c>
      <x:c r="I255" s="58" t="n">
        <x:f>F255/J255</x:f>
        <x:v>0.08866886976835112</x:v>
      </x:c>
      <x:c r="J255" s="56" t="n">
        <x:v>1239.560898611111</x:v>
      </x:c>
    </x:row>
    <x:row r="256" ht="65" customHeight="1">
      <x:c r="A256" s="61" t="n">
        <x:v>45078</x:v>
      </x:c>
      <x:c r="B256" s="32" t="str">
        <x:v>Productos metálicos no automotores</x:v>
      </x:c>
      <x:c r="C256" s="32" t="str">
        <x:v>Industrias sin Aluar</x:v>
      </x:c>
      <x:c r="D256" s="62" t="n">
        <x:v>30</x:v>
      </x:c>
      <x:c r="E256" s="2" t="str">
        <x:v>Completo</x:v>
      </x:c>
      <x:c r="F256" s="56" t="n">
        <x:v>51.01157777777778</x:v>
      </x:c>
      <x:c r="G256" s="56" t="n">
        <x:f>F88</x:f>
        <x:v>57.894641666666665</x:v>
      </x:c>
      <x:c r="H256" s="57" t="n">
        <x:f>IF(ISNUMBER(G256),IF(G256=0,"n.a.",F256/G256-1),"n.a.")</x:f>
        <x:v>-0.11888948080063633</x:v>
      </x:c>
      <x:c r="I256" s="58" t="n">
        <x:f>F256/J256</x:f>
        <x:v>0.04115294200949275</x:v>
      </x:c>
      <x:c r="J256" s="56" t="n">
        <x:v>1239.560898611111</x:v>
      </x:c>
    </x:row>
    <x:row r="257" ht="65" customHeight="1">
      <x:c r="A257" s="61" t="n">
        <x:v>45078</x:v>
      </x:c>
      <x:c r="B257" s="32" t="str">
        <x:v>Gran siderurgia</x:v>
      </x:c>
      <x:c r="C257" s="32" t="str">
        <x:v>Industrias sin Aluar</x:v>
      </x:c>
      <x:c r="D257" s="62" t="n">
        <x:v>30</x:v>
      </x:c>
      <x:c r="E257" s="2" t="str">
        <x:v>Completo</x:v>
      </x:c>
      <x:c r="F257" s="56" t="n">
        <x:v>332.24445833333334</x:v>
      </x:c>
      <x:c r="G257" s="56" t="n">
        <x:f>F89</x:f>
        <x:v>384.8158569444444</x:v>
      </x:c>
      <x:c r="H257" s="57" t="n">
        <x:f>IF(ISNUMBER(G257),IF(G257=0,"n.a.",F257/G257-1),"n.a.")</x:f>
        <x:v>-0.13661442911564003</x:v>
      </x:c>
      <x:c r="I257" s="58" t="n">
        <x:f>F257/J257</x:f>
        <x:v>0.26803399389703464</x:v>
      </x:c>
      <x:c r="J257" s="56" t="n">
        <x:v>1239.560898611111</x:v>
      </x:c>
    </x:row>
    <x:row r="258" ht="65" customHeight="1">
      <x:c r="A258" s="61" t="n">
        <x:v>45078</x:v>
      </x:c>
      <x:c r="B258" s="32" t="str">
        <x:v>Industria textil</x:v>
      </x:c>
      <x:c r="C258" s="32" t="str">
        <x:v>Industrias sin Aluar</x:v>
      </x:c>
      <x:c r="D258" s="62" t="n">
        <x:v>30</x:v>
      </x:c>
      <x:c r="E258" s="2" t="str">
        <x:v>Completo</x:v>
      </x:c>
      <x:c r="F258" s="56" t="n">
        <x:v>61.439101388888886</x:v>
      </x:c>
      <x:c r="G258" s="56" t="n">
        <x:f>F90</x:f>
        <x:v>61.996325</x:v>
      </x:c>
      <x:c r="H258" s="57" t="n">
        <x:f>IF(ISNUMBER(G258),IF(G258=0,"n.a.",F258/G258-1),"n.a.")</x:f>
        <x:v>-0.008988010355631793</x:v>
      </x:c>
      <x:c r="I258" s="58" t="n">
        <x:f>F258/J258</x:f>
        <x:v>0.04956521414779174</x:v>
      </x:c>
      <x:c r="J258" s="56" t="n">
        <x:v>1239.560898611111</x:v>
      </x:c>
    </x:row>
    <x:row r="259" ht="65" customHeight="1">
      <x:c r="A259" s="61" t="n">
        <x:v>45078</x:v>
      </x:c>
      <x:c r="B259" s="32" t="str">
        <x:v>Químicas, caucho, plástico y otros minerales no metálicos</x:v>
      </x:c>
      <x:c r="C259" s="32" t="str">
        <x:v>Industrias sin Aluar</x:v>
      </x:c>
      <x:c r="D259" s="62" t="n">
        <x:v>30</x:v>
      </x:c>
      <x:c r="E259" s="2" t="str">
        <x:v>Completo</x:v>
      </x:c>
      <x:c r="F259" s="56" t="n">
        <x:v>330.5203138888889</x:v>
      </x:c>
      <x:c r="G259" s="56" t="n">
        <x:f>F91</x:f>
        <x:v>325.8592</x:v>
      </x:c>
      <x:c r="H259" s="57" t="n">
        <x:f>IF(ISNUMBER(G259),IF(G259=0,"n.a.",F259/G259-1),"n.a.")</x:f>
        <x:v>0.014304073320283495</x:v>
      </x:c>
      <x:c r="I259" s="58" t="n">
        <x:f>F259/J259</x:f>
        <x:v>0.26664306228054346</x:v>
      </x:c>
      <x:c r="J259" s="56" t="n">
        <x:v>1239.560898611111</x:v>
      </x:c>
    </x:row>
    <x:row r="260" ht="65" customHeight="1">
      <x:c r="A260" s="61" t="n">
        <x:v>45078</x:v>
      </x:c>
      <x:c r="B260" s="32" t="str">
        <x:v>Extracción de minerales</x:v>
      </x:c>
      <x:c r="C260" s="32" t="str">
        <x:v>Petróleos y minerales</x:v>
      </x:c>
      <x:c r="D260" s="62" t="n">
        <x:v>30</x:v>
      </x:c>
      <x:c r="E260" s="2" t="str">
        <x:v>Completo</x:v>
      </x:c>
      <x:c r="F260" s="56" t="n">
        <x:v>21.87880555555556</x:v>
      </x:c>
      <x:c r="G260" s="56" t="n">
        <x:f>F92</x:f>
        <x:v>19.1463625</x:v>
      </x:c>
      <x:c r="H260" s="57" t="n">
        <x:f>IF(ISNUMBER(G260),IF(G260=0,"n.a.",F260/G260-1),"n.a.")</x:f>
        <x:v>0.14271342953814647</x:v>
      </x:c>
      <x:c r="I260" s="58" t="n">
        <x:f>F260/J260</x:f>
        <x:v>0.11574645698163764</x:v>
      </x:c>
      <x:c r="J260" s="56" t="n">
        <x:v>189.02354444444444</x:v>
      </x:c>
    </x:row>
    <x:row r="261" ht="65" customHeight="1">
      <x:c r="A261" s="61" t="n">
        <x:v>45078</x:v>
      </x:c>
      <x:c r="B261" s="32" t="str">
        <x:v>Extracción de petróleo</x:v>
      </x:c>
      <x:c r="C261" s="32" t="str">
        <x:v>Petróleos y minerales</x:v>
      </x:c>
      <x:c r="D261" s="62" t="n">
        <x:v>30</x:v>
      </x:c>
      <x:c r="E261" s="2" t="str">
        <x:v>Completo</x:v>
      </x:c>
      <x:c r="F261" s="56" t="n">
        <x:v>167.14473888888887</x:v>
      </x:c>
      <x:c r="G261" s="56" t="n">
        <x:f>F93</x:f>
        <x:v>172.34139027777778</x:v>
      </x:c>
      <x:c r="H261" s="57" t="n">
        <x:f>IF(ISNUMBER(G261),IF(G261=0,"n.a.",F261/G261-1),"n.a.")</x:f>
        <x:v>-0.03015324049848389</x:v>
      </x:c>
      <x:c r="I261" s="58" t="n">
        <x:f>F261/J261</x:f>
        <x:v>0.8842535430183622</x:v>
      </x:c>
      <x:c r="J261" s="56" t="n">
        <x:v>189.02354444444444</x:v>
      </x:c>
    </x:row>
    <x:row r="262" ht="65" customHeight="1">
      <x:c r="A262" s="61" t="n">
        <x:v>45108</x:v>
      </x:c>
      <x:c r="B262" s="32" t="str">
        <x:v>Cargas y puertos</x:v>
      </x:c>
      <x:c r="C262" s="32" t="str">
        <x:v>Alimentación, comercios y servicios</x:v>
      </x:c>
      <x:c r="D262" s="62" t="n">
        <x:v>31</x:v>
      </x:c>
      <x:c r="E262" s="2" t="str">
        <x:v>Completo</x:v>
      </x:c>
      <x:c r="F262" s="56" t="n">
        <x:v>7.421228494623656</x:v>
      </x:c>
      <x:c r="G262" s="56" t="n">
        <x:f>F94</x:f>
        <x:v>7.611599462365592</x:v>
      </x:c>
      <x:c r="H262" s="57" t="n">
        <x:f>IF(ISNUMBER(G262),IF(G262=0,"n.a.",F262/G262-1),"n.a.")</x:f>
        <x:v>-0.025010639180791938</x:v>
      </x:c>
      <x:c r="I262" s="58" t="n">
        <x:f>F262/J262</x:f>
        <x:v>0.018831408567153558</x:v>
      </x:c>
      <x:c r="J262" s="56" t="n">
        <x:v>394.0878064516129</x:v>
      </x:c>
    </x:row>
    <x:row r="263" ht="65" customHeight="1">
      <x:c r="A263" s="61" t="n">
        <x:v>45108</x:v>
      </x:c>
      <x:c r="B263" s="32" t="str">
        <x:v>Comercio y servicios: principalmente supermercados y centros comerciales</x:v>
      </x:c>
      <x:c r="C263" s="32" t="str">
        <x:v>Alimentación, comercios y servicios</x:v>
      </x:c>
      <x:c r="D263" s="62" t="n">
        <x:v>31</x:v>
      </x:c>
      <x:c r="E263" s="2" t="str">
        <x:v>Completo</x:v>
      </x:c>
      <x:c r="F263" s="56" t="n">
        <x:v>28.65633870967742</x:v>
      </x:c>
      <x:c r="G263" s="56" t="n">
        <x:f>F95</x:f>
        <x:v>27.236862903225806</x:v>
      </x:c>
      <x:c r="H263" s="57" t="n">
        <x:f>IF(ISNUMBER(G263),IF(G263=0,"n.a.",F263/G263-1),"n.a.")</x:f>
        <x:v>0.05211598015142549</x:v>
      </x:c>
      <x:c r="I263" s="58" t="n">
        <x:f>F263/J263</x:f>
        <x:v>0.07271561880510992</x:v>
      </x:c>
      <x:c r="J263" s="56" t="n">
        <x:v>394.0878064516129</x:v>
      </x:c>
    </x:row>
    <x:row r="264" ht="65" customHeight="1">
      <x:c r="A264" s="61" t="n">
        <x:v>45108</x:v>
      </x:c>
      <x:c r="B264" s="32" t="str">
        <x:v>Alimentación y artículos de consumo masivo</x:v>
      </x:c>
      <x:c r="C264" s="32" t="str">
        <x:v>Alimentación, comercios y servicios</x:v>
      </x:c>
      <x:c r="D264" s="62" t="n">
        <x:v>31</x:v>
      </x:c>
      <x:c r="E264" s="2" t="str">
        <x:v>Completo</x:v>
      </x:c>
      <x:c r="F264" s="56" t="n">
        <x:v>269.8224086021505</x:v>
      </x:c>
      <x:c r="G264" s="56" t="n">
        <x:f>F96</x:f>
        <x:v>265.324311827957</x:v>
      </x:c>
      <x:c r="H264" s="57" t="n">
        <x:f>IF(ISNUMBER(G264),IF(G264=0,"n.a.",F264/G264-1),"n.a.")</x:f>
        <x:v>0.01695320245326859</x:v>
      </x:c>
      <x:c r="I264" s="58" t="n">
        <x:f>F264/J264</x:f>
        <x:v>0.684675862041116</x:v>
      </x:c>
      <x:c r="J264" s="56" t="n">
        <x:v>394.0878064516129</x:v>
      </x:c>
    </x:row>
    <x:row r="265" ht="65" customHeight="1">
      <x:c r="A265" s="61" t="n">
        <x:v>45108</x:v>
      </x:c>
      <x:c r="B265" s="32" t="str">
        <x:v>Servicios públicos y transporte: agua y transporte en GBA</x:v>
      </x:c>
      <x:c r="C265" s="32" t="str">
        <x:v>Alimentación, comercios y servicios</x:v>
      </x:c>
      <x:c r="D265" s="62" t="n">
        <x:v>31</x:v>
      </x:c>
      <x:c r="E265" s="2" t="str">
        <x:v>Completo</x:v>
      </x:c>
      <x:c r="F265" s="56" t="n">
        <x:v>88.18783064516128</x:v>
      </x:c>
      <x:c r="G265" s="56" t="n">
        <x:f>F97</x:f>
        <x:v>81.51107526881721</x:v>
      </x:c>
      <x:c r="H265" s="57" t="n">
        <x:f>IF(ISNUMBER(G265),IF(G265=0,"n.a.",F265/G265-1),"n.a.")</x:f>
        <x:v>0.08191224756052673</x:v>
      </x:c>
      <x:c r="I265" s="58" t="n">
        <x:f>F265/J265</x:f>
        <x:v>0.22377711058662053</x:v>
      </x:c>
      <x:c r="J265" s="56" t="n">
        <x:v>394.0878064516129</x:v>
      </x:c>
    </x:row>
    <x:row r="266" ht="65" customHeight="1">
      <x:c r="A266" s="61" t="n">
        <x:v>45108</x:v>
      </x:c>
      <x:c r="B266" s="32" t="str">
        <x:v>Industria automotriz</x:v>
      </x:c>
      <x:c r="C266" s="32" t="str">
        <x:v>Industrias sin Aluar</x:v>
      </x:c>
      <x:c r="D266" s="62" t="n">
        <x:v>31</x:v>
      </x:c>
      <x:c r="E266" s="2" t="str">
        <x:v>Completo</x:v>
      </x:c>
      <x:c r="F266" s="56" t="n">
        <x:v>37.458571236559145</x:v>
      </x:c>
      <x:c r="G266" s="56" t="n">
        <x:f>F98</x:f>
        <x:v>37.83148521505377</x:v>
      </x:c>
      <x:c r="H266" s="57" t="n">
        <x:f>IF(ISNUMBER(G266),IF(G266=0,"n.a.",F266/G266-1),"n.a.")</x:f>
        <x:v>-0.009857238656499678</x:v>
      </x:c>
      <x:c r="I266" s="58" t="n">
        <x:f>F266/J266</x:f>
        <x:v>0.03368887232136651</x:v>
      </x:c>
      <x:c r="J266" s="56" t="n">
        <x:v>1111.897450268817</x:v>
      </x:c>
    </x:row>
    <x:row r="267" ht="65" customHeight="1">
      <x:c r="A267" s="61" t="n">
        <x:v>45108</x:v>
      </x:c>
      <x:c r="B267" s="32" t="str">
        <x:v>Derivados de petróleo</x:v>
      </x:c>
      <x:c r="C267" s="32" t="str">
        <x:v>Industrias sin Aluar</x:v>
      </x:c>
      <x:c r="D267" s="62" t="n">
        <x:v>31</x:v>
      </x:c>
      <x:c r="E267" s="2" t="str">
        <x:v>Completo</x:v>
      </x:c>
      <x:c r="F267" s="56" t="n">
        <x:v>146.66988440860217</x:v>
      </x:c>
      <x:c r="G267" s="56" t="n">
        <x:f>F99</x:f>
        <x:v>154.71952956989247</x:v>
      </x:c>
      <x:c r="H267" s="57" t="n">
        <x:f>IF(ISNUMBER(G267),IF(G267=0,"n.a.",F267/G267-1),"n.a.")</x:f>
        <x:v>-0.052027337361144066</x:v>
      </x:c>
      <x:c r="I267" s="58" t="n">
        <x:f>F267/J267</x:f>
        <x:v>0.13190954289277546</x:v>
      </x:c>
      <x:c r="J267" s="56" t="n">
        <x:v>1111.897450268817</x:v>
      </x:c>
    </x:row>
    <x:row r="268" ht="65" customHeight="1">
      <x:c r="A268" s="61" t="n">
        <x:v>45108</x:v>
      </x:c>
      <x:c r="B268" s="32" t="str">
        <x:v>Construcción: elaboración de cemento y canteras</x:v>
      </x:c>
      <x:c r="C268" s="32" t="str">
        <x:v>Industrias sin Aluar</x:v>
      </x:c>
      <x:c r="D268" s="62" t="n">
        <x:v>31</x:v>
      </x:c>
      <x:c r="E268" s="2" t="str">
        <x:v>Completo</x:v>
      </x:c>
      <x:c r="F268" s="56" t="n">
        <x:v>154.11805913978495</x:v>
      </x:c>
      <x:c r="G268" s="56" t="n">
        <x:f>F100</x:f>
        <x:v>173.9611061827957</x:v>
      </x:c>
      <x:c r="H268" s="57" t="n">
        <x:f>IF(ISNUMBER(G268),IF(G268=0,"n.a.",F268/G268-1),"n.a.")</x:f>
        <x:v>-0.11406599715547905</x:v>
      </x:c>
      <x:c r="I268" s="58" t="n">
        <x:f>F268/J268</x:f>
        <x:v>0.13860815950474994</x:v>
      </x:c>
      <x:c r="J268" s="56" t="n">
        <x:v>1111.897450268817</x:v>
      </x:c>
    </x:row>
    <x:row r="269" ht="65" customHeight="1">
      <x:c r="A269" s="61" t="n">
        <x:v>45108</x:v>
      </x:c>
      <x:c r="B269" s="32" t="str">
        <x:v>Madera y papel</x:v>
      </x:c>
      <x:c r="C269" s="32" t="str">
        <x:v>Industrias sin Aluar</x:v>
      </x:c>
      <x:c r="D269" s="62" t="n">
        <x:v>31</x:v>
      </x:c>
      <x:c r="E269" s="2" t="str">
        <x:v>Completo</x:v>
      </x:c>
      <x:c r="F269" s="56" t="n">
        <x:v>109.64630779569892</x:v>
      </x:c>
      <x:c r="G269" s="56" t="n">
        <x:f>F101</x:f>
        <x:v>111.7282620967742</x:v>
      </x:c>
      <x:c r="H269" s="57" t="n">
        <x:f>IF(ISNUMBER(G269),IF(G269=0,"n.a.",F269/G269-1),"n.a.")</x:f>
        <x:v>-0.018634088296048068</x:v>
      </x:c>
      <x:c r="I269" s="58" t="n">
        <x:f>F269/J269</x:f>
        <x:v>0.0986118888654618</x:v>
      </x:c>
      <x:c r="J269" s="56" t="n">
        <x:v>1111.897450268817</x:v>
      </x:c>
    </x:row>
    <x:row r="270" ht="65" customHeight="1">
      <x:c r="A270" s="61" t="n">
        <x:v>45108</x:v>
      </x:c>
      <x:c r="B270" s="32" t="str">
        <x:v>Productos metálicos no automotores</x:v>
      </x:c>
      <x:c r="C270" s="32" t="str">
        <x:v>Industrias sin Aluar</x:v>
      </x:c>
      <x:c r="D270" s="62" t="n">
        <x:v>31</x:v>
      </x:c>
      <x:c r="E270" s="2" t="str">
        <x:v>Completo</x:v>
      </x:c>
      <x:c r="F270" s="56" t="n">
        <x:v>45.64464516129032</x:v>
      </x:c>
      <x:c r="G270" s="56" t="n">
        <x:f>F102</x:f>
        <x:v>61.267581989247304</x:v>
      </x:c>
      <x:c r="H270" s="57" t="n">
        <x:f>IF(ISNUMBER(G270),IF(G270=0,"n.a.",F270/G270-1),"n.a.")</x:f>
        <x:v>-0.254995159278505</x:v>
      </x:c>
      <x:c r="I270" s="58" t="n">
        <x:f>F270/J270</x:f>
        <x:v>0.04105112854630171</x:v>
      </x:c>
      <x:c r="J270" s="56" t="n">
        <x:v>1111.897450268817</x:v>
      </x:c>
    </x:row>
    <x:row r="271" ht="65" customHeight="1">
      <x:c r="A271" s="61" t="n">
        <x:v>45108</x:v>
      </x:c>
      <x:c r="B271" s="32" t="str">
        <x:v>Gran siderurgia</x:v>
      </x:c>
      <x:c r="C271" s="32" t="str">
        <x:v>Industrias sin Aluar</x:v>
      </x:c>
      <x:c r="D271" s="62" t="n">
        <x:v>31</x:v>
      </x:c>
      <x:c r="E271" s="2" t="str">
        <x:v>Completo</x:v>
      </x:c>
      <x:c r="F271" s="56" t="n">
        <x:v>231.08136021505376</x:v>
      </x:c>
      <x:c r="G271" s="56" t="n">
        <x:f>F103</x:f>
        <x:v>358.66349596774194</x:v>
      </x:c>
      <x:c r="H271" s="57" t="n">
        <x:f>IF(ISNUMBER(G271),IF(G271=0,"n.a.",F271/G271-1),"n.a.")</x:f>
        <x:v>-0.35571541901259685</x:v>
      </x:c>
      <x:c r="I271" s="58" t="n">
        <x:f>F271/J271</x:f>
        <x:v>0.20782614454164505</x:v>
      </x:c>
      <x:c r="J271" s="56" t="n">
        <x:v>1111.897450268817</x:v>
      </x:c>
    </x:row>
    <x:row r="272" ht="65" customHeight="1">
      <x:c r="A272" s="61" t="n">
        <x:v>45108</x:v>
      </x:c>
      <x:c r="B272" s="32" t="str">
        <x:v>Industria textil</x:v>
      </x:c>
      <x:c r="C272" s="32" t="str">
        <x:v>Industrias sin Aluar</x:v>
      </x:c>
      <x:c r="D272" s="62" t="n">
        <x:v>31</x:v>
      </x:c>
      <x:c r="E272" s="2" t="str">
        <x:v>Completo</x:v>
      </x:c>
      <x:c r="F272" s="56" t="n">
        <x:v>63.15044892473118</x:v>
      </x:c>
      <x:c r="G272" s="56" t="n">
        <x:f>F104</x:f>
        <x:v>62.80558064516129</x:v>
      </x:c>
      <x:c r="H272" s="57" t="n">
        <x:f>IF(ISNUMBER(G272),IF(G272=0,"n.a.",F272/G272-1),"n.a.")</x:f>
        <x:v>0.005491045159160768</x:v>
      </x:c>
      <x:c r="I272" s="58" t="n">
        <x:f>F272/J272</x:f>
        <x:v>0.05679520976459085</x:v>
      </x:c>
      <x:c r="J272" s="56" t="n">
        <x:v>1111.897450268817</x:v>
      </x:c>
    </x:row>
    <x:row r="273" ht="65" customHeight="1">
      <x:c r="A273" s="61" t="n">
        <x:v>45108</x:v>
      </x:c>
      <x:c r="B273" s="32" t="str">
        <x:v>Químicas, caucho, plástico y otros minerales no metálicos</x:v>
      </x:c>
      <x:c r="C273" s="32" t="str">
        <x:v>Industrias sin Aluar</x:v>
      </x:c>
      <x:c r="D273" s="62" t="n">
        <x:v>31</x:v>
      </x:c>
      <x:c r="E273" s="2" t="str">
        <x:v>Completo</x:v>
      </x:c>
      <x:c r="F273" s="56" t="n">
        <x:v>324.12817338709675</x:v>
      </x:c>
      <x:c r="G273" s="56" t="n">
        <x:f>F105</x:f>
        <x:v>302.5833508064516</x:v>
      </x:c>
      <x:c r="H273" s="57" t="n">
        <x:f>IF(ISNUMBER(G273),IF(G273=0,"n.a.",F273/G273-1),"n.a.")</x:f>
        <x:v>0.07120293473921624</x:v>
      </x:c>
      <x:c r="I273" s="58" t="n">
        <x:f>F273/J273</x:f>
        <x:v>0.29150905356310886</x:v>
      </x:c>
      <x:c r="J273" s="56" t="n">
        <x:v>1111.897450268817</x:v>
      </x:c>
    </x:row>
    <x:row r="274" ht="65" customHeight="1">
      <x:c r="A274" s="61" t="n">
        <x:v>45108</x:v>
      </x:c>
      <x:c r="B274" s="32" t="str">
        <x:v>Extracción de minerales</x:v>
      </x:c>
      <x:c r="C274" s="32" t="str">
        <x:v>Petróleos y minerales</x:v>
      </x:c>
      <x:c r="D274" s="62" t="n">
        <x:v>31</x:v>
      </x:c>
      <x:c r="E274" s="2" t="str">
        <x:v>Completo</x:v>
      </x:c>
      <x:c r="F274" s="56" t="n">
        <x:v>22.565838709677422</x:v>
      </x:c>
      <x:c r="G274" s="56" t="n">
        <x:f>F106</x:f>
        <x:v>20.446735215053764</x:v>
      </x:c>
      <x:c r="H274" s="57" t="n">
        <x:f>IF(ISNUMBER(G274),IF(G274=0,"n.a.",F274/G274-1),"n.a.")</x:f>
        <x:v>0.10364018863331714</x:v>
      </x:c>
      <x:c r="I274" s="58" t="n">
        <x:f>F274/J274</x:f>
        <x:v>0.12042937225909314</x:v>
      </x:c>
      <x:c r="J274" s="56" t="n">
        <x:v>187.37819758064515</x:v>
      </x:c>
    </x:row>
    <x:row r="275" ht="65" customHeight="1">
      <x:c r="A275" s="61" t="n">
        <x:v>45108</x:v>
      </x:c>
      <x:c r="B275" s="32" t="str">
        <x:v>Extracción de petróleo</x:v>
      </x:c>
      <x:c r="C275" s="32" t="str">
        <x:v>Petróleos y minerales</x:v>
      </x:c>
      <x:c r="D275" s="62" t="n">
        <x:v>31</x:v>
      </x:c>
      <x:c r="E275" s="2" t="str">
        <x:v>Completo</x:v>
      </x:c>
      <x:c r="F275" s="56" t="n">
        <x:v>164.81235887096773</x:v>
      </x:c>
      <x:c r="G275" s="56" t="n">
        <x:f>F107</x:f>
        <x:v>164.19037231182796</x:v>
      </x:c>
      <x:c r="H275" s="57" t="n">
        <x:f>IF(ISNUMBER(G275),IF(G275=0,"n.a.",F275/G275-1),"n.a.")</x:f>
        <x:v>0.0037882035979459605</x:v>
      </x:c>
      <x:c r="I275" s="58" t="n">
        <x:f>F275/J275</x:f>
        <x:v>0.8795706277409069</x:v>
      </x:c>
      <x:c r="J275" s="56" t="n">
        <x:v>187.37819758064515</x:v>
      </x:c>
    </x:row>
    <x:row r="276" ht="65" customHeight="1">
      <x:c r="A276" s="61" t="n">
        <x:v>45139</x:v>
      </x:c>
      <x:c r="B276" s="32" t="str">
        <x:v>Cargas y puertos</x:v>
      </x:c>
      <x:c r="C276" s="32" t="str">
        <x:v>Alimentación, comercios y servicios</x:v>
      </x:c>
      <x:c r="D276" s="62" t="n">
        <x:v>31</x:v>
      </x:c>
      <x:c r="E276" s="2" t="str">
        <x:v>Completo</x:v>
      </x:c>
      <x:c r="F276" s="56" t="n">
        <x:v>7.8863790322580645</x:v>
      </x:c>
      <x:c r="G276" s="56" t="n">
        <x:f>F108</x:f>
        <x:v>7.33959005376344</x:v>
      </x:c>
      <x:c r="H276" s="57" t="n">
        <x:f>IF(ISNUMBER(G276),IF(G276=0,"n.a.",F276/G276-1),"n.a.")</x:f>
        <x:v>0.07449857205774779</x:v>
      </x:c>
      <x:c r="I276" s="58" t="n">
        <x:f>F276/J276</x:f>
        <x:v>0.02012962510749771</x:v>
      </x:c>
      <x:c r="J276" s="56" t="n">
        <x:v>391.7797271505376</x:v>
      </x:c>
    </x:row>
    <x:row r="277" ht="65" customHeight="1">
      <x:c r="A277" s="61" t="n">
        <x:v>45139</x:v>
      </x:c>
      <x:c r="B277" s="32" t="str">
        <x:v>Comercio y servicios: principalmente supermercados y centros comerciales</x:v>
      </x:c>
      <x:c r="C277" s="32" t="str">
        <x:v>Alimentación, comercios y servicios</x:v>
      </x:c>
      <x:c r="D277" s="62" t="n">
        <x:v>31</x:v>
      </x:c>
      <x:c r="E277" s="2" t="str">
        <x:v>Completo</x:v>
      </x:c>
      <x:c r="F277" s="56" t="n">
        <x:v>29.50452553763441</x:v>
      </x:c>
      <x:c r="G277" s="56" t="n">
        <x:f>F109</x:f>
        <x:v>29.565193548387096</x:v>
      </x:c>
      <x:c r="H277" s="57" t="n">
        <x:f>IF(ISNUMBER(G277),IF(G277=0,"n.a.",F277/G277-1),"n.a.")</x:f>
        <x:v>-0.0020520079008917724</x:v>
      </x:c>
      <x:c r="I277" s="58" t="n">
        <x:f>F277/J277</x:f>
        <x:v>0.07530896443321473</x:v>
      </x:c>
      <x:c r="J277" s="56" t="n">
        <x:v>391.7797271505376</x:v>
      </x:c>
    </x:row>
    <x:row r="278" ht="65" customHeight="1">
      <x:c r="A278" s="61" t="n">
        <x:v>45139</x:v>
      </x:c>
      <x:c r="B278" s="32" t="str">
        <x:v>Alimentación y artículos de consumo masivo</x:v>
      </x:c>
      <x:c r="C278" s="32" t="str">
        <x:v>Alimentación, comercios y servicios</x:v>
      </x:c>
      <x:c r="D278" s="62" t="n">
        <x:v>31</x:v>
      </x:c>
      <x:c r="E278" s="2" t="str">
        <x:v>Completo</x:v>
      </x:c>
      <x:c r="F278" s="56" t="n">
        <x:v>267.00815188172044</x:v>
      </x:c>
      <x:c r="G278" s="56" t="n">
        <x:f>F110</x:f>
        <x:v>253.39793951612901</x:v>
      </x:c>
      <x:c r="H278" s="57" t="n">
        <x:f>IF(ISNUMBER(G278),IF(G278=0,"n.a.",F278/G278-1),"n.a.")</x:f>
        <x:v>0.05371082492454571</x:v>
      </x:c>
      <x:c r="I278" s="58" t="n">
        <x:f>F278/J278</x:f>
        <x:v>0.6815262081672876</x:v>
      </x:c>
      <x:c r="J278" s="56" t="n">
        <x:v>391.7797271505376</x:v>
      </x:c>
    </x:row>
    <x:row r="279" ht="65" customHeight="1">
      <x:c r="A279" s="61" t="n">
        <x:v>45139</x:v>
      </x:c>
      <x:c r="B279" s="32" t="str">
        <x:v>Servicios públicos y transporte: agua y transporte en GBA</x:v>
      </x:c>
      <x:c r="C279" s="32" t="str">
        <x:v>Alimentación, comercios y servicios</x:v>
      </x:c>
      <x:c r="D279" s="62" t="n">
        <x:v>31</x:v>
      </x:c>
      <x:c r="E279" s="2" t="str">
        <x:v>Completo</x:v>
      </x:c>
      <x:c r="F279" s="56" t="n">
        <x:v>87.38067069892473</x:v>
      </x:c>
      <x:c r="G279" s="56" t="n">
        <x:f>F111</x:f>
        <x:v>82.94244758064517</x:v>
      </x:c>
      <x:c r="H279" s="57" t="n">
        <x:f>IF(ISNUMBER(G279),IF(G279=0,"n.a.",F279/G279-1),"n.a.")</x:f>
        <x:v>0.05350967143770702</x:v>
      </x:c>
      <x:c r="I279" s="58" t="n">
        <x:f>F279/J279</x:f>
        <x:v>0.22303520229200002</x:v>
      </x:c>
      <x:c r="J279" s="56" t="n">
        <x:v>391.7797271505376</x:v>
      </x:c>
    </x:row>
    <x:row r="280" ht="65" customHeight="1">
      <x:c r="A280" s="61" t="n">
        <x:v>45139</x:v>
      </x:c>
      <x:c r="B280" s="32" t="str">
        <x:v>Industria automotriz</x:v>
      </x:c>
      <x:c r="C280" s="32" t="str">
        <x:v>Industrias sin Aluar</x:v>
      </x:c>
      <x:c r="D280" s="62" t="n">
        <x:v>31</x:v>
      </x:c>
      <x:c r="E280" s="2" t="str">
        <x:v>Completo</x:v>
      </x:c>
      <x:c r="F280" s="56" t="n">
        <x:v>39.503408602150536</x:v>
      </x:c>
      <x:c r="G280" s="56" t="n">
        <x:f>F112</x:f>
        <x:v>39.10302956989247</x:v>
      </x:c>
      <x:c r="H280" s="57" t="n">
        <x:f>IF(ISNUMBER(G280),IF(G280=0,"n.a.",F280/G280-1),"n.a.")</x:f>
        <x:v>0.010239079597206935</x:v>
      </x:c>
      <x:c r="I280" s="58" t="n">
        <x:f>F280/J280</x:f>
        <x:v>0.032673805058418</x:v>
      </x:c>
      <x:c r="J280" s="56" t="n">
        <x:v>1209.023819892473</x:v>
      </x:c>
    </x:row>
    <x:row r="281" ht="65" customHeight="1">
      <x:c r="A281" s="61" t="n">
        <x:v>45139</x:v>
      </x:c>
      <x:c r="B281" s="32" t="str">
        <x:v>Derivados de petróleo</x:v>
      </x:c>
      <x:c r="C281" s="32" t="str">
        <x:v>Industrias sin Aluar</x:v>
      </x:c>
      <x:c r="D281" s="62" t="n">
        <x:v>31</x:v>
      </x:c>
      <x:c r="E281" s="2" t="str">
        <x:v>Completo</x:v>
      </x:c>
      <x:c r="F281" s="56" t="n">
        <x:v>142.001876344086</x:v>
      </x:c>
      <x:c r="G281" s="56" t="n">
        <x:f>F113</x:f>
        <x:v>156.43338440860217</x:v>
      </x:c>
      <x:c r="H281" s="57" t="n">
        <x:f>IF(ISNUMBER(G281),IF(G281=0,"n.a.",F281/G281-1),"n.a.")</x:f>
        <x:v>-0.09225337749403428</x:v>
      </x:c>
      <x:c r="I281" s="58" t="n">
        <x:f>F281/J281</x:f>
        <x:v>0.11745167796339631</x:v>
      </x:c>
      <x:c r="J281" s="56" t="n">
        <x:v>1209.023819892473</x:v>
      </x:c>
    </x:row>
    <x:row r="282" ht="65" customHeight="1">
      <x:c r="A282" s="61" t="n">
        <x:v>45139</x:v>
      </x:c>
      <x:c r="B282" s="32" t="str">
        <x:v>Construcción: elaboración de cemento y canteras</x:v>
      </x:c>
      <x:c r="C282" s="32" t="str">
        <x:v>Industrias sin Aluar</x:v>
      </x:c>
      <x:c r="D282" s="62" t="n">
        <x:v>31</x:v>
      </x:c>
      <x:c r="E282" s="2" t="str">
        <x:v>Completo</x:v>
      </x:c>
      <x:c r="F282" s="56" t="n">
        <x:v>171.2518185483871</x:v>
      </x:c>
      <x:c r="G282" s="56" t="n">
        <x:f>F114</x:f>
        <x:v>199.46865725806452</x:v>
      </x:c>
      <x:c r="H282" s="57" t="n">
        <x:f>IF(ISNUMBER(G282),IF(G282=0,"n.a.",F282/G282-1),"n.a.")</x:f>
        <x:v>-0.1414600123024422</x:v>
      </x:c>
      <x:c r="I282" s="58" t="n">
        <x:f>F282/J282</x:f>
        <x:v>0.141644701891496</x:v>
      </x:c>
      <x:c r="J282" s="56" t="n">
        <x:v>1209.023819892473</x:v>
      </x:c>
    </x:row>
    <x:row r="283" ht="65" customHeight="1">
      <x:c r="A283" s="61" t="n">
        <x:v>45139</x:v>
      </x:c>
      <x:c r="B283" s="32" t="str">
        <x:v>Madera y papel</x:v>
      </x:c>
      <x:c r="C283" s="32" t="str">
        <x:v>Industrias sin Aluar</x:v>
      </x:c>
      <x:c r="D283" s="62" t="n">
        <x:v>31</x:v>
      </x:c>
      <x:c r="E283" s="2" t="str">
        <x:v>Completo</x:v>
      </x:c>
      <x:c r="F283" s="56" t="n">
        <x:v>105.49800134408602</x:v>
      </x:c>
      <x:c r="G283" s="56" t="n">
        <x:f>F115</x:f>
        <x:v>102.55399596774194</x:v>
      </x:c>
      <x:c r="H283" s="57" t="n">
        <x:f>IF(ISNUMBER(G283),IF(G283=0,"n.a.",F283/G283-1),"n.a.")</x:f>
        <x:v>0.028706881175747823</x:v>
      </x:c>
      <x:c r="I283" s="58" t="n">
        <x:f>F283/J283</x:f>
        <x:v>0.08725882783142246</x:v>
      </x:c>
      <x:c r="J283" s="56" t="n">
        <x:v>1209.023819892473</x:v>
      </x:c>
    </x:row>
    <x:row r="284" ht="65" customHeight="1">
      <x:c r="A284" s="61" t="n">
        <x:v>45139</x:v>
      </x:c>
      <x:c r="B284" s="32" t="str">
        <x:v>Productos metálicos no automotores</x:v>
      </x:c>
      <x:c r="C284" s="32" t="str">
        <x:v>Industrias sin Aluar</x:v>
      </x:c>
      <x:c r="D284" s="62" t="n">
        <x:v>31</x:v>
      </x:c>
      <x:c r="E284" s="2" t="str">
        <x:v>Completo</x:v>
      </x:c>
      <x:c r="F284" s="56" t="n">
        <x:v>50.94696774193548</x:v>
      </x:c>
      <x:c r="G284" s="56" t="n">
        <x:f>F116</x:f>
        <x:v>66.19231317204301</x:v>
      </x:c>
      <x:c r="H284" s="57" t="n">
        <x:f>IF(ISNUMBER(G284),IF(G284=0,"n.a.",F284/G284-1),"n.a.")</x:f>
        <x:v>-0.23031897058020567</x:v>
      </x:c>
      <x:c r="I284" s="58" t="n">
        <x:f>F284/J284</x:f>
        <x:v>0.04213892803738685</x:v>
      </x:c>
      <x:c r="J284" s="56" t="n">
        <x:v>1209.023819892473</x:v>
      </x:c>
    </x:row>
    <x:row r="285" ht="65" customHeight="1">
      <x:c r="A285" s="61" t="n">
        <x:v>45139</x:v>
      </x:c>
      <x:c r="B285" s="32" t="str">
        <x:v>Gran siderurgia</x:v>
      </x:c>
      <x:c r="C285" s="32" t="str">
        <x:v>Industrias sin Aluar</x:v>
      </x:c>
      <x:c r="D285" s="62" t="n">
        <x:v>31</x:v>
      </x:c>
      <x:c r="E285" s="2" t="str">
        <x:v>Completo</x:v>
      </x:c>
      <x:c r="F285" s="56" t="n">
        <x:v>313.49506182795693</x:v>
      </x:c>
      <x:c r="G285" s="56" t="n">
        <x:f>F117</x:f>
        <x:v>357.5920174731183</x:v>
      </x:c>
      <x:c r="H285" s="57" t="n">
        <x:f>IF(ISNUMBER(G285),IF(G285=0,"n.a.",F285/G285-1),"n.a.")</x:f>
        <x:v>-0.12331638708483283</x:v>
      </x:c>
      <x:c r="I285" s="58" t="n">
        <x:f>F285/J285</x:f>
        <x:v>0.2592960177210059</x:v>
      </x:c>
      <x:c r="J285" s="56" t="n">
        <x:v>1209.023819892473</x:v>
      </x:c>
    </x:row>
    <x:row r="286" ht="65" customHeight="1">
      <x:c r="A286" s="61" t="n">
        <x:v>45139</x:v>
      </x:c>
      <x:c r="B286" s="32" t="str">
        <x:v>Industria textil</x:v>
      </x:c>
      <x:c r="C286" s="32" t="str">
        <x:v>Industrias sin Aluar</x:v>
      </x:c>
      <x:c r="D286" s="62" t="n">
        <x:v>31</x:v>
      </x:c>
      <x:c r="E286" s="2" t="str">
        <x:v>Completo</x:v>
      </x:c>
      <x:c r="F286" s="56" t="n">
        <x:v>64.08151747311827</x:v>
      </x:c>
      <x:c r="G286" s="56" t="n">
        <x:f>F118</x:f>
        <x:v>64.61975268817204</x:v>
      </x:c>
      <x:c r="H286" s="57" t="n">
        <x:f>IF(ISNUMBER(G286),IF(G286=0,"n.a.",F286/G286-1),"n.a.")</x:f>
        <x:v>-0.008329267641290272</x:v>
      </x:c>
      <x:c r="I286" s="58" t="n">
        <x:f>F286/J286</x:f>
        <x:v>0.05300269227021308</x:v>
      </x:c>
      <x:c r="J286" s="56" t="n">
        <x:v>1209.023819892473</x:v>
      </x:c>
    </x:row>
    <x:row r="287" ht="65" customHeight="1">
      <x:c r="A287" s="61" t="n">
        <x:v>45139</x:v>
      </x:c>
      <x:c r="B287" s="32" t="str">
        <x:v>Químicas, caucho, plástico y otros minerales no metálicos</x:v>
      </x:c>
      <x:c r="C287" s="32" t="str">
        <x:v>Industrias sin Aluar</x:v>
      </x:c>
      <x:c r="D287" s="62" t="n">
        <x:v>31</x:v>
      </x:c>
      <x:c r="E287" s="2" t="str">
        <x:v>Completo</x:v>
      </x:c>
      <x:c r="F287" s="56" t="n">
        <x:v>322.2451680107527</x:v>
      </x:c>
      <x:c r="G287" s="56" t="n">
        <x:f>F119</x:f>
        <x:v>309.6252069892473</x:v>
      </x:c>
      <x:c r="H287" s="57" t="n">
        <x:f>IF(ISNUMBER(G287),IF(G287=0,"n.a.",F287/G287-1),"n.a.")</x:f>
        <x:v>0.040758829502998584</x:v>
      </x:c>
      <x:c r="I287" s="58" t="n">
        <x:f>F287/J287</x:f>
        <x:v>0.2665333492266614</x:v>
      </x:c>
      <x:c r="J287" s="56" t="n">
        <x:v>1209.023819892473</x:v>
      </x:c>
    </x:row>
    <x:row r="288" ht="65" customHeight="1">
      <x:c r="A288" s="61" t="n">
        <x:v>45139</x:v>
      </x:c>
      <x:c r="B288" s="32" t="str">
        <x:v>Extracción de minerales</x:v>
      </x:c>
      <x:c r="C288" s="32" t="str">
        <x:v>Petróleos y minerales</x:v>
      </x:c>
      <x:c r="D288" s="62" t="n">
        <x:v>31</x:v>
      </x:c>
      <x:c r="E288" s="2" t="str">
        <x:v>Completo</x:v>
      </x:c>
      <x:c r="F288" s="56" t="n">
        <x:v>23.121170698924733</x:v>
      </x:c>
      <x:c r="G288" s="56" t="n">
        <x:f>F120</x:f>
        <x:v>20.651995967741936</x:v>
      </x:c>
      <x:c r="H288" s="57" t="n">
        <x:f>IF(ISNUMBER(G288),IF(G288=0,"n.a.",F288/G288-1),"n.a.")</x:f>
        <x:v>0.11956106978907055</x:v>
      </x:c>
      <x:c r="I288" s="58" t="n">
        <x:f>F288/J288</x:f>
        <x:v>0.1225490529232722</x:v>
      </x:c>
      <x:c r="J288" s="56" t="n">
        <x:v>188.66870161290325</x:v>
      </x:c>
    </x:row>
    <x:row r="289" ht="65" customHeight="1">
      <x:c r="A289" s="61" t="n">
        <x:v>45139</x:v>
      </x:c>
      <x:c r="B289" s="32" t="str">
        <x:v>Extracción de petróleo</x:v>
      </x:c>
      <x:c r="C289" s="32" t="str">
        <x:v>Petróleos y minerales</x:v>
      </x:c>
      <x:c r="D289" s="62" t="n">
        <x:v>31</x:v>
      </x:c>
      <x:c r="E289" s="2" t="str">
        <x:v>Completo</x:v>
      </x:c>
      <x:c r="F289" s="56" t="n">
        <x:v>165.5475309139785</x:v>
      </x:c>
      <x:c r="G289" s="56" t="n">
        <x:f>F121</x:f>
        <x:v>155.16408467741934</x:v>
      </x:c>
      <x:c r="H289" s="57" t="n">
        <x:f>IF(ISNUMBER(G289),IF(G289=0,"n.a.",F289/G289-1),"n.a.")</x:f>
        <x:v>0.06691913439985786</x:v>
      </x:c>
      <x:c r="I289" s="58" t="n">
        <x:f>F289/J289</x:f>
        <x:v>0.8774509470767278</x:v>
      </x:c>
      <x:c r="J289" s="56" t="n">
        <x:v>188.66870161290325</x:v>
      </x:c>
    </x:row>
    <x:row r="290" ht="65" customHeight="1">
      <x:c r="A290" s="61" t="n">
        <x:v>45170</x:v>
      </x:c>
      <x:c r="B290" s="32" t="str">
        <x:v>Cargas y puertos</x:v>
      </x:c>
      <x:c r="C290" s="32" t="str">
        <x:v>Alimentación, comercios y servicios</x:v>
      </x:c>
      <x:c r="D290" s="62" t="n">
        <x:v>30</x:v>
      </x:c>
      <x:c r="E290" s="2" t="str">
        <x:v>Completo</x:v>
      </x:c>
      <x:c r="F290" s="56" t="n">
        <x:v>9.090315277777778</x:v>
      </x:c>
      <x:c r="G290" s="56" t="n">
        <x:f>F122</x:f>
        <x:v>7.475506944444445</x:v>
      </x:c>
      <x:c r="H290" s="57" t="n">
        <x:f>IF(ISNUMBER(G290),IF(G290=0,"n.a.",F290/G290-1),"n.a.")</x:f>
        <x:v>0.21601322095398579</x:v>
      </x:c>
      <x:c r="I290" s="58" t="n">
        <x:f>F290/J290</x:f>
        <x:v>0.023298906922674736</x:v>
      </x:c>
      <x:c r="J290" s="56" t="n">
        <x:v>390.16059027777777</x:v>
      </x:c>
    </x:row>
    <x:row r="291" ht="65" customHeight="1">
      <x:c r="A291" s="61" t="n">
        <x:v>45170</x:v>
      </x:c>
      <x:c r="B291" s="32" t="str">
        <x:v>Comercio y servicios: principalmente supermercados y centros comerciales</x:v>
      </x:c>
      <x:c r="C291" s="32" t="str">
        <x:v>Alimentación, comercios y servicios</x:v>
      </x:c>
      <x:c r="D291" s="62" t="n">
        <x:v>30</x:v>
      </x:c>
      <x:c r="E291" s="2" t="str">
        <x:v>Completo</x:v>
      </x:c>
      <x:c r="F291" s="56" t="n">
        <x:v>28.15529861111111</x:v>
      </x:c>
      <x:c r="G291" s="56" t="n">
        <x:f>F123</x:f>
        <x:v>29.170405555555554</x:v>
      </x:c>
      <x:c r="H291" s="57" t="n">
        <x:f>IF(ISNUMBER(G291),IF(G291=0,"n.a.",F291/G291-1),"n.a.")</x:f>
        <x:v>-0.0347992057399118</x:v>
      </x:c>
      <x:c r="I291" s="58" t="n">
        <x:f>F291/J291</x:f>
        <x:v>0.07216335865973991</x:v>
      </x:c>
      <x:c r="J291" s="56" t="n">
        <x:v>390.16059027777777</x:v>
      </x:c>
    </x:row>
    <x:row r="292" ht="65" customHeight="1">
      <x:c r="A292" s="61" t="n">
        <x:v>45170</x:v>
      </x:c>
      <x:c r="B292" s="32" t="str">
        <x:v>Alimentación y artículos de consumo masivo</x:v>
      </x:c>
      <x:c r="C292" s="32" t="str">
        <x:v>Alimentación, comercios y servicios</x:v>
      </x:c>
      <x:c r="D292" s="62" t="n">
        <x:v>30</x:v>
      </x:c>
      <x:c r="E292" s="2" t="str">
        <x:v>Completo</x:v>
      </x:c>
      <x:c r="F292" s="56" t="n">
        <x:v>264.2902</x:v>
      </x:c>
      <x:c r="G292" s="56" t="n">
        <x:f>F124</x:f>
        <x:v>274.391175</x:v>
      </x:c>
      <x:c r="H292" s="57" t="n">
        <x:f>IF(ISNUMBER(G292),IF(G292=0,"n.a.",F292/G292-1),"n.a.")</x:f>
        <x:v>-0.036812317305758624</x:v>
      </x:c>
      <x:c r="I292" s="58" t="n">
        <x:f>F292/J292</x:f>
        <x:v>0.6773882513655124</x:v>
      </x:c>
      <x:c r="J292" s="56" t="n">
        <x:v>390.16059027777777</x:v>
      </x:c>
    </x:row>
    <x:row r="293" ht="65" customHeight="1">
      <x:c r="A293" s="61" t="n">
        <x:v>45170</x:v>
      </x:c>
      <x:c r="B293" s="32" t="str">
        <x:v>Servicios públicos y transporte: agua y transporte en GBA</x:v>
      </x:c>
      <x:c r="C293" s="32" t="str">
        <x:v>Alimentación, comercios y servicios</x:v>
      </x:c>
      <x:c r="D293" s="62" t="n">
        <x:v>30</x:v>
      </x:c>
      <x:c r="E293" s="2" t="str">
        <x:v>Completo</x:v>
      </x:c>
      <x:c r="F293" s="56" t="n">
        <x:v>88.62477638888889</x:v>
      </x:c>
      <x:c r="G293" s="56" t="n">
        <x:f>F125</x:f>
        <x:v>82.98807777777778</x:v>
      </x:c>
      <x:c r="H293" s="57" t="n">
        <x:f>IF(ISNUMBER(G293),IF(G293=0,"n.a.",F293/G293-1),"n.a.")</x:f>
        <x:v>0.06792178782842573</x:v>
      </x:c>
      <x:c r="I293" s="58" t="n">
        <x:f>F293/J293</x:f>
        <x:v>0.22714948305207303</x:v>
      </x:c>
      <x:c r="J293" s="56" t="n">
        <x:v>390.16059027777777</x:v>
      </x:c>
    </x:row>
    <x:row r="294" ht="65" customHeight="1">
      <x:c r="A294" s="61" t="n">
        <x:v>45170</x:v>
      </x:c>
      <x:c r="B294" s="32" t="str">
        <x:v>Industria automotriz</x:v>
      </x:c>
      <x:c r="C294" s="32" t="str">
        <x:v>Industrias sin Aluar</x:v>
      </x:c>
      <x:c r="D294" s="62" t="n">
        <x:v>30</x:v>
      </x:c>
      <x:c r="E294" s="2" t="str">
        <x:v>Completo</x:v>
      </x:c>
      <x:c r="F294" s="56" t="n">
        <x:v>38.29168611111111</x:v>
      </x:c>
      <x:c r="G294" s="56" t="n">
        <x:f>F126</x:f>
        <x:v>37.15708055555556</x:v>
      </x:c>
      <x:c r="H294" s="57" t="n">
        <x:f>IF(ISNUMBER(G294),IF(G294=0,"n.a.",F294/G294-1),"n.a.")</x:f>
        <x:v>0.03053537949137697</x:v>
      </x:c>
      <x:c r="I294" s="58" t="n">
        <x:f>F294/J294</x:f>
        <x:v>0.02907321492290983</x:v>
      </x:c>
      <x:c r="J294" s="56" t="n">
        <x:v>1317.0778055555556</x:v>
      </x:c>
    </x:row>
    <x:row r="295" ht="65" customHeight="1">
      <x:c r="A295" s="61" t="n">
        <x:v>45170</x:v>
      </x:c>
      <x:c r="B295" s="32" t="str">
        <x:v>Derivados de petróleo</x:v>
      </x:c>
      <x:c r="C295" s="32" t="str">
        <x:v>Industrias sin Aluar</x:v>
      </x:c>
      <x:c r="D295" s="62" t="n">
        <x:v>30</x:v>
      </x:c>
      <x:c r="E295" s="2" t="str">
        <x:v>Completo</x:v>
      </x:c>
      <x:c r="F295" s="56" t="n">
        <x:v>154.9575</x:v>
      </x:c>
      <x:c r="G295" s="56" t="n">
        <x:f>F127</x:f>
        <x:v>155.6003777777778</x:v>
      </x:c>
      <x:c r="H295" s="57" t="n">
        <x:f>IF(ISNUMBER(G295),IF(G295=0,"n.a.",F295/G295-1),"n.a.")</x:f>
        <x:v>-0.004131595224633133</x:v>
      </x:c>
      <x:c r="I295" s="58" t="n">
        <x:f>F295/J295</x:f>
        <x:v>0.11765250264363653</x:v>
      </x:c>
      <x:c r="J295" s="56" t="n">
        <x:v>1317.0778055555556</x:v>
      </x:c>
    </x:row>
    <x:row r="296" ht="65" customHeight="1">
      <x:c r="A296" s="61" t="n">
        <x:v>45170</x:v>
      </x:c>
      <x:c r="B296" s="32" t="str">
        <x:v>Construcción: elaboración de cemento y canteras</x:v>
      </x:c>
      <x:c r="C296" s="32" t="str">
        <x:v>Industrias sin Aluar</x:v>
      </x:c>
      <x:c r="D296" s="62" t="n">
        <x:v>30</x:v>
      </x:c>
      <x:c r="E296" s="2" t="str">
        <x:v>Completo</x:v>
      </x:c>
      <x:c r="F296" s="56" t="n">
        <x:v>186.83173472222222</x:v>
      </x:c>
      <x:c r="G296" s="56" t="n">
        <x:f>F128</x:f>
        <x:v>185.78671944444443</x:v>
      </x:c>
      <x:c r="H296" s="57" t="n">
        <x:f>IF(ISNUMBER(G296),IF(G296=0,"n.a.",F296/G296-1),"n.a.")</x:f>
        <x:v>0.005624811509147065</x:v>
      </x:c>
      <x:c r="I296" s="58" t="n">
        <x:f>F296/J296</x:f>
        <x:v>0.14185322532514688</x:v>
      </x:c>
      <x:c r="J296" s="56" t="n">
        <x:v>1317.0778055555556</x:v>
      </x:c>
    </x:row>
    <x:row r="297" ht="65" customHeight="1">
      <x:c r="A297" s="61" t="n">
        <x:v>45170</x:v>
      </x:c>
      <x:c r="B297" s="32" t="str">
        <x:v>Madera y papel</x:v>
      </x:c>
      <x:c r="C297" s="32" t="str">
        <x:v>Industrias sin Aluar</x:v>
      </x:c>
      <x:c r="D297" s="62" t="n">
        <x:v>30</x:v>
      </x:c>
      <x:c r="E297" s="2" t="str">
        <x:v>Completo</x:v>
      </x:c>
      <x:c r="F297" s="56" t="n">
        <x:v>110.37756388888889</x:v>
      </x:c>
      <x:c r="G297" s="56" t="n">
        <x:f>F129</x:f>
        <x:v>109.43196527777778</x:v>
      </x:c>
      <x:c r="H297" s="57" t="n">
        <x:f>IF(ISNUMBER(G297),IF(G297=0,"n.a.",F297/G297-1),"n.a.")</x:f>
        <x:v>0.008640972577901085</x:v>
      </x:c>
      <x:c r="I297" s="58" t="n">
        <x:f>F297/J297</x:f>
        <x:v>0.08380489248494367</x:v>
      </x:c>
      <x:c r="J297" s="56" t="n">
        <x:v>1317.0778055555556</x:v>
      </x:c>
    </x:row>
    <x:row r="298" ht="65" customHeight="1">
      <x:c r="A298" s="61" t="n">
        <x:v>45170</x:v>
      </x:c>
      <x:c r="B298" s="32" t="str">
        <x:v>Productos metálicos no automotores</x:v>
      </x:c>
      <x:c r="C298" s="32" t="str">
        <x:v>Industrias sin Aluar</x:v>
      </x:c>
      <x:c r="D298" s="62" t="n">
        <x:v>30</x:v>
      </x:c>
      <x:c r="E298" s="2" t="str">
        <x:v>Completo</x:v>
      </x:c>
      <x:c r="F298" s="56" t="n">
        <x:v>51.78169305555556</x:v>
      </x:c>
      <x:c r="G298" s="56" t="n">
        <x:f>F130</x:f>
        <x:v>64.4261625</x:v>
      </x:c>
      <x:c r="H298" s="57" t="n">
        <x:f>IF(ISNUMBER(G298),IF(G298=0,"n.a.",F298/G298-1),"n.a.")</x:f>
        <x:v>-0.19626296140864274</x:v>
      </x:c>
      <x:c r="I298" s="58" t="n">
        <x:f>F298/J298</x:f>
        <x:v>0.0393155915596904</x:v>
      </x:c>
      <x:c r="J298" s="56" t="n">
        <x:v>1317.0778055555556</x:v>
      </x:c>
    </x:row>
    <x:row r="299" ht="65" customHeight="1">
      <x:c r="A299" s="61" t="n">
        <x:v>45170</x:v>
      </x:c>
      <x:c r="B299" s="32" t="str">
        <x:v>Gran siderurgia</x:v>
      </x:c>
      <x:c r="C299" s="32" t="str">
        <x:v>Industrias sin Aluar</x:v>
      </x:c>
      <x:c r="D299" s="62" t="n">
        <x:v>30</x:v>
      </x:c>
      <x:c r="E299" s="2" t="str">
        <x:v>Completo</x:v>
      </x:c>
      <x:c r="F299" s="56" t="n">
        <x:v>372.39305972222223</x:v>
      </x:c>
      <x:c r="G299" s="56" t="n">
        <x:f>F131</x:f>
        <x:v>370.34691111111107</x:v>
      </x:c>
      <x:c r="H299" s="57" t="n">
        <x:f>IF(ISNUMBER(G299),IF(G299=0,"n.a.",F299/G299-1),"n.a.")</x:f>
        <x:v>0.005524951200409189</x:v>
      </x:c>
      <x:c r="I299" s="58" t="n">
        <x:f>F299/J299</x:f>
        <x:v>0.28274188369998643</x:v>
      </x:c>
      <x:c r="J299" s="56" t="n">
        <x:v>1317.0778055555556</x:v>
      </x:c>
    </x:row>
    <x:row r="300" ht="65" customHeight="1">
      <x:c r="A300" s="61" t="n">
        <x:v>45170</x:v>
      </x:c>
      <x:c r="B300" s="32" t="str">
        <x:v>Industria textil</x:v>
      </x:c>
      <x:c r="C300" s="32" t="str">
        <x:v>Industrias sin Aluar</x:v>
      </x:c>
      <x:c r="D300" s="62" t="n">
        <x:v>30</x:v>
      </x:c>
      <x:c r="E300" s="2" t="str">
        <x:v>Completo</x:v>
      </x:c>
      <x:c r="F300" s="56" t="n">
        <x:v>65.2964375</x:v>
      </x:c>
      <x:c r="G300" s="56" t="n">
        <x:f>F132</x:f>
        <x:v>64.808925</x:v>
      </x:c>
      <x:c r="H300" s="57" t="n">
        <x:f>IF(ISNUMBER(G300),IF(G300=0,"n.a.",F300/G300-1),"n.a.")</x:f>
        <x:v>0.007522304991172124</x:v>
      </x:c>
      <x:c r="I300" s="58" t="n">
        <x:f>F300/J300</x:f>
        <x:v>0.04957675030630203</x:v>
      </x:c>
      <x:c r="J300" s="56" t="n">
        <x:v>1317.0778055555556</x:v>
      </x:c>
    </x:row>
    <x:row r="301" ht="65" customHeight="1">
      <x:c r="A301" s="61" t="n">
        <x:v>45170</x:v>
      </x:c>
      <x:c r="B301" s="32" t="str">
        <x:v>Químicas, caucho, plástico y otros minerales no metálicos</x:v>
      </x:c>
      <x:c r="C301" s="32" t="str">
        <x:v>Industrias sin Aluar</x:v>
      </x:c>
      <x:c r="D301" s="62" t="n">
        <x:v>30</x:v>
      </x:c>
      <x:c r="E301" s="2" t="str">
        <x:v>Completo</x:v>
      </x:c>
      <x:c r="F301" s="56" t="n">
        <x:v>337.14813055555555</x:v>
      </x:c>
      <x:c r="G301" s="56" t="n">
        <x:f>F133</x:f>
        <x:v>320.6918444444444</x:v>
      </x:c>
      <x:c r="H301" s="57" t="n">
        <x:f>IF(ISNUMBER(G301),IF(G301=0,"n.a.",F301/G301-1),"n.a.")</x:f>
        <x:v>0.051314950461616604</x:v>
      </x:c>
      <x:c r="I301" s="58" t="n">
        <x:f>F301/J301</x:f>
        <x:v>0.2559819390573842</x:v>
      </x:c>
      <x:c r="J301" s="56" t="n">
        <x:v>1317.0778055555556</x:v>
      </x:c>
    </x:row>
    <x:row r="302" ht="65" customHeight="1">
      <x:c r="A302" s="61" t="n">
        <x:v>45170</x:v>
      </x:c>
      <x:c r="B302" s="32" t="str">
        <x:v>Extracción de minerales</x:v>
      </x:c>
      <x:c r="C302" s="32" t="str">
        <x:v>Petróleos y minerales</x:v>
      </x:c>
      <x:c r="D302" s="62" t="n">
        <x:v>30</x:v>
      </x:c>
      <x:c r="E302" s="2" t="str">
        <x:v>Completo</x:v>
      </x:c>
      <x:c r="F302" s="56" t="n">
        <x:v>23.118481944444444</x:v>
      </x:c>
      <x:c r="G302" s="56" t="n">
        <x:f>F134</x:f>
        <x:v>20.128856944444447</x:v>
      </x:c>
      <x:c r="H302" s="57" t="n">
        <x:f>IF(ISNUMBER(G302),IF(G302=0,"n.a.",F302/G302-1),"n.a.")</x:f>
        <x:v>0.14852433043025481</x:v>
      </x:c>
      <x:c r="I302" s="58" t="n">
        <x:f>F302/J302</x:f>
        <x:v>0.12860581513324193</x:v>
      </x:c>
      <x:c r="J302" s="56" t="n">
        <x:v>179.7623375</x:v>
      </x:c>
    </x:row>
    <x:row r="303" ht="65" customHeight="1">
      <x:c r="A303" s="61" t="n">
        <x:v>45170</x:v>
      </x:c>
      <x:c r="B303" s="32" t="str">
        <x:v>Extracción de petróleo</x:v>
      </x:c>
      <x:c r="C303" s="32" t="str">
        <x:v>Petróleos y minerales</x:v>
      </x:c>
      <x:c r="D303" s="62" t="n">
        <x:v>30</x:v>
      </x:c>
      <x:c r="E303" s="2" t="str">
        <x:v>Completo</x:v>
      </x:c>
      <x:c r="F303" s="56" t="n">
        <x:v>156.64385555555555</x:v>
      </x:c>
      <x:c r="G303" s="56" t="n">
        <x:f>F135</x:f>
        <x:v>153.81158472222222</x:v>
      </x:c>
      <x:c r="H303" s="57" t="n">
        <x:f>IF(ISNUMBER(G303),IF(G303=0,"n.a.",F303/G303-1),"n.a.")</x:f>
        <x:v>0.01841389800676141</x:v>
      </x:c>
      <x:c r="I303" s="58" t="n">
        <x:f>F303/J303</x:f>
        <x:v>0.871394184866758</x:v>
      </x:c>
      <x:c r="J303" s="56" t="n">
        <x:v>179.7623375</x:v>
      </x:c>
    </x:row>
    <x:row r="304" ht="65" customHeight="1">
      <x:c r="A304" s="61" t="n">
        <x:v>45200</x:v>
      </x:c>
      <x:c r="B304" s="32" t="str">
        <x:v>Cargas y puertos</x:v>
      </x:c>
      <x:c r="C304" s="32" t="str">
        <x:v>Alimentación, comercios y servicios</x:v>
      </x:c>
      <x:c r="D304" s="62" t="n">
        <x:v>31</x:v>
      </x:c>
      <x:c r="E304" s="2" t="str">
        <x:v>Completo</x:v>
      </x:c>
      <x:c r="F304" s="56" t="n">
        <x:v>9.658463709677418</x:v>
      </x:c>
      <x:c r="G304" s="56" t="n">
        <x:f>F136</x:f>
        <x:v>7.185059139784947</x:v>
      </x:c>
      <x:c r="H304" s="57" t="n">
        <x:f>IF(ISNUMBER(G304),IF(G304=0,"n.a.",F304/G304-1),"n.a.")</x:f>
        <x:v>0.3442427573347018</x:v>
      </x:c>
      <x:c r="I304" s="58" t="n">
        <x:f>F304/J304</x:f>
        <x:v>0.02558266375376132</x:v>
      </x:c>
      <x:c r="J304" s="56" t="n">
        <x:v>377.53940725806444</x:v>
      </x:c>
    </x:row>
    <x:row r="305" ht="65" customHeight="1">
      <x:c r="A305" s="61" t="n">
        <x:v>45200</x:v>
      </x:c>
      <x:c r="B305" s="32" t="str">
        <x:v>Comercio y servicios: principalmente supermercados y centros comerciales</x:v>
      </x:c>
      <x:c r="C305" s="32" t="str">
        <x:v>Alimentación, comercios y servicios</x:v>
      </x:c>
      <x:c r="D305" s="62" t="n">
        <x:v>31</x:v>
      </x:c>
      <x:c r="E305" s="2" t="str">
        <x:v>Completo</x:v>
      </x:c>
      <x:c r="F305" s="56" t="n">
        <x:v>30.093684139784948</x:v>
      </x:c>
      <x:c r="G305" s="56" t="n">
        <x:f>F137</x:f>
        <x:v>30.752962365591397</x:v>
      </x:c>
      <x:c r="H305" s="57" t="n">
        <x:f>IF(ISNUMBER(G305),IF(G305=0,"n.a.",F305/G305-1),"n.a.")</x:f>
        <x:v>-0.021437877039907405</x:v>
      </x:c>
      <x:c r="I305" s="58" t="n">
        <x:f>F305/J305</x:f>
        <x:v>0.07971004764335665</x:v>
      </x:c>
      <x:c r="J305" s="56" t="n">
        <x:v>377.53940725806444</x:v>
      </x:c>
    </x:row>
    <x:row r="306" ht="65" customHeight="1">
      <x:c r="A306" s="61" t="n">
        <x:v>45200</x:v>
      </x:c>
      <x:c r="B306" s="32" t="str">
        <x:v>Alimentación y artículos de consumo masivo</x:v>
      </x:c>
      <x:c r="C306" s="32" t="str">
        <x:v>Alimentación, comercios y servicios</x:v>
      </x:c>
      <x:c r="D306" s="62" t="n">
        <x:v>31</x:v>
      </x:c>
      <x:c r="E306" s="2" t="str">
        <x:v>Completo</x:v>
      </x:c>
      <x:c r="F306" s="56" t="n">
        <x:v>251.34576209677414</x:v>
      </x:c>
      <x:c r="G306" s="56" t="n">
        <x:f>F138</x:f>
        <x:v>265.7251129032258</x:v>
      </x:c>
      <x:c r="H306" s="57" t="n">
        <x:f>IF(ISNUMBER(G306),IF(G306=0,"n.a.",F306/G306-1),"n.a.")</x:f>
        <x:v>-0.05411363137396985</x:v>
      </x:c>
      <x:c r="I306" s="58" t="n">
        <x:f>F306/J306</x:f>
        <x:v>0.665747090938691</x:v>
      </x:c>
      <x:c r="J306" s="56" t="n">
        <x:v>377.53940725806444</x:v>
      </x:c>
    </x:row>
    <x:row r="307" ht="65" customHeight="1">
      <x:c r="A307" s="61" t="n">
        <x:v>45200</x:v>
      </x:c>
      <x:c r="B307" s="32" t="str">
        <x:v>Servicios públicos y transporte: agua y transporte en GBA</x:v>
      </x:c>
      <x:c r="C307" s="32" t="str">
        <x:v>Alimentación, comercios y servicios</x:v>
      </x:c>
      <x:c r="D307" s="62" t="n">
        <x:v>31</x:v>
      </x:c>
      <x:c r="E307" s="2" t="str">
        <x:v>Completo</x:v>
      </x:c>
      <x:c r="F307" s="56" t="n">
        <x:v>86.44149731182794</x:v>
      </x:c>
      <x:c r="G307" s="56" t="n">
        <x:f>F139</x:f>
        <x:v>81.01035349462366</x:v>
      </x:c>
      <x:c r="H307" s="57" t="n">
        <x:f>IF(ISNUMBER(G307),IF(G307=0,"n.a.",F307/G307-1),"n.a.")</x:f>
        <x:v>0.06704258879162572</x:v>
      </x:c>
      <x:c r="I307" s="58" t="n">
        <x:f>F307/J307</x:f>
        <x:v>0.228960197664191</x:v>
      </x:c>
      <x:c r="J307" s="56" t="n">
        <x:v>377.53940725806444</x:v>
      </x:c>
    </x:row>
    <x:row r="308" ht="65" customHeight="1">
      <x:c r="A308" s="61" t="n">
        <x:v>45200</x:v>
      </x:c>
      <x:c r="B308" s="32" t="str">
        <x:v>Industria automotriz</x:v>
      </x:c>
      <x:c r="C308" s="32" t="str">
        <x:v>Industrias sin Aluar</x:v>
      </x:c>
      <x:c r="D308" s="62" t="n">
        <x:v>31</x:v>
      </x:c>
      <x:c r="E308" s="2" t="str">
        <x:v>Completo</x:v>
      </x:c>
      <x:c r="F308" s="56" t="n">
        <x:v>37.03747311827957</x:v>
      </x:c>
      <x:c r="G308" s="56" t="n">
        <x:f>F140</x:f>
        <x:v>36.911353494623654</x:v>
      </x:c>
      <x:c r="H308" s="57" t="n">
        <x:f>IF(ISNUMBER(G308),IF(G308=0,"n.a.",F308/G308-1),"n.a.")</x:f>
        <x:v>0.0034168246817145587</x:v>
      </x:c>
      <x:c r="I308" s="58" t="n">
        <x:f>F308/J308</x:f>
        <x:v>0.028461921878573524</x:v>
      </x:c>
      <x:c r="J308" s="56" t="n">
        <x:v>1301.2990927419355</x:v>
      </x:c>
    </x:row>
    <x:row r="309" ht="65" customHeight="1">
      <x:c r="A309" s="61" t="n">
        <x:v>45200</x:v>
      </x:c>
      <x:c r="B309" s="32" t="str">
        <x:v>Derivados de petróleo</x:v>
      </x:c>
      <x:c r="C309" s="32" t="str">
        <x:v>Industrias sin Aluar</x:v>
      </x:c>
      <x:c r="D309" s="62" t="n">
        <x:v>31</x:v>
      </x:c>
      <x:c r="E309" s="2" t="str">
        <x:v>Completo</x:v>
      </x:c>
      <x:c r="F309" s="56" t="n">
        <x:v>140.4176370967742</x:v>
      </x:c>
      <x:c r="G309" s="56" t="n">
        <x:f>F141</x:f>
        <x:v>157.4165067204301</x:v>
      </x:c>
      <x:c r="H309" s="57" t="n">
        <x:f>IF(ISNUMBER(G309),IF(G309=0,"n.a.",F309/G309-1),"n.a.")</x:f>
        <x:v>-0.10798657636232334</x:v>
      </x:c>
      <x:c r="I309" s="58" t="n">
        <x:f>F309/J309</x:f>
        <x:v>0.1079057365673741</x:v>
      </x:c>
      <x:c r="J309" s="56" t="n">
        <x:v>1301.2990927419355</x:v>
      </x:c>
    </x:row>
    <x:row r="310" ht="65" customHeight="1">
      <x:c r="A310" s="61" t="n">
        <x:v>45200</x:v>
      </x:c>
      <x:c r="B310" s="32" t="str">
        <x:v>Construcción: elaboración de cemento y canteras</x:v>
      </x:c>
      <x:c r="C310" s="32" t="str">
        <x:v>Industrias sin Aluar</x:v>
      </x:c>
      <x:c r="D310" s="62" t="n">
        <x:v>31</x:v>
      </x:c>
      <x:c r="E310" s="2" t="str">
        <x:v>Completo</x:v>
      </x:c>
      <x:c r="F310" s="56" t="n">
        <x:v>188.02799731182796</x:v>
      </x:c>
      <x:c r="G310" s="56" t="n">
        <x:f>F142</x:f>
        <x:v>195.07546908602149</x:v>
      </x:c>
      <x:c r="H310" s="57" t="n">
        <x:f>IF(ISNUMBER(G310),IF(G310=0,"n.a.",F310/G310-1),"n.a.")</x:f>
        <x:v>-0.03612689902637545</x:v>
      </x:c>
      <x:c r="I310" s="58" t="n">
        <x:f>F310/J310</x:f>
        <x:v>0.14449252931978823</x:v>
      </x:c>
      <x:c r="J310" s="56" t="n">
        <x:v>1301.2990927419355</x:v>
      </x:c>
    </x:row>
    <x:row r="311" ht="65" customHeight="1">
      <x:c r="A311" s="61" t="n">
        <x:v>45200</x:v>
      </x:c>
      <x:c r="B311" s="32" t="str">
        <x:v>Madera y papel</x:v>
      </x:c>
      <x:c r="C311" s="32" t="str">
        <x:v>Industrias sin Aluar</x:v>
      </x:c>
      <x:c r="D311" s="62" t="n">
        <x:v>31</x:v>
      </x:c>
      <x:c r="E311" s="2" t="str">
        <x:v>Completo</x:v>
      </x:c>
      <x:c r="F311" s="56" t="n">
        <x:v>106.23979569892474</x:v>
      </x:c>
      <x:c r="G311" s="56" t="n">
        <x:f>F143</x:f>
        <x:v>108.78326075268816</x:v>
      </x:c>
      <x:c r="H311" s="57" t="n">
        <x:f>IF(ISNUMBER(G311),IF(G311=0,"n.a.",F311/G311-1),"n.a.")</x:f>
        <x:v>-0.023381033406838503</x:v>
      </x:c>
      <x:c r="I311" s="58" t="n">
        <x:f>F311/J311</x:f>
        <x:v>0.08164133540973233</x:v>
      </x:c>
      <x:c r="J311" s="56" t="n">
        <x:v>1301.2990927419355</x:v>
      </x:c>
    </x:row>
    <x:row r="312" ht="65" customHeight="1">
      <x:c r="A312" s="61" t="n">
        <x:v>45200</x:v>
      </x:c>
      <x:c r="B312" s="32" t="str">
        <x:v>Productos metálicos no automotores</x:v>
      </x:c>
      <x:c r="C312" s="32" t="str">
        <x:v>Industrias sin Aluar</x:v>
      </x:c>
      <x:c r="D312" s="62" t="n">
        <x:v>31</x:v>
      </x:c>
      <x:c r="E312" s="2" t="str">
        <x:v>Completo</x:v>
      </x:c>
      <x:c r="F312" s="56" t="n">
        <x:v>50.29255510752688</x:v>
      </x:c>
      <x:c r="G312" s="56" t="n">
        <x:f>F144</x:f>
        <x:v>63.52213440860215</x:v>
      </x:c>
      <x:c r="H312" s="57" t="n">
        <x:f>IF(ISNUMBER(G312),IF(G312=0,"n.a.",F312/G312-1),"n.a.")</x:f>
        <x:v>-0.20826723510228462</x:v>
      </x:c>
      <x:c r="I312" s="58" t="n">
        <x:f>F312/J312</x:f>
        <x:v>0.038647959864135974</x:v>
      </x:c>
      <x:c r="J312" s="56" t="n">
        <x:v>1301.2990927419355</x:v>
      </x:c>
    </x:row>
    <x:row r="313" ht="65" customHeight="1">
      <x:c r="A313" s="61" t="n">
        <x:v>45200</x:v>
      </x:c>
      <x:c r="B313" s="32" t="str">
        <x:v>Gran siderurgia</x:v>
      </x:c>
      <x:c r="C313" s="32" t="str">
        <x:v>Industrias sin Aluar</x:v>
      </x:c>
      <x:c r="D313" s="62" t="n">
        <x:v>31</x:v>
      </x:c>
      <x:c r="E313" s="2" t="str">
        <x:v>Completo</x:v>
      </x:c>
      <x:c r="F313" s="56" t="n">
        <x:v>373.34215860215056</x:v>
      </x:c>
      <x:c r="G313" s="56" t="n">
        <x:f>F145</x:f>
        <x:v>367.2557701612903</x:v>
      </x:c>
      <x:c r="H313" s="57" t="n">
        <x:f>IF(ISNUMBER(G313),IF(G313=0,"n.a.",F313/G313-1),"n.a.")</x:f>
        <x:v>0.016572614878691327</x:v>
      </x:c>
      <x:c r="I313" s="58" t="n">
        <x:f>F313/J313</x:f>
        <x:v>0.2868995764958926</x:v>
      </x:c>
      <x:c r="J313" s="56" t="n">
        <x:v>1301.2990927419355</x:v>
      </x:c>
    </x:row>
    <x:row r="314" ht="65" customHeight="1">
      <x:c r="A314" s="61" t="n">
        <x:v>45200</x:v>
      </x:c>
      <x:c r="B314" s="32" t="str">
        <x:v>Industria textil</x:v>
      </x:c>
      <x:c r="C314" s="32" t="str">
        <x:v>Industrias sin Aluar</x:v>
      </x:c>
      <x:c r="D314" s="62" t="n">
        <x:v>31</x:v>
      </x:c>
      <x:c r="E314" s="2" t="str">
        <x:v>Completo</x:v>
      </x:c>
      <x:c r="F314" s="56" t="n">
        <x:v>62.87235080645161</x:v>
      </x:c>
      <x:c r="G314" s="56" t="n">
        <x:f>F146</x:f>
        <x:v>62.25362768817204</x:v>
      </x:c>
      <x:c r="H314" s="57" t="n">
        <x:f>IF(ISNUMBER(G314),IF(G314=0,"n.a.",F314/G314-1),"n.a.")</x:f>
        <x:v>0.009938748009654219</x:v>
      </x:c>
      <x:c r="I314" s="58" t="n">
        <x:f>F314/J314</x:f>
        <x:v>0.04831506542740671</x:v>
      </x:c>
      <x:c r="J314" s="56" t="n">
        <x:v>1301.2990927419355</x:v>
      </x:c>
    </x:row>
    <x:row r="315" ht="65" customHeight="1">
      <x:c r="A315" s="61" t="n">
        <x:v>45200</x:v>
      </x:c>
      <x:c r="B315" s="32" t="str">
        <x:v>Químicas, caucho, plástico y otros minerales no metálicos</x:v>
      </x:c>
      <x:c r="C315" s="32" t="str">
        <x:v>Industrias sin Aluar</x:v>
      </x:c>
      <x:c r="D315" s="62" t="n">
        <x:v>31</x:v>
      </x:c>
      <x:c r="E315" s="2" t="str">
        <x:v>Completo</x:v>
      </x:c>
      <x:c r="F315" s="56" t="n">
        <x:v>343.069125</x:v>
      </x:c>
      <x:c r="G315" s="56" t="n">
        <x:f>F147</x:f>
        <x:v>325.6305268817204</x:v>
      </x:c>
      <x:c r="H315" s="57" t="n">
        <x:f>IF(ISNUMBER(G315),IF(G315=0,"n.a.",F315/G315-1),"n.a.")</x:f>
        <x:v>0.05355332709520155</x:v>
      </x:c>
      <x:c r="I315" s="58" t="n">
        <x:f>F315/J315</x:f>
        <x:v>0.2636358750370965</x:v>
      </x:c>
      <x:c r="J315" s="56" t="n">
        <x:v>1301.2990927419355</x:v>
      </x:c>
    </x:row>
    <x:row r="316" ht="65" customHeight="1">
      <x:c r="A316" s="61" t="n">
        <x:v>45200</x:v>
      </x:c>
      <x:c r="B316" s="32" t="str">
        <x:v>Extracción de minerales</x:v>
      </x:c>
      <x:c r="C316" s="32" t="str">
        <x:v>Petróleos y minerales</x:v>
      </x:c>
      <x:c r="D316" s="62" t="n">
        <x:v>31</x:v>
      </x:c>
      <x:c r="E316" s="2" t="str">
        <x:v>Completo</x:v>
      </x:c>
      <x:c r="F316" s="56" t="n">
        <x:v>22.651575268817204</x:v>
      </x:c>
      <x:c r="G316" s="56" t="n">
        <x:f>F148</x:f>
        <x:v>20.161274193548387</x:v>
      </x:c>
      <x:c r="H316" s="57" t="n">
        <x:f>IF(ISNUMBER(G316),IF(G316=0,"n.a.",F316/G316-1),"n.a.")</x:f>
        <x:v>0.12351903214855908</x:v>
      </x:c>
      <x:c r="I316" s="58" t="n">
        <x:f>F316/J316</x:f>
        <x:v>0.129393673527337</x:v>
      </x:c>
      <x:c r="J316" s="56" t="n">
        <x:v>175.05937231182796</x:v>
      </x:c>
    </x:row>
    <x:row r="317" ht="65" customHeight="1">
      <x:c r="A317" s="61" t="n">
        <x:v>45200</x:v>
      </x:c>
      <x:c r="B317" s="32" t="str">
        <x:v>Extracción de petróleo</x:v>
      </x:c>
      <x:c r="C317" s="32" t="str">
        <x:v>Petróleos y minerales</x:v>
      </x:c>
      <x:c r="D317" s="62" t="n">
        <x:v>31</x:v>
      </x:c>
      <x:c r="E317" s="2" t="str">
        <x:v>Completo</x:v>
      </x:c>
      <x:c r="F317" s="56" t="n">
        <x:v>152.40779704301076</x:v>
      </x:c>
      <x:c r="G317" s="56" t="n">
        <x:f>F149</x:f>
        <x:v>157.465373655914</x:v>
      </x:c>
      <x:c r="H317" s="57" t="n">
        <x:f>IF(ISNUMBER(G317),IF(G317=0,"n.a.",F317/G317-1),"n.a.")</x:f>
        <x:v>-0.03211865882308074</x:v>
      </x:c>
      <x:c r="I317" s="58" t="n">
        <x:f>F317/J317</x:f>
        <x:v>0.870606326472663</x:v>
      </x:c>
      <x:c r="J317" s="56" t="n">
        <x:v>175.05937231182796</x:v>
      </x:c>
    </x:row>
    <x:row r="318" ht="65" customHeight="1">
      <x:c r="A318" s="61" t="n">
        <x:v>45231</x:v>
      </x:c>
      <x:c r="B318" s="32" t="str">
        <x:v>Cargas y puertos</x:v>
      </x:c>
      <x:c r="C318" s="32" t="str">
        <x:v>Alimentación, comercios y servicios</x:v>
      </x:c>
      <x:c r="D318" s="62" t="n">
        <x:v>30</x:v>
      </x:c>
      <x:c r="E318" s="2" t="str">
        <x:v>Completo</x:v>
      </x:c>
      <x:c r="F318" s="56" t="n">
        <x:v>10.10809861111111</x:v>
      </x:c>
      <x:c r="G318" s="56" t="n">
        <x:f>F150</x:f>
        <x:v>8.462795833333333</x:v>
      </x:c>
      <x:c r="H318" s="57" t="n">
        <x:f>IF(ISNUMBER(G318),IF(G318=0,"n.a.",F318/G318-1),"n.a.")</x:f>
        <x:v>0.1944159838167483</x:v>
      </x:c>
      <x:c r="I318" s="58" t="n">
        <x:f>F318/J318</x:f>
        <x:v>0.025569464215692873</x:v>
      </x:c>
      <x:c r="J318" s="56" t="n">
        <x:v>395.31914027777776</x:v>
      </x:c>
    </x:row>
    <x:row r="319" ht="65" customHeight="1">
      <x:c r="A319" s="61" t="n">
        <x:v>45231</x:v>
      </x:c>
      <x:c r="B319" s="32" t="str">
        <x:v>Comercio y servicios: principalmente supermercados y centros comerciales</x:v>
      </x:c>
      <x:c r="C319" s="32" t="str">
        <x:v>Alimentación, comercios y servicios</x:v>
      </x:c>
      <x:c r="D319" s="62" t="n">
        <x:v>30</x:v>
      </x:c>
      <x:c r="E319" s="2" t="str">
        <x:v>Completo</x:v>
      </x:c>
      <x:c r="F319" s="56" t="n">
        <x:v>36.82725</x:v>
      </x:c>
      <x:c r="G319" s="56" t="n">
        <x:f>F151</x:f>
        <x:v>35.74963888888889</x:v>
      </x:c>
      <x:c r="H319" s="57" t="n">
        <x:f>IF(ISNUMBER(G319),IF(G319=0,"n.a.",F319/G319-1),"n.a.")</x:f>
        <x:v>0.03014327262046934</x:v>
      </x:c>
      <x:c r="I319" s="58" t="n">
        <x:f>F319/J319</x:f>
        <x:v>0.09315827706728974</x:v>
      </x:c>
      <x:c r="J319" s="56" t="n">
        <x:v>395.31914027777776</x:v>
      </x:c>
    </x:row>
    <x:row r="320" ht="65" customHeight="1">
      <x:c r="A320" s="61" t="n">
        <x:v>45231</x:v>
      </x:c>
      <x:c r="B320" s="32" t="str">
        <x:v>Alimentación y artículos de consumo masivo</x:v>
      </x:c>
      <x:c r="C320" s="32" t="str">
        <x:v>Alimentación, comercios y servicios</x:v>
      </x:c>
      <x:c r="D320" s="62" t="n">
        <x:v>30</x:v>
      </x:c>
      <x:c r="E320" s="2" t="str">
        <x:v>Completo</x:v>
      </x:c>
      <x:c r="F320" s="56" t="n">
        <x:v>261.1768861111111</x:v>
      </x:c>
      <x:c r="G320" s="56" t="n">
        <x:f>F152</x:f>
        <x:v>294.71852638888885</x:v>
      </x:c>
      <x:c r="H320" s="57" t="n">
        <x:f>IF(ISNUMBER(G320),IF(G320=0,"n.a.",F320/G320-1),"n.a.")</x:f>
        <x:v>-0.11380906619191855</x:v>
      </x:c>
      <x:c r="I320" s="58" t="n">
        <x:f>F320/J320</x:f>
        <x:v>0.6606735153971819</x:v>
      </x:c>
      <x:c r="J320" s="56" t="n">
        <x:v>395.31914027777776</x:v>
      </x:c>
    </x:row>
    <x:row r="321" ht="65" customHeight="1">
      <x:c r="A321" s="61" t="n">
        <x:v>45231</x:v>
      </x:c>
      <x:c r="B321" s="32" t="str">
        <x:v>Servicios públicos y transporte: agua y transporte en GBA</x:v>
      </x:c>
      <x:c r="C321" s="32" t="str">
        <x:v>Alimentación, comercios y servicios</x:v>
      </x:c>
      <x:c r="D321" s="62" t="n">
        <x:v>30</x:v>
      </x:c>
      <x:c r="E321" s="2" t="str">
        <x:v>Completo</x:v>
      </x:c>
      <x:c r="F321" s="56" t="n">
        <x:v>87.20690555555555</x:v>
      </x:c>
      <x:c r="G321" s="56" t="n">
        <x:f>F153</x:f>
        <x:v>86.6111388888889</x:v>
      </x:c>
      <x:c r="H321" s="57" t="n">
        <x:f>IF(ISNUMBER(G321),IF(G321=0,"n.a.",F321/G321-1),"n.a.")</x:f>
        <x:v>0.006878637947838717</x:v>
      </x:c>
      <x:c r="I321" s="58" t="n">
        <x:f>F321/J321</x:f>
        <x:v>0.22059874331983553</x:v>
      </x:c>
      <x:c r="J321" s="56" t="n">
        <x:v>395.31914027777776</x:v>
      </x:c>
    </x:row>
    <x:row r="322" ht="65" customHeight="1">
      <x:c r="A322" s="61" t="n">
        <x:v>45231</x:v>
      </x:c>
      <x:c r="B322" s="32" t="str">
        <x:v>Industria automotriz</x:v>
      </x:c>
      <x:c r="C322" s="32" t="str">
        <x:v>Industrias sin Aluar</x:v>
      </x:c>
      <x:c r="D322" s="62" t="n">
        <x:v>30</x:v>
      </x:c>
      <x:c r="E322" s="2" t="str">
        <x:v>Completo</x:v>
      </x:c>
      <x:c r="F322" s="56" t="n">
        <x:v>46.246047222222224</x:v>
      </x:c>
      <x:c r="G322" s="56" t="n">
        <x:f>F154</x:f>
        <x:v>42.028394444444444</x:v>
      </x:c>
      <x:c r="H322" s="57" t="n">
        <x:f>IF(ISNUMBER(G322),IF(G322=0,"n.a.",F322/G322-1),"n.a.")</x:f>
        <x:v>0.10035246012913768</x:v>
      </x:c>
      <x:c r="I322" s="58" t="n">
        <x:f>F322/J322</x:f>
        <x:v>0.03544417742715156</x:v>
      </x:c>
      <x:c r="J322" s="56" t="n">
        <x:v>1304.7572430555556</x:v>
      </x:c>
    </x:row>
    <x:row r="323" ht="65" customHeight="1">
      <x:c r="A323" s="61" t="n">
        <x:v>45231</x:v>
      </x:c>
      <x:c r="B323" s="32" t="str">
        <x:v>Derivados de petróleo</x:v>
      </x:c>
      <x:c r="C323" s="32" t="str">
        <x:v>Industrias sin Aluar</x:v>
      </x:c>
      <x:c r="D323" s="62" t="n">
        <x:v>30</x:v>
      </x:c>
      <x:c r="E323" s="2" t="str">
        <x:v>Completo</x:v>
      </x:c>
      <x:c r="F323" s="56" t="n">
        <x:v>166.46679444444445</x:v>
      </x:c>
      <x:c r="G323" s="56" t="n">
        <x:f>F155</x:f>
        <x:v>162.29210972222225</x:v>
      </x:c>
      <x:c r="H323" s="57" t="n">
        <x:f>IF(ISNUMBER(G323),IF(G323=0,"n.a.",F323/G323-1),"n.a.")</x:f>
        <x:v>0.025723275945870316</x:v>
      </x:c>
      <x:c r="I323" s="58" t="n">
        <x:f>F323/J323</x:f>
        <x:v>0.12758449537678207</x:v>
      </x:c>
      <x:c r="J323" s="56" t="n">
        <x:v>1304.7572430555556</x:v>
      </x:c>
    </x:row>
    <x:row r="324" ht="65" customHeight="1">
      <x:c r="A324" s="61" t="n">
        <x:v>45231</x:v>
      </x:c>
      <x:c r="B324" s="32" t="str">
        <x:v>Construcción: elaboración de cemento y canteras</x:v>
      </x:c>
      <x:c r="C324" s="32" t="str">
        <x:v>Industrias sin Aluar</x:v>
      </x:c>
      <x:c r="D324" s="62" t="n">
        <x:v>30</x:v>
      </x:c>
      <x:c r="E324" s="2" t="str">
        <x:v>Completo</x:v>
      </x:c>
      <x:c r="F324" s="56" t="n">
        <x:v>181.767525</x:v>
      </x:c>
      <x:c r="G324" s="56" t="n">
        <x:f>F156</x:f>
        <x:v>184.2408125</x:v>
      </x:c>
      <x:c r="H324" s="57" t="n">
        <x:f>IF(ISNUMBER(G324),IF(G324=0,"n.a.",F324/G324-1),"n.a.")</x:f>
        <x:v>-0.013424210773060885</x:v>
      </x:c>
      <x:c r="I324" s="58" t="n">
        <x:f>F324/J324</x:f>
        <x:v>0.13931137456215714</x:v>
      </x:c>
      <x:c r="J324" s="56" t="n">
        <x:v>1304.7572430555556</x:v>
      </x:c>
    </x:row>
    <x:row r="325" ht="65" customHeight="1">
      <x:c r="A325" s="61" t="n">
        <x:v>45231</x:v>
      </x:c>
      <x:c r="B325" s="32" t="str">
        <x:v>Madera y papel</x:v>
      </x:c>
      <x:c r="C325" s="32" t="str">
        <x:v>Industrias sin Aluar</x:v>
      </x:c>
      <x:c r="D325" s="62" t="n">
        <x:v>30</x:v>
      </x:c>
      <x:c r="E325" s="2" t="str">
        <x:v>Completo</x:v>
      </x:c>
      <x:c r="F325" s="56" t="n">
        <x:v>111.24213333333334</x:v>
      </x:c>
      <x:c r="G325" s="56" t="n">
        <x:f>F157</x:f>
        <x:v>110.09355416666666</x:v>
      </x:c>
      <x:c r="H325" s="57" t="n">
        <x:f>IF(ISNUMBER(G325),IF(G325=0,"n.a.",F325/G325-1),"n.a.")</x:f>
        <x:v>0.010432755808100103</x:v>
      </x:c>
      <x:c r="I325" s="58" t="n">
        <x:f>F325/J325</x:f>
        <x:v>0.08525887395943486</x:v>
      </x:c>
      <x:c r="J325" s="56" t="n">
        <x:v>1304.7572430555556</x:v>
      </x:c>
    </x:row>
    <x:row r="326" ht="65" customHeight="1">
      <x:c r="A326" s="61" t="n">
        <x:v>45231</x:v>
      </x:c>
      <x:c r="B326" s="32" t="str">
        <x:v>Productos metálicos no automotores</x:v>
      </x:c>
      <x:c r="C326" s="32" t="str">
        <x:v>Industrias sin Aluar</x:v>
      </x:c>
      <x:c r="D326" s="62" t="n">
        <x:v>30</x:v>
      </x:c>
      <x:c r="E326" s="2" t="str">
        <x:v>Completo</x:v>
      </x:c>
      <x:c r="F326" s="56" t="n">
        <x:v>49.571956944444445</x:v>
      </x:c>
      <x:c r="G326" s="56" t="n">
        <x:f>F158</x:f>
        <x:v>54.11564722222222</x:v>
      </x:c>
      <x:c r="H326" s="57" t="n">
        <x:f>IF(ISNUMBER(G326),IF(G326=0,"n.a.",F326/G326-1),"n.a.")</x:f>
        <x:v>-0.08396259697531516</x:v>
      </x:c>
      <x:c r="I326" s="58" t="n">
        <x:f>F326/J326</x:f>
        <x:v>0.03799324143114468</x:v>
      </x:c>
      <x:c r="J326" s="56" t="n">
        <x:v>1304.7572430555556</x:v>
      </x:c>
    </x:row>
    <x:row r="327" ht="65" customHeight="1">
      <x:c r="A327" s="61" t="n">
        <x:v>45231</x:v>
      </x:c>
      <x:c r="B327" s="32" t="str">
        <x:v>Gran siderurgia</x:v>
      </x:c>
      <x:c r="C327" s="32" t="str">
        <x:v>Industrias sin Aluar</x:v>
      </x:c>
      <x:c r="D327" s="62" t="n">
        <x:v>30</x:v>
      </x:c>
      <x:c r="E327" s="2" t="str">
        <x:v>Completo</x:v>
      </x:c>
      <x:c r="F327" s="56" t="n">
        <x:v>351.0860930555555</x:v>
      </x:c>
      <x:c r="G327" s="56" t="n">
        <x:f>F159</x:f>
        <x:v>364.3673902777778</x:v>
      </x:c>
      <x:c r="H327" s="57" t="n">
        <x:f>IF(ISNUMBER(G327),IF(G327=0,"n.a.",F327/G327-1),"n.a.")</x:f>
        <x:v>-0.03645029049415538</x:v>
      </x:c>
      <x:c r="I327" s="58" t="n">
        <x:f>F327/J327</x:f>
        <x:v>0.26908154365432907</x:v>
      </x:c>
      <x:c r="J327" s="56" t="n">
        <x:v>1304.7572430555556</x:v>
      </x:c>
    </x:row>
    <x:row r="328" ht="65" customHeight="1">
      <x:c r="A328" s="61" t="n">
        <x:v>45231</x:v>
      </x:c>
      <x:c r="B328" s="32" t="str">
        <x:v>Industria textil</x:v>
      </x:c>
      <x:c r="C328" s="32" t="str">
        <x:v>Industrias sin Aluar</x:v>
      </x:c>
      <x:c r="D328" s="62" t="n">
        <x:v>30</x:v>
      </x:c>
      <x:c r="E328" s="2" t="str">
        <x:v>Completo</x:v>
      </x:c>
      <x:c r="F328" s="56" t="n">
        <x:v>66.27253750000001</x:v>
      </x:c>
      <x:c r="G328" s="56" t="n">
        <x:f>F160</x:f>
        <x:v>65.30156111111111</x:v>
      </x:c>
      <x:c r="H328" s="57" t="n">
        <x:f>IF(ISNUMBER(G328),IF(G328=0,"n.a.",F328/G328-1),"n.a.")</x:f>
        <x:v>0.014869114495391189</x:v>
      </x:c>
      <x:c r="I328" s="58" t="n">
        <x:f>F328/J328</x:f>
        <x:v>0.05079300218698091</x:v>
      </x:c>
      <x:c r="J328" s="56" t="n">
        <x:v>1304.7572430555556</x:v>
      </x:c>
    </x:row>
    <x:row r="329" ht="65" customHeight="1">
      <x:c r="A329" s="61" t="n">
        <x:v>45231</x:v>
      </x:c>
      <x:c r="B329" s="32" t="str">
        <x:v>Químicas, caucho, plástico y otros minerales no metálicos</x:v>
      </x:c>
      <x:c r="C329" s="32" t="str">
        <x:v>Industrias sin Aluar</x:v>
      </x:c>
      <x:c r="D329" s="62" t="n">
        <x:v>30</x:v>
      </x:c>
      <x:c r="E329" s="2" t="str">
        <x:v>Completo</x:v>
      </x:c>
      <x:c r="F329" s="56" t="n">
        <x:v>332.10415555555556</x:v>
      </x:c>
      <x:c r="G329" s="56" t="n">
        <x:f>F161</x:f>
        <x:v>349.0123597222222</x:v>
      </x:c>
      <x:c r="H329" s="57" t="n">
        <x:f>IF(ISNUMBER(G329),IF(G329=0,"n.a.",F329/G329-1),"n.a.")</x:f>
        <x:v>-0.048445860714284805</x:v>
      </x:c>
      <x:c r="I329" s="58" t="n">
        <x:f>F329/J329</x:f>
        <x:v>0.2545332914020197</x:v>
      </x:c>
      <x:c r="J329" s="56" t="n">
        <x:v>1304.7572430555556</x:v>
      </x:c>
    </x:row>
    <x:row r="330" ht="65" customHeight="1">
      <x:c r="A330" s="61" t="n">
        <x:v>45231</x:v>
      </x:c>
      <x:c r="B330" s="32" t="str">
        <x:v>Extracción de minerales</x:v>
      </x:c>
      <x:c r="C330" s="32" t="str">
        <x:v>Petróleos y minerales</x:v>
      </x:c>
      <x:c r="D330" s="62" t="n">
        <x:v>30</x:v>
      </x:c>
      <x:c r="E330" s="2" t="str">
        <x:v>Completo</x:v>
      </x:c>
      <x:c r="F330" s="56" t="n">
        <x:v>22.9203875</x:v>
      </x:c>
      <x:c r="G330" s="56" t="n">
        <x:f>F162</x:f>
        <x:v>19.485816666666665</x:v>
      </x:c>
      <x:c r="H330" s="57" t="n">
        <x:f>IF(ISNUMBER(G330),IF(G330=0,"n.a.",F330/G330-1),"n.a.")</x:f>
        <x:v>0.17626004042256382</x:v>
      </x:c>
      <x:c r="I330" s="58" t="n">
        <x:f>F330/J330</x:f>
        <x:v>0.1381285620502678</x:v>
      </x:c>
      <x:c r="J330" s="56" t="n">
        <x:v>165.9351777777778</x:v>
      </x:c>
    </x:row>
    <x:row r="331" ht="65" customHeight="1">
      <x:c r="A331" s="61" t="n">
        <x:v>45231</x:v>
      </x:c>
      <x:c r="B331" s="32" t="str">
        <x:v>Extracción de petróleo</x:v>
      </x:c>
      <x:c r="C331" s="32" t="str">
        <x:v>Petróleos y minerales</x:v>
      </x:c>
      <x:c r="D331" s="62" t="n">
        <x:v>30</x:v>
      </x:c>
      <x:c r="E331" s="2" t="str">
        <x:v>Completo</x:v>
      </x:c>
      <x:c r="F331" s="56" t="n">
        <x:v>143.01479027777776</x:v>
      </x:c>
      <x:c r="G331" s="56" t="n">
        <x:f>F163</x:f>
        <x:v>150.54812777777778</x:v>
      </x:c>
      <x:c r="H331" s="57" t="n">
        <x:f>IF(ISNUMBER(G331),IF(G331=0,"n.a.",F331/G331-1),"n.a.")</x:f>
        <x:v>-0.050039396777619705</x:v>
      </x:c>
      <x:c r="I331" s="58" t="n">
        <x:f>F331/J331</x:f>
        <x:v>0.861871437949732</x:v>
      </x:c>
      <x:c r="J331" s="56" t="n">
        <x:v>165.9351777777778</x:v>
      </x:c>
    </x:row>
    <x:row r="332" ht="65" customHeight="1">
      <x:c r="A332" s="61" t="n">
        <x:v>45261</x:v>
      </x:c>
      <x:c r="B332" s="32" t="str">
        <x:v>Cargas y puertos</x:v>
      </x:c>
      <x:c r="C332" s="32" t="str">
        <x:v>Alimentación, comercios y servicios</x:v>
      </x:c>
      <x:c r="D332" s="62" t="n">
        <x:v>31</x:v>
      </x:c>
      <x:c r="E332" s="2" t="str">
        <x:v>Completo</x:v>
      </x:c>
      <x:c r="F332" s="56" t="n">
        <x:v>10.850903225806452</x:v>
      </x:c>
      <x:c r="G332" s="56" t="n">
        <x:f>F164</x:f>
        <x:v>9.232108870967743</x:v>
      </x:c>
      <x:c r="H332" s="57" t="n">
        <x:f>IF(ISNUMBER(G332),IF(G332=0,"n.a.",F332/G332-1),"n.a.")</x:f>
        <x:v>0.1753439411800417</x:v>
      </x:c>
      <x:c r="I332" s="58" t="n">
        <x:f>F332/J332</x:f>
        <x:v>0.027696525336008554</x:v>
      </x:c>
      <x:c r="J332" s="56" t="n">
        <x:v>391.778502688172</x:v>
      </x:c>
    </x:row>
    <x:row r="333" ht="65" customHeight="1">
      <x:c r="A333" s="61" t="n">
        <x:v>45261</x:v>
      </x:c>
      <x:c r="B333" s="32" t="str">
        <x:v>Comercio y servicios: principalmente supermercados y centros comerciales</x:v>
      </x:c>
      <x:c r="C333" s="32" t="str">
        <x:v>Alimentación, comercios y servicios</x:v>
      </x:c>
      <x:c r="D333" s="62" t="n">
        <x:v>31</x:v>
      </x:c>
      <x:c r="E333" s="2" t="str">
        <x:v>Completo</x:v>
      </x:c>
      <x:c r="F333" s="56" t="n">
        <x:v>39.50687903225806</x:v>
      </x:c>
      <x:c r="G333" s="56" t="n">
        <x:f>F165</x:f>
        <x:v>38.40540188172044</x:v>
      </x:c>
      <x:c r="H333" s="57" t="n">
        <x:f>IF(ISNUMBER(G333),IF(G333=0,"n.a.",F333/G333-1),"n.a.")</x:f>
        <x:v>0.028680266227389506</x:v>
      </x:c>
      <x:c r="I333" s="58" t="n">
        <x:f>F333/J333</x:f>
        <x:v>0.10083983363350271</x:v>
      </x:c>
      <x:c r="J333" s="56" t="n">
        <x:v>391.778502688172</x:v>
      </x:c>
    </x:row>
    <x:row r="334" ht="65" customHeight="1">
      <x:c r="A334" s="61" t="n">
        <x:v>45261</x:v>
      </x:c>
      <x:c r="B334" s="32" t="str">
        <x:v>Alimentación y artículos de consumo masivo</x:v>
      </x:c>
      <x:c r="C334" s="32" t="str">
        <x:v>Alimentación, comercios y servicios</x:v>
      </x:c>
      <x:c r="D334" s="62" t="n">
        <x:v>31</x:v>
      </x:c>
      <x:c r="E334" s="2" t="str">
        <x:v>Completo</x:v>
      </x:c>
      <x:c r="F334" s="56" t="n">
        <x:v>253.93697983870965</x:v>
      </x:c>
      <x:c r="G334" s="56" t="n">
        <x:f>F166</x:f>
        <x:v>257.60786693548386</x:v>
      </x:c>
      <x:c r="H334" s="57" t="n">
        <x:f>IF(ISNUMBER(G334),IF(G334=0,"n.a.",F334/G334-1),"n.a.")</x:f>
        <x:v>-0.01424990292588213</x:v>
      </x:c>
      <x:c r="I334" s="58" t="n">
        <x:f>F334/J334</x:f>
        <x:v>0.6481646596133569</x:v>
      </x:c>
      <x:c r="J334" s="56" t="n">
        <x:v>391.778502688172</x:v>
      </x:c>
    </x:row>
    <x:row r="335" ht="65" customHeight="1">
      <x:c r="A335" s="61" t="n">
        <x:v>45261</x:v>
      </x:c>
      <x:c r="B335" s="32" t="str">
        <x:v>Servicios públicos y transporte: agua y transporte en GBA</x:v>
      </x:c>
      <x:c r="C335" s="32" t="str">
        <x:v>Alimentación, comercios y servicios</x:v>
      </x:c>
      <x:c r="D335" s="62" t="n">
        <x:v>31</x:v>
      </x:c>
      <x:c r="E335" s="2" t="str">
        <x:v>Completo</x:v>
      </x:c>
      <x:c r="F335" s="56" t="n">
        <x:v>87.48374059139785</x:v>
      </x:c>
      <x:c r="G335" s="56" t="n">
        <x:f>F167</x:f>
        <x:v>87.92454838709678</x:v>
      </x:c>
      <x:c r="H335" s="57" t="n">
        <x:f>IF(ISNUMBER(G335),IF(G335=0,"n.a.",F335/G335-1),"n.a.")</x:f>
        <x:v>-0.005013478076204891</x:v>
      </x:c>
      <x:c r="I335" s="58" t="n">
        <x:f>F335/J335</x:f>
        <x:v>0.2232989814171318</x:v>
      </x:c>
      <x:c r="J335" s="56" t="n">
        <x:v>391.778502688172</x:v>
      </x:c>
    </x:row>
    <x:row r="336" ht="65" customHeight="1">
      <x:c r="A336" s="61" t="n">
        <x:v>45261</x:v>
      </x:c>
      <x:c r="B336" s="32" t="str">
        <x:v>Industria automotriz</x:v>
      </x:c>
      <x:c r="C336" s="32" t="str">
        <x:v>Industrias sin Aluar</x:v>
      </x:c>
      <x:c r="D336" s="62" t="n">
        <x:v>31</x:v>
      </x:c>
      <x:c r="E336" s="2" t="str">
        <x:v>Completo</x:v>
      </x:c>
      <x:c r="F336" s="56" t="n">
        <x:v>37.83376075268817</x:v>
      </x:c>
      <x:c r="G336" s="56" t="n">
        <x:f>F168</x:f>
        <x:v>36.612905913978494</x:v>
      </x:c>
      <x:c r="H336" s="57" t="n">
        <x:f>IF(ISNUMBER(G336),IF(G336=0,"n.a.",F336/G336-1),"n.a.")</x:f>
        <x:v>0.033344931472472084</x:v>
      </x:c>
      <x:c r="I336" s="58" t="n">
        <x:f>F336/J336</x:f>
        <x:v>0.03364282703290467</x:v>
      </x:c>
      <x:c r="J336" s="56" t="n">
        <x:v>1124.5713897849464</x:v>
      </x:c>
    </x:row>
    <x:row r="337" ht="65" customHeight="1">
      <x:c r="A337" s="61" t="n">
        <x:v>45261</x:v>
      </x:c>
      <x:c r="B337" s="32" t="str">
        <x:v>Derivados de petróleo</x:v>
      </x:c>
      <x:c r="C337" s="32" t="str">
        <x:v>Industrias sin Aluar</x:v>
      </x:c>
      <x:c r="D337" s="62" t="n">
        <x:v>31</x:v>
      </x:c>
      <x:c r="E337" s="2" t="str">
        <x:v>Completo</x:v>
      </x:c>
      <x:c r="F337" s="56" t="n">
        <x:v>149.47365860215055</x:v>
      </x:c>
      <x:c r="G337" s="56" t="n">
        <x:f>F169</x:f>
        <x:v>167.18915456989248</x:v>
      </x:c>
      <x:c r="H337" s="57" t="n">
        <x:f>IF(ISNUMBER(G337),IF(G337=0,"n.a.",F337/G337-1),"n.a.")</x:f>
        <x:v>-0.1059607964004392</x:v>
      </x:c>
      <x:c r="I337" s="58" t="n">
        <x:f>F337/J337</x:f>
        <x:v>0.13291611360549963</x:v>
      </x:c>
      <x:c r="J337" s="56" t="n">
        <x:v>1124.5713897849464</x:v>
      </x:c>
    </x:row>
    <x:row r="338" ht="65" customHeight="1">
      <x:c r="A338" s="61" t="n">
        <x:v>45261</x:v>
      </x:c>
      <x:c r="B338" s="32" t="str">
        <x:v>Construcción: elaboración de cemento y canteras</x:v>
      </x:c>
      <x:c r="C338" s="32" t="str">
        <x:v>Industrias sin Aluar</x:v>
      </x:c>
      <x:c r="D338" s="62" t="n">
        <x:v>31</x:v>
      </x:c>
      <x:c r="E338" s="2" t="str">
        <x:v>Completo</x:v>
      </x:c>
      <x:c r="F338" s="56" t="n">
        <x:v>170.31919086021506</x:v>
      </x:c>
      <x:c r="G338" s="56" t="n">
        <x:f>F170</x:f>
        <x:v>177.185125</x:v>
      </x:c>
      <x:c r="H338" s="57" t="n">
        <x:f>IF(ISNUMBER(G338),IF(G338=0,"n.a.",F338/G338-1),"n.a.")</x:f>
        <x:v>-0.03875005951986621</x:v>
      </x:c>
      <x:c r="I338" s="58" t="n">
        <x:f>F338/J338</x:f>
        <x:v>0.15145253774665696</x:v>
      </x:c>
      <x:c r="J338" s="56" t="n">
        <x:v>1124.5713897849464</x:v>
      </x:c>
    </x:row>
    <x:row r="339" ht="65" customHeight="1">
      <x:c r="A339" s="61" t="n">
        <x:v>45261</x:v>
      </x:c>
      <x:c r="B339" s="32" t="str">
        <x:v>Madera y papel</x:v>
      </x:c>
      <x:c r="C339" s="32" t="str">
        <x:v>Industrias sin Aluar</x:v>
      </x:c>
      <x:c r="D339" s="62" t="n">
        <x:v>31</x:v>
      </x:c>
      <x:c r="E339" s="2" t="str">
        <x:v>Completo</x:v>
      </x:c>
      <x:c r="F339" s="56" t="n">
        <x:v>101.91472849462365</x:v>
      </x:c>
      <x:c r="G339" s="56" t="n">
        <x:f>F171</x:f>
        <x:v>104.11995161290322</x:v>
      </x:c>
      <x:c r="H339" s="57" t="n">
        <x:f>IF(ISNUMBER(G339),IF(G339=0,"n.a.",F339/G339-1),"n.a.")</x:f>
        <x:v>-0.02117964025260155</x:v>
      </x:c>
      <x:c r="I339" s="58" t="n">
        <x:f>F339/J339</x:f>
        <x:v>0.09062539685818698</x:v>
      </x:c>
      <x:c r="J339" s="56" t="n">
        <x:v>1124.5713897849464</x:v>
      </x:c>
    </x:row>
    <x:row r="340" ht="65" customHeight="1">
      <x:c r="A340" s="61" t="n">
        <x:v>45261</x:v>
      </x:c>
      <x:c r="B340" s="32" t="str">
        <x:v>Productos metálicos no automotores</x:v>
      </x:c>
      <x:c r="C340" s="32" t="str">
        <x:v>Industrias sin Aluar</x:v>
      </x:c>
      <x:c r="D340" s="62" t="n">
        <x:v>31</x:v>
      </x:c>
      <x:c r="E340" s="2" t="str">
        <x:v>Completo</x:v>
      </x:c>
      <x:c r="F340" s="56" t="n">
        <x:v>40.546857526881716</x:v>
      </x:c>
      <x:c r="G340" s="56" t="n">
        <x:f>F172</x:f>
        <x:v>45.46657795698925</x:v>
      </x:c>
      <x:c r="H340" s="57" t="n">
        <x:f>IF(ISNUMBER(G340),IF(G340=0,"n.a.",F340/G340-1),"n.a.")</x:f>
        <x:v>-0.10820520591546434</x:v>
      </x:c>
      <x:c r="I340" s="58" t="n">
        <x:f>F340/J340</x:f>
        <x:v>0.036055387763897814</x:v>
      </x:c>
      <x:c r="J340" s="56" t="n">
        <x:v>1124.5713897849464</x:v>
      </x:c>
    </x:row>
    <x:row r="341" ht="65" customHeight="1">
      <x:c r="A341" s="61" t="n">
        <x:v>45261</x:v>
      </x:c>
      <x:c r="B341" s="32" t="str">
        <x:v>Gran siderurgia</x:v>
      </x:c>
      <x:c r="C341" s="32" t="str">
        <x:v>Industrias sin Aluar</x:v>
      </x:c>
      <x:c r="D341" s="62" t="n">
        <x:v>31</x:v>
      </x:c>
      <x:c r="E341" s="2" t="str">
        <x:v>Completo</x:v>
      </x:c>
      <x:c r="F341" s="56" t="n">
        <x:v>271.11159005376345</x:v>
      </x:c>
      <x:c r="G341" s="56" t="n">
        <x:f>F173</x:f>
        <x:v>317.68285618279566</x:v>
      </x:c>
      <x:c r="H341" s="57" t="n">
        <x:f>IF(ISNUMBER(G341),IF(G341=0,"n.a.",F341/G341-1),"n.a.")</x:f>
        <x:v>-0.14659672444595173</x:v>
      </x:c>
      <x:c r="I341" s="58" t="n">
        <x:f>F341/J341</x:f>
        <x:v>0.2410799283321698</x:v>
      </x:c>
      <x:c r="J341" s="56" t="n">
        <x:v>1124.5713897849464</x:v>
      </x:c>
    </x:row>
    <x:row r="342" ht="65" customHeight="1">
      <x:c r="A342" s="61" t="n">
        <x:v>45261</x:v>
      </x:c>
      <x:c r="B342" s="32" t="str">
        <x:v>Industria textil</x:v>
      </x:c>
      <x:c r="C342" s="32" t="str">
        <x:v>Industrias sin Aluar</x:v>
      </x:c>
      <x:c r="D342" s="62" t="n">
        <x:v>31</x:v>
      </x:c>
      <x:c r="E342" s="2" t="str">
        <x:v>Completo</x:v>
      </x:c>
      <x:c r="F342" s="56" t="n">
        <x:v>50.00543951612903</x:v>
      </x:c>
      <x:c r="G342" s="56" t="n">
        <x:f>F174</x:f>
        <x:v>48.548680107526884</x:v>
      </x:c>
      <x:c r="H342" s="57" t="n">
        <x:f>IF(ISNUMBER(G342),IF(G342=0,"n.a.",F342/G342-1),"n.a.")</x:f>
        <x:v>0.030006158877557088</x:v>
      </x:c>
      <x:c r="I342" s="58" t="n">
        <x:f>F342/J342</x:f>
        <x:v>0.04446622061556417</x:v>
      </x:c>
      <x:c r="J342" s="56" t="n">
        <x:v>1124.5713897849464</x:v>
      </x:c>
    </x:row>
    <x:row r="343" ht="65" customHeight="1">
      <x:c r="A343" s="61" t="n">
        <x:v>45261</x:v>
      </x:c>
      <x:c r="B343" s="32" t="str">
        <x:v>Químicas, caucho, plástico y otros minerales no metálicos</x:v>
      </x:c>
      <x:c r="C343" s="32" t="str">
        <x:v>Industrias sin Aluar</x:v>
      </x:c>
      <x:c r="D343" s="62" t="n">
        <x:v>31</x:v>
      </x:c>
      <x:c r="E343" s="2" t="str">
        <x:v>Completo</x:v>
      </x:c>
      <x:c r="F343" s="56" t="n">
        <x:v>303.3661639784946</x:v>
      </x:c>
      <x:c r="G343" s="56" t="n">
        <x:f>F175</x:f>
        <x:v>324.8328051075269</x:v>
      </x:c>
      <x:c r="H343" s="57" t="n">
        <x:f>IF(ISNUMBER(G343),IF(G343=0,"n.a.",F343/G343-1),"n.a.")</x:f>
        <x:v>-0.06608520072942248</x:v>
      </x:c>
      <x:c r="I343" s="58" t="n">
        <x:f>F343/J343</x:f>
        <x:v>0.26976158804511985</x:v>
      </x:c>
      <x:c r="J343" s="56" t="n">
        <x:v>1124.5713897849464</x:v>
      </x:c>
    </x:row>
    <x:row r="344" ht="65" customHeight="1">
      <x:c r="A344" s="61" t="n">
        <x:v>45261</x:v>
      </x:c>
      <x:c r="B344" s="32" t="str">
        <x:v>Extracción de minerales</x:v>
      </x:c>
      <x:c r="C344" s="32" t="str">
        <x:v>Petróleos y minerales</x:v>
      </x:c>
      <x:c r="D344" s="62" t="n">
        <x:v>31</x:v>
      </x:c>
      <x:c r="E344" s="2" t="str">
        <x:v>Completo</x:v>
      </x:c>
      <x:c r="F344" s="56" t="n">
        <x:v>20.7108185483871</x:v>
      </x:c>
      <x:c r="G344" s="56" t="n">
        <x:f>F176</x:f>
        <x:v>18.08874193548387</x:v>
      </x:c>
      <x:c r="H344" s="57" t="n">
        <x:f>IF(ISNUMBER(G344),IF(G344=0,"n.a.",F344/G344-1),"n.a.")</x:f>
        <x:v>0.144956272926843</x:v>
      </x:c>
      <x:c r="I344" s="58" t="n">
        <x:f>F344/J344</x:f>
        <x:v>0.1303715780372241</x:v>
      </x:c>
      <x:c r="J344" s="56" t="n">
        <x:v>158.85992069892473</x:v>
      </x:c>
    </x:row>
    <x:row r="345" ht="65" customHeight="1">
      <x:c r="A345" s="61" t="n">
        <x:v>45261</x:v>
      </x:c>
      <x:c r="B345" s="32" t="str">
        <x:v>Extracción de petróleo</x:v>
      </x:c>
      <x:c r="C345" s="32" t="str">
        <x:v>Petróleos y minerales</x:v>
      </x:c>
      <x:c r="D345" s="62" t="n">
        <x:v>31</x:v>
      </x:c>
      <x:c r="E345" s="2" t="str">
        <x:v>Completo</x:v>
      </x:c>
      <x:c r="F345" s="56" t="n">
        <x:v>138.14910215053766</x:v>
      </x:c>
      <x:c r="G345" s="56" t="n">
        <x:f>F177</x:f>
        <x:v>149.72840188172043</x:v>
      </x:c>
      <x:c r="H345" s="57" t="n">
        <x:f>IF(ISNUMBER(G345),IF(G345=0,"n.a.",F345/G345-1),"n.a.")</x:f>
        <x:v>-0.07733535912798939</x:v>
      </x:c>
      <x:c r="I345" s="58" t="n">
        <x:f>F345/J345</x:f>
        <x:v>0.8696284219627761</x:v>
      </x:c>
      <x:c r="J345" s="56" t="n">
        <x:v>158.85992069892473</x:v>
      </x:c>
    </x:row>
    <x:row r="346" ht="65" customHeight="1">
      <x:c r="A346" s="61" t="n">
        <x:v>45292</x:v>
      </x:c>
      <x:c r="B346" s="32" t="str">
        <x:v>Cargas y puertos</x:v>
      </x:c>
      <x:c r="C346" s="32" t="str">
        <x:v>Alimentación, comercios y servicios</x:v>
      </x:c>
      <x:c r="D346" s="62" t="n">
        <x:v>31</x:v>
      </x:c>
      <x:c r="E346" s="2" t="str">
        <x:v>Completo</x:v>
      </x:c>
      <x:c r="F346" s="56" t="n">
        <x:v>12.258646505376344</x:v>
      </x:c>
      <x:c r="G346" s="56" t="n">
        <x:f>F178</x:f>
        <x:v>9.867298387096774</x:v>
      </x:c>
      <x:c r="H346" s="57" t="n">
        <x:f>IF(ISNUMBER(G346),IF(G346=0,"n.a.",F346/G346-1),"n.a.")</x:f>
        <x:v>0.24235084665187356</x:v>
      </x:c>
      <x:c r="I346" s="58" t="n">
        <x:f>F346/J346</x:f>
        <x:v>0.03063206500326105</x:v>
      </x:c>
      <x:c r="J346" s="56" t="n">
        <x:v>400.19001344086024</x:v>
      </x:c>
    </x:row>
    <x:row r="347" ht="65" customHeight="1">
      <x:c r="A347" s="61" t="n">
        <x:v>45292</x:v>
      </x:c>
      <x:c r="B347" s="32" t="str">
        <x:v>Comercio y servicios: principalmente supermercados y centros comerciales</x:v>
      </x:c>
      <x:c r="C347" s="32" t="str">
        <x:v>Alimentación, comercios y servicios</x:v>
      </x:c>
      <x:c r="D347" s="62" t="n">
        <x:v>31</x:v>
      </x:c>
      <x:c r="E347" s="2" t="str">
        <x:v>Completo</x:v>
      </x:c>
      <x:c r="F347" s="56" t="n">
        <x:v>42.51775403225807</x:v>
      </x:c>
      <x:c r="G347" s="56" t="n">
        <x:f>F179</x:f>
        <x:v>39.40074462365592</x:v>
      </x:c>
      <x:c r="H347" s="57" t="n">
        <x:f>IF(ISNUMBER(G347),IF(G347=0,"n.a.",F347/G347-1),"n.a.")</x:f>
        <x:v>0.07911041880997138</x:v>
      </x:c>
      <x:c r="I347" s="58" t="n">
        <x:f>F347/J347</x:f>
        <x:v>0.10624391565068704</x:v>
      </x:c>
      <x:c r="J347" s="56" t="n">
        <x:v>400.19001344086024</x:v>
      </x:c>
    </x:row>
    <x:row r="348" ht="65" customHeight="1">
      <x:c r="A348" s="61" t="n">
        <x:v>45292</x:v>
      </x:c>
      <x:c r="B348" s="32" t="str">
        <x:v>Alimentación y artículos de consumo masivo</x:v>
      </x:c>
      <x:c r="C348" s="32" t="str">
        <x:v>Alimentación, comercios y servicios</x:v>
      </x:c>
      <x:c r="D348" s="62" t="n">
        <x:v>31</x:v>
      </x:c>
      <x:c r="E348" s="2" t="str">
        <x:v>Completo</x:v>
      </x:c>
      <x:c r="F348" s="56" t="n">
        <x:v>257.9740793010753</x:v>
      </x:c>
      <x:c r="G348" s="56" t="n">
        <x:f>F180</x:f>
        <x:v>253.06402956989245</x:v>
      </x:c>
      <x:c r="H348" s="57" t="n">
        <x:f>IF(ISNUMBER(G348),IF(G348=0,"n.a.",F348/G348-1),"n.a.")</x:f>
        <x:v>0.01940240080555089</x:v>
      </x:c>
      <x:c r="I348" s="58" t="n">
        <x:f>F348/J348</x:f>
        <x:v>0.6446289778273002</x:v>
      </x:c>
      <x:c r="J348" s="56" t="n">
        <x:v>400.19001344086024</x:v>
      </x:c>
    </x:row>
    <x:row r="349" ht="65" customHeight="1">
      <x:c r="A349" s="61" t="n">
        <x:v>45292</x:v>
      </x:c>
      <x:c r="B349" s="32" t="str">
        <x:v>Servicios públicos y transporte: agua y transporte en GBA</x:v>
      </x:c>
      <x:c r="C349" s="32" t="str">
        <x:v>Alimentación, comercios y servicios</x:v>
      </x:c>
      <x:c r="D349" s="62" t="n">
        <x:v>31</x:v>
      </x:c>
      <x:c r="E349" s="2" t="str">
        <x:v>Completo</x:v>
      </x:c>
      <x:c r="F349" s="56" t="n">
        <x:v>87.43953360215055</x:v>
      </x:c>
      <x:c r="G349" s="56" t="n">
        <x:f>F181</x:f>
        <x:v>91.0561115591398</x:v>
      </x:c>
      <x:c r="H349" s="57" t="n">
        <x:f>IF(ISNUMBER(G349),IF(G349=0,"n.a.",F349/G349-1),"n.a.")</x:f>
        <x:v>-0.03971812429789867</x:v>
      </x:c>
      <x:c r="I349" s="58" t="n">
        <x:f>F349/J349</x:f>
        <x:v>0.21849504151875168</x:v>
      </x:c>
      <x:c r="J349" s="56" t="n">
        <x:v>400.19001344086024</x:v>
      </x:c>
    </x:row>
    <x:row r="350" ht="65" customHeight="1">
      <x:c r="A350" s="61" t="n">
        <x:v>45292</x:v>
      </x:c>
      <x:c r="B350" s="32" t="str">
        <x:v>Industria automotriz</x:v>
      </x:c>
      <x:c r="C350" s="32" t="str">
        <x:v>Industrias sin Aluar</x:v>
      </x:c>
      <x:c r="D350" s="62" t="n">
        <x:v>31</x:v>
      </x:c>
      <x:c r="E350" s="2" t="str">
        <x:v>Completo</x:v>
      </x:c>
      <x:c r="F350" s="56" t="n">
        <x:v>31.595293010752687</x:v>
      </x:c>
      <x:c r="G350" s="56" t="n">
        <x:f>F182</x:f>
        <x:v>30.346767473118277</x:v>
      </x:c>
      <x:c r="H350" s="57" t="n">
        <x:f>IF(ISNUMBER(G350),IF(G350=0,"n.a.",F350/G350-1),"n.a.")</x:f>
        <x:v>0.04114196145406179</x:v>
      </x:c>
      <x:c r="I350" s="58" t="n">
        <x:f>F350/J350</x:f>
        <x:v>0.028197445461094296</x:v>
      </x:c>
      <x:c r="J350" s="56" t="n">
        <x:v>1120.5019637096773</x:v>
      </x:c>
    </x:row>
    <x:row r="351" ht="65" customHeight="1">
      <x:c r="A351" s="61" t="n">
        <x:v>45292</x:v>
      </x:c>
      <x:c r="B351" s="32" t="str">
        <x:v>Derivados de petróleo</x:v>
      </x:c>
      <x:c r="C351" s="32" t="str">
        <x:v>Industrias sin Aluar</x:v>
      </x:c>
      <x:c r="D351" s="62" t="n">
        <x:v>31</x:v>
      </x:c>
      <x:c r="E351" s="2" t="str">
        <x:v>Completo</x:v>
      </x:c>
      <x:c r="F351" s="56" t="n">
        <x:v>155.5409502688172</x:v>
      </x:c>
      <x:c r="G351" s="56" t="n">
        <x:f>F183</x:f>
        <x:v>161.63064516129032</x:v>
      </x:c>
      <x:c r="H351" s="57" t="n">
        <x:f>IF(ISNUMBER(G351),IF(G351=0,"n.a.",F351/G351-1),"n.a.")</x:f>
        <x:v>-0.03767661068478845</x:v>
      </x:c>
      <x:c r="I351" s="58" t="n">
        <x:f>F351/J351</x:f>
        <x:v>0.13881363469802713</x:v>
      </x:c>
      <x:c r="J351" s="56" t="n">
        <x:v>1120.5019637096773</x:v>
      </x:c>
    </x:row>
    <x:row r="352" ht="65" customHeight="1">
      <x:c r="A352" s="61" t="n">
        <x:v>45292</x:v>
      </x:c>
      <x:c r="B352" s="32" t="str">
        <x:v>Construcción: elaboración de cemento y canteras</x:v>
      </x:c>
      <x:c r="C352" s="32" t="str">
        <x:v>Industrias sin Aluar</x:v>
      </x:c>
      <x:c r="D352" s="62" t="n">
        <x:v>31</x:v>
      </x:c>
      <x:c r="E352" s="2" t="str">
        <x:v>Completo</x:v>
      </x:c>
      <x:c r="F352" s="56" t="n">
        <x:v>133.46189112903227</x:v>
      </x:c>
      <x:c r="G352" s="56" t="n">
        <x:f>F184</x:f>
        <x:v>155.53374059139784</x:v>
      </x:c>
      <x:c r="H352" s="57" t="n">
        <x:f>IF(ISNUMBER(G352),IF(G352=0,"n.a.",F352/G352-1),"n.a.")</x:f>
        <x:v>-0.14191036220462583</x:v>
      </x:c>
      <x:c r="I352" s="58" t="n">
        <x:f>F352/J352</x:f>
        <x:v>0.11910902028870725</x:v>
      </x:c>
      <x:c r="J352" s="56" t="n">
        <x:v>1120.5019637096773</x:v>
      </x:c>
    </x:row>
    <x:row r="353" ht="65" customHeight="1">
      <x:c r="A353" s="61" t="n">
        <x:v>45292</x:v>
      </x:c>
      <x:c r="B353" s="32" t="str">
        <x:v>Madera y papel</x:v>
      </x:c>
      <x:c r="C353" s="32" t="str">
        <x:v>Industrias sin Aluar</x:v>
      </x:c>
      <x:c r="D353" s="62" t="n">
        <x:v>31</x:v>
      </x:c>
      <x:c r="E353" s="2" t="str">
        <x:v>Completo</x:v>
      </x:c>
      <x:c r="F353" s="56" t="n">
        <x:v>105.33960752688172</x:v>
      </x:c>
      <x:c r="G353" s="56" t="n">
        <x:f>F185</x:f>
        <x:v>109.55588844086022</x:v>
      </x:c>
      <x:c r="H353" s="57" t="n">
        <x:f>IF(ISNUMBER(G353),IF(G353=0,"n.a.",F353/G353-1),"n.a.")</x:f>
        <x:v>-0.03848520580666459</x:v>
      </x:c>
      <x:c r="I353" s="58" t="n">
        <x:f>F353/J353</x:f>
        <x:v>0.09401108694011649</x:v>
      </x:c>
      <x:c r="J353" s="56" t="n">
        <x:v>1120.5019637096773</x:v>
      </x:c>
    </x:row>
    <x:row r="354" ht="65" customHeight="1">
      <x:c r="A354" s="61" t="n">
        <x:v>45292</x:v>
      </x:c>
      <x:c r="B354" s="32" t="str">
        <x:v>Productos metálicos no automotores</x:v>
      </x:c>
      <x:c r="C354" s="32" t="str">
        <x:v>Industrias sin Aluar</x:v>
      </x:c>
      <x:c r="D354" s="62" t="n">
        <x:v>31</x:v>
      </x:c>
      <x:c r="E354" s="2" t="str">
        <x:v>Completo</x:v>
      </x:c>
      <x:c r="F354" s="56" t="n">
        <x:v>39.070408602150536</x:v>
      </x:c>
      <x:c r="G354" s="56" t="n">
        <x:f>F186</x:f>
        <x:v>44.24393548387097</x:v>
      </x:c>
      <x:c r="H354" s="57" t="n">
        <x:f>IF(ISNUMBER(G354),IF(G354=0,"n.a.",F354/G354-1),"n.a.")</x:f>
        <x:v>-0.11693188739067828</x:v>
      </x:c>
      <x:c r="I354" s="58" t="n">
        <x:f>F354/J354</x:f>
        <x:v>0.03486866589041847</x:v>
      </x:c>
      <x:c r="J354" s="56" t="n">
        <x:v>1120.5019637096773</x:v>
      </x:c>
    </x:row>
    <x:row r="355" ht="65" customHeight="1">
      <x:c r="A355" s="61" t="n">
        <x:v>45292</x:v>
      </x:c>
      <x:c r="B355" s="32" t="str">
        <x:v>Gran siderurgia</x:v>
      </x:c>
      <x:c r="C355" s="32" t="str">
        <x:v>Industrias sin Aluar</x:v>
      </x:c>
      <x:c r="D355" s="62" t="n">
        <x:v>31</x:v>
      </x:c>
      <x:c r="E355" s="2" t="str">
        <x:v>Completo</x:v>
      </x:c>
      <x:c r="F355" s="56" t="n">
        <x:v>327.53325403225807</x:v>
      </x:c>
      <x:c r="G355" s="56" t="n">
        <x:f>F187</x:f>
        <x:v>335.34868951612907</x:v>
      </x:c>
      <x:c r="H355" s="57" t="n">
        <x:f>IF(ISNUMBER(G355),IF(G355=0,"n.a.",F355/G355-1),"n.a.")</x:f>
        <x:v>-0.023305400403227483</x:v>
      </x:c>
      <x:c r="I355" s="58" t="n">
        <x:f>F355/J355</x:f>
        <x:v>0.2923093976095183</x:v>
      </x:c>
      <x:c r="J355" s="56" t="n">
        <x:v>1120.5019637096773</x:v>
      </x:c>
    </x:row>
    <x:row r="356" ht="65" customHeight="1">
      <x:c r="A356" s="61" t="n">
        <x:v>45292</x:v>
      </x:c>
      <x:c r="B356" s="32" t="str">
        <x:v>Industria textil</x:v>
      </x:c>
      <x:c r="C356" s="32" t="str">
        <x:v>Industrias sin Aluar</x:v>
      </x:c>
      <x:c r="D356" s="62" t="n">
        <x:v>31</x:v>
      </x:c>
      <x:c r="E356" s="2" t="str">
        <x:v>Completo</x:v>
      </x:c>
      <x:c r="F356" s="56" t="n">
        <x:v>36.94760752688172</x:v>
      </x:c>
      <x:c r="G356" s="56" t="n">
        <x:f>F188</x:f>
        <x:v>43.68027688172043</x:v>
      </x:c>
      <x:c r="H356" s="57" t="n">
        <x:f>IF(ISNUMBER(G356),IF(G356=0,"n.a.",F356/G356-1),"n.a.")</x:f>
        <x:v>-0.15413522613580866</x:v>
      </x:c>
      <x:c r="I356" s="58" t="n">
        <x:f>F356/J356</x:f>
        <x:v>0.032974156872120276</x:v>
      </x:c>
      <x:c r="J356" s="56" t="n">
        <x:v>1120.5019637096773</x:v>
      </x:c>
    </x:row>
    <x:row r="357" ht="65" customHeight="1">
      <x:c r="A357" s="61" t="n">
        <x:v>45292</x:v>
      </x:c>
      <x:c r="B357" s="32" t="str">
        <x:v>Químicas, caucho, plástico y otros minerales no metálicos</x:v>
      </x:c>
      <x:c r="C357" s="32" t="str">
        <x:v>Industrias sin Aluar</x:v>
      </x:c>
      <x:c r="D357" s="62" t="n">
        <x:v>31</x:v>
      </x:c>
      <x:c r="E357" s="2" t="str">
        <x:v>Completo</x:v>
      </x:c>
      <x:c r="F357" s="56" t="n">
        <x:v>291.01295161290324</x:v>
      </x:c>
      <x:c r="G357" s="56" t="n">
        <x:f>F189</x:f>
        <x:v>322.3582688172043</x:v>
      </x:c>
      <x:c r="H357" s="57" t="n">
        <x:f>IF(ISNUMBER(G357),IF(G357=0,"n.a.",F357/G357-1),"n.a.")</x:f>
        <x:v>-0.09723751563536176</x:v>
      </x:c>
      <x:c r="I357" s="58" t="n">
        <x:f>F357/J357</x:f>
        <x:v>0.25971659223999793</x:v>
      </x:c>
      <x:c r="J357" s="56" t="n">
        <x:v>1120.5019637096773</x:v>
      </x:c>
    </x:row>
    <x:row r="358" ht="65" customHeight="1">
      <x:c r="A358" s="61" t="n">
        <x:v>45292</x:v>
      </x:c>
      <x:c r="B358" s="32" t="str">
        <x:v>Extracción de minerales</x:v>
      </x:c>
      <x:c r="C358" s="32" t="str">
        <x:v>Petróleos y minerales</x:v>
      </x:c>
      <x:c r="D358" s="62" t="n">
        <x:v>31</x:v>
      </x:c>
      <x:c r="E358" s="2" t="str">
        <x:v>Completo</x:v>
      </x:c>
      <x:c r="F358" s="56" t="n">
        <x:v>20.743166666666667</x:v>
      </x:c>
      <x:c r="G358" s="56" t="n">
        <x:f>F190</x:f>
        <x:v>19.24130510752688</x:v>
      </x:c>
      <x:c r="H358" s="57" t="n">
        <x:f>IF(ISNUMBER(G358),IF(G358=0,"n.a.",F358/G358-1),"n.a.")</x:f>
        <x:v>0.07805403795360455</x:v>
      </x:c>
      <x:c r="I358" s="58" t="n">
        <x:f>F358/J358</x:f>
        <x:v>0.1289882615696928</x:v>
      </x:c>
      <x:c r="J358" s="56" t="n">
        <x:v>160.81437499999998</x:v>
      </x:c>
    </x:row>
    <x:row r="359" ht="65" customHeight="1">
      <x:c r="A359" s="61" t="n">
        <x:v>45292</x:v>
      </x:c>
      <x:c r="B359" s="32" t="str">
        <x:v>Extracción de petróleo</x:v>
      </x:c>
      <x:c r="C359" s="32" t="str">
        <x:v>Petróleos y minerales</x:v>
      </x:c>
      <x:c r="D359" s="62" t="n">
        <x:v>31</x:v>
      </x:c>
      <x:c r="E359" s="2" t="str">
        <x:v>Completo</x:v>
      </x:c>
      <x:c r="F359" s="56" t="n">
        <x:v>140.07120833333335</x:v>
      </x:c>
      <x:c r="G359" s="56" t="n">
        <x:f>F191</x:f>
        <x:v>146.68221639784946</x:v>
      </x:c>
      <x:c r="H359" s="57" t="n">
        <x:f>IF(ISNUMBER(G359),IF(G359=0,"n.a.",F359/G359-1),"n.a.")</x:f>
        <x:v>-0.04507027659430052</x:v>
      </x:c>
      <x:c r="I359" s="58" t="n">
        <x:f>F359/J359</x:f>
        <x:v>0.8710117384303073</x:v>
      </x:c>
      <x:c r="J359" s="56" t="n">
        <x:v>160.81437499999998</x:v>
      </x:c>
    </x:row>
    <x:row r="360" ht="65" customHeight="1">
      <x:c r="A360" s="61" t="n">
        <x:v>45323</x:v>
      </x:c>
      <x:c r="B360" s="32" t="str">
        <x:v>Cargas y puertos</x:v>
      </x:c>
      <x:c r="C360" s="32" t="str">
        <x:v>Alimentación, comercios y servicios</x:v>
      </x:c>
      <x:c r="D360" s="62" t="n">
        <x:v>29</x:v>
      </x:c>
      <x:c r="E360" s="2" t="str">
        <x:v>Completo</x:v>
      </x:c>
      <x:c r="F360" s="56" t="n">
        <x:v>12.43189511494253</x:v>
      </x:c>
      <x:c r="G360" s="56" t="n">
        <x:f>F192</x:f>
        <x:v>9.33863392857143</x:v>
      </x:c>
      <x:c r="H360" s="57" t="n">
        <x:f>IF(ISNUMBER(G360),IF(G360=0,"n.a.",F360/G360-1),"n.a.")</x:f>
        <x:v>0.33123272740216403</x:v>
      </x:c>
      <x:c r="I360" s="58" t="n">
        <x:f>F360/J360</x:f>
        <x:v>0.029637503822175233</x:v>
      </x:c>
      <x:c r="J360" s="56" t="n">
        <x:v>419.46498563218387</x:v>
      </x:c>
    </x:row>
    <x:row r="361" ht="65" customHeight="1">
      <x:c r="A361" s="61" t="n">
        <x:v>45323</x:v>
      </x:c>
      <x:c r="B361" s="32" t="str">
        <x:v>Comercio y servicios: principalmente supermercados y centros comerciales</x:v>
      </x:c>
      <x:c r="C361" s="32" t="str">
        <x:v>Alimentación, comercios y servicios</x:v>
      </x:c>
      <x:c r="D361" s="62" t="n">
        <x:v>29</x:v>
      </x:c>
      <x:c r="E361" s="2" t="str">
        <x:v>Completo</x:v>
      </x:c>
      <x:c r="F361" s="56" t="n">
        <x:v>43.13083045977011</x:v>
      </x:c>
      <x:c r="G361" s="56" t="n">
        <x:f>F193</x:f>
        <x:v>38.53780952380952</x:v>
      </x:c>
      <x:c r="H361" s="57" t="n">
        <x:f>IF(ISNUMBER(G361),IF(G361=0,"n.a.",F361/G361-1),"n.a.")</x:f>
        <x:v>0.11918220035632587</x:v>
      </x:c>
      <x:c r="I361" s="58" t="n">
        <x:f>F361/J361</x:f>
        <x:v>0.1028234344632289</x:v>
      </x:c>
      <x:c r="J361" s="56" t="n">
        <x:v>419.46498563218387</x:v>
      </x:c>
    </x:row>
    <x:row r="362" ht="65" customHeight="1">
      <x:c r="A362" s="61" t="n">
        <x:v>45323</x:v>
      </x:c>
      <x:c r="B362" s="32" t="str">
        <x:v>Alimentación y artículos de consumo masivo</x:v>
      </x:c>
      <x:c r="C362" s="32" t="str">
        <x:v>Alimentación, comercios y servicios</x:v>
      </x:c>
      <x:c r="D362" s="62" t="n">
        <x:v>29</x:v>
      </x:c>
      <x:c r="E362" s="2" t="str">
        <x:v>Completo</x:v>
      </x:c>
      <x:c r="F362" s="56" t="n">
        <x:v>276.799716954023</x:v>
      </x:c>
      <x:c r="G362" s="56" t="n">
        <x:f>F194</x:f>
        <x:v>262.4367589285714</x:v>
      </x:c>
      <x:c r="H362" s="57" t="n">
        <x:f>IF(ISNUMBER(G362),IF(G362=0,"n.a.",F362/G362-1),"n.a.")</x:f>
        <x:v>0.05472921584647672</x:v>
      </x:c>
      <x:c r="I362" s="58" t="n">
        <x:f>F362/J362</x:f>
        <x:v>0.6598875387342586</x:v>
      </x:c>
      <x:c r="J362" s="56" t="n">
        <x:v>419.46498563218387</x:v>
      </x:c>
    </x:row>
    <x:row r="363" ht="65" customHeight="1">
      <x:c r="A363" s="61" t="n">
        <x:v>45323</x:v>
      </x:c>
      <x:c r="B363" s="32" t="str">
        <x:v>Servicios públicos y transporte: agua y transporte en GBA</x:v>
      </x:c>
      <x:c r="C363" s="32" t="str">
        <x:v>Alimentación, comercios y servicios</x:v>
      </x:c>
      <x:c r="D363" s="62" t="n">
        <x:v>29</x:v>
      </x:c>
      <x:c r="E363" s="2" t="str">
        <x:v>Completo</x:v>
      </x:c>
      <x:c r="F363" s="56" t="n">
        <x:v>87.10254310344828</x:v>
      </x:c>
      <x:c r="G363" s="56" t="n">
        <x:f>F195</x:f>
        <x:v>90.42203571428571</x:v>
      </x:c>
      <x:c r="H363" s="57" t="n">
        <x:f>IF(ISNUMBER(G363),IF(G363=0,"n.a.",F363/G363-1),"n.a.")</x:f>
        <x:v>-0.03671110238356401</x:v>
      </x:c>
      <x:c r="I363" s="58" t="n">
        <x:f>F363/J363</x:f>
        <x:v>0.2076515229803373</x:v>
      </x:c>
      <x:c r="J363" s="56" t="n">
        <x:v>419.46498563218387</x:v>
      </x:c>
    </x:row>
    <x:row r="364" ht="65" customHeight="1">
      <x:c r="A364" s="61" t="n">
        <x:v>45323</x:v>
      </x:c>
      <x:c r="B364" s="32" t="str">
        <x:v>Industria automotriz</x:v>
      </x:c>
      <x:c r="C364" s="32" t="str">
        <x:v>Industrias sin Aluar</x:v>
      </x:c>
      <x:c r="D364" s="62" t="n">
        <x:v>29</x:v>
      </x:c>
      <x:c r="E364" s="2" t="str">
        <x:v>Completo</x:v>
      </x:c>
      <x:c r="F364" s="56" t="n">
        <x:v>43.718198275862065</x:v>
      </x:c>
      <x:c r="G364" s="56" t="n">
        <x:f>F196</x:f>
        <x:v>41.615912202380954</x:v>
      </x:c>
      <x:c r="H364" s="57" t="n">
        <x:f>IF(ISNUMBER(G364),IF(G364=0,"n.a.",F364/G364-1),"n.a.")</x:f>
        <x:v>0.05051640015140246</x:v>
      </x:c>
      <x:c r="I364" s="58" t="n">
        <x:f>F364/J364</x:f>
        <x:v>0.038380677425976194</x:v>
      </x:c>
      <x:c r="J364" s="56" t="n">
        <x:v>1139.0679166666666</x:v>
      </x:c>
    </x:row>
    <x:row r="365" ht="65" customHeight="1">
      <x:c r="A365" s="61" t="n">
        <x:v>45323</x:v>
      </x:c>
      <x:c r="B365" s="32" t="str">
        <x:v>Derivados de petróleo</x:v>
      </x:c>
      <x:c r="C365" s="32" t="str">
        <x:v>Industrias sin Aluar</x:v>
      </x:c>
      <x:c r="D365" s="62" t="n">
        <x:v>29</x:v>
      </x:c>
      <x:c r="E365" s="2" t="str">
        <x:v>Completo</x:v>
      </x:c>
      <x:c r="F365" s="56" t="n">
        <x:v>151.13160344827585</x:v>
      </x:c>
      <x:c r="G365" s="56" t="n">
        <x:f>F197</x:f>
        <x:v>154.5521681547619</x:v>
      </x:c>
      <x:c r="H365" s="57" t="n">
        <x:f>IF(ISNUMBER(G365),IF(G365=0,"n.a.",F365/G365-1),"n.a.")</x:f>
        <x:v>-0.022132104307076572</x:v>
      </x:c>
      <x:c r="I365" s="58" t="n">
        <x:f>F365/J365</x:f>
        <x:v>0.13268006344217187</x:v>
      </x:c>
      <x:c r="J365" s="56" t="n">
        <x:v>1139.0679166666666</x:v>
      </x:c>
    </x:row>
    <x:row r="366" ht="65" customHeight="1">
      <x:c r="A366" s="61" t="n">
        <x:v>45323</x:v>
      </x:c>
      <x:c r="B366" s="32" t="str">
        <x:v>Construcción: elaboración de cemento y canteras</x:v>
      </x:c>
      <x:c r="C366" s="32" t="str">
        <x:v>Industrias sin Aluar</x:v>
      </x:c>
      <x:c r="D366" s="62" t="n">
        <x:v>29</x:v>
      </x:c>
      <x:c r="E366" s="2" t="str">
        <x:v>Completo</x:v>
      </x:c>
      <x:c r="F366" s="56" t="n">
        <x:v>151.32458333333335</x:v>
      </x:c>
      <x:c r="G366" s="56" t="n">
        <x:f>F198</x:f>
        <x:v>173.6812857142857</x:v>
      </x:c>
      <x:c r="H366" s="57" t="n">
        <x:f>IF(ISNUMBER(G366),IF(G366=0,"n.a.",F366/G366-1),"n.a.")</x:f>
        <x:v>-0.12872257531378617</x:v>
      </x:c>
      <x:c r="I366" s="58" t="n">
        <x:f>F366/J366</x:f>
        <x:v>0.1328494825630459</x:v>
      </x:c>
      <x:c r="J366" s="56" t="n">
        <x:v>1139.0679166666666</x:v>
      </x:c>
    </x:row>
    <x:row r="367" ht="65" customHeight="1">
      <x:c r="A367" s="61" t="n">
        <x:v>45323</x:v>
      </x:c>
      <x:c r="B367" s="32" t="str">
        <x:v>Madera y papel</x:v>
      </x:c>
      <x:c r="C367" s="32" t="str">
        <x:v>Industrias sin Aluar</x:v>
      </x:c>
      <x:c r="D367" s="62" t="n">
        <x:v>29</x:v>
      </x:c>
      <x:c r="E367" s="2" t="str">
        <x:v>Completo</x:v>
      </x:c>
      <x:c r="F367" s="56" t="n">
        <x:v>105.27016522988505</x:v>
      </x:c>
      <x:c r="G367" s="56" t="n">
        <x:f>F199</x:f>
        <x:v>109.72295982142857</x:v>
      </x:c>
      <x:c r="H367" s="57" t="n">
        <x:f>IF(ISNUMBER(G367),IF(G367=0,"n.a.",F367/G367-1),"n.a.")</x:f>
        <x:v>-0.040582158909952315</x:v>
      </x:c>
      <x:c r="I367" s="58" t="n">
        <x:f>F367/J367</x:f>
        <x:v>0.09241781257253248</x:v>
      </x:c>
      <x:c r="J367" s="56" t="n">
        <x:v>1139.0679166666666</x:v>
      </x:c>
    </x:row>
    <x:row r="368" ht="65" customHeight="1">
      <x:c r="A368" s="61" t="n">
        <x:v>45323</x:v>
      </x:c>
      <x:c r="B368" s="32" t="str">
        <x:v>Productos metálicos no automotores</x:v>
      </x:c>
      <x:c r="C368" s="32" t="str">
        <x:v>Industrias sin Aluar</x:v>
      </x:c>
      <x:c r="D368" s="62" t="n">
        <x:v>29</x:v>
      </x:c>
      <x:c r="E368" s="2" t="str">
        <x:v>Completo</x:v>
      </x:c>
      <x:c r="F368" s="56" t="n">
        <x:v>41.61290373563218</x:v>
      </x:c>
      <x:c r="G368" s="56" t="n">
        <x:f>F200</x:f>
        <x:v>43.812755952380954</x:v>
      </x:c>
      <x:c r="H368" s="57" t="n">
        <x:f>IF(ISNUMBER(G368),IF(G368=0,"n.a.",F368/G368-1),"n.a.")</x:f>
        <x:v>-0.05021031361596473</x:v>
      </x:c>
      <x:c r="I368" s="58" t="n">
        <x:f>F368/J368</x:f>
        <x:v>0.03653241665993623</x:v>
      </x:c>
      <x:c r="J368" s="56" t="n">
        <x:v>1139.0679166666666</x:v>
      </x:c>
    </x:row>
    <x:row r="369" ht="65" customHeight="1">
      <x:c r="A369" s="61" t="n">
        <x:v>45323</x:v>
      </x:c>
      <x:c r="B369" s="32" t="str">
        <x:v>Gran siderurgia</x:v>
      </x:c>
      <x:c r="C369" s="32" t="str">
        <x:v>Industrias sin Aluar</x:v>
      </x:c>
      <x:c r="D369" s="62" t="n">
        <x:v>29</x:v>
      </x:c>
      <x:c r="E369" s="2" t="str">
        <x:v>Completo</x:v>
      </x:c>
      <x:c r="F369" s="56" t="n">
        <x:v>244.07468390804598</x:v>
      </x:c>
      <x:c r="G369" s="56" t="n">
        <x:f>F201</x:f>
        <x:v>276.4356294642857</x:v>
      </x:c>
      <x:c r="H369" s="57" t="n">
        <x:f>IF(ISNUMBER(G369),IF(G369=0,"n.a.",F369/G369-1),"n.a.")</x:f>
        <x:v>-0.11706503108500566</x:v>
      </x:c>
      <x:c r="I369" s="58" t="n">
        <x:f>F369/J369</x:f>
        <x:v>0.21427579544361028</x:v>
      </x:c>
      <x:c r="J369" s="56" t="n">
        <x:v>1139.0679166666666</x:v>
      </x:c>
    </x:row>
    <x:row r="370" ht="65" customHeight="1">
      <x:c r="A370" s="61" t="n">
        <x:v>45323</x:v>
      </x:c>
      <x:c r="B370" s="32" t="str">
        <x:v>Industria textil</x:v>
      </x:c>
      <x:c r="C370" s="32" t="str">
        <x:v>Industrias sin Aluar</x:v>
      </x:c>
      <x:c r="D370" s="62" t="n">
        <x:v>29</x:v>
      </x:c>
      <x:c r="E370" s="2" t="str">
        <x:v>Completo</x:v>
      </x:c>
      <x:c r="F370" s="56" t="n">
        <x:v>61.237347701149424</x:v>
      </x:c>
      <x:c r="G370" s="56" t="n">
        <x:f>F202</x:f>
        <x:v>64.85231398809523</x:v>
      </x:c>
      <x:c r="H370" s="57" t="n">
        <x:f>IF(ISNUMBER(G370),IF(G370=0,"n.a.",F370/G370-1),"n.a.")</x:f>
        <x:v>-0.055741515832563815</x:v>
      </x:c>
      <x:c r="I370" s="58" t="n">
        <x:f>F370/J370</x:f>
        <x:v>0.0537609275137452</x:v>
      </x:c>
      <x:c r="J370" s="56" t="n">
        <x:v>1139.0679166666666</x:v>
      </x:c>
    </x:row>
    <x:row r="371" ht="65" customHeight="1">
      <x:c r="A371" s="61" t="n">
        <x:v>45323</x:v>
      </x:c>
      <x:c r="B371" s="32" t="str">
        <x:v>Químicas, caucho, plástico y otros minerales no metálicos</x:v>
      </x:c>
      <x:c r="C371" s="32" t="str">
        <x:v>Industrias sin Aluar</x:v>
      </x:c>
      <x:c r="D371" s="62" t="n">
        <x:v>29</x:v>
      </x:c>
      <x:c r="E371" s="2" t="str">
        <x:v>Completo</x:v>
      </x:c>
      <x:c r="F371" s="56" t="n">
        <x:v>340.6984310344827</x:v>
      </x:c>
      <x:c r="G371" s="56" t="n">
        <x:f>F203</x:f>
        <x:v>327.07293601190474</x:v>
      </x:c>
      <x:c r="H371" s="57" t="n">
        <x:f>IF(ISNUMBER(G371),IF(G371=0,"n.a.",F371/G371-1),"n.a.")</x:f>
        <x:v>0.041658888652535975</x:v>
      </x:c>
      <x:c r="I371" s="58" t="n">
        <x:f>F371/J371</x:f>
        <x:v>0.29910282437898184</x:v>
      </x:c>
      <x:c r="J371" s="56" t="n">
        <x:v>1139.0679166666666</x:v>
      </x:c>
    </x:row>
    <x:row r="372" ht="65" customHeight="1">
      <x:c r="A372" s="61" t="n">
        <x:v>45323</x:v>
      </x:c>
      <x:c r="B372" s="32" t="str">
        <x:v>Extracción de minerales</x:v>
      </x:c>
      <x:c r="C372" s="32" t="str">
        <x:v>Petróleos y minerales</x:v>
      </x:c>
      <x:c r="D372" s="62" t="n">
        <x:v>29</x:v>
      </x:c>
      <x:c r="E372" s="2" t="str">
        <x:v>Completo</x:v>
      </x:c>
      <x:c r="F372" s="56" t="n">
        <x:v>19.159854885057474</x:v>
      </x:c>
      <x:c r="G372" s="56" t="n">
        <x:f>F204</x:f>
        <x:v>17.571998511904763</x:v>
      </x:c>
      <x:c r="H372" s="57" t="n">
        <x:f>IF(ISNUMBER(G372),IF(G372=0,"n.a.",F372/G372-1),"n.a.")</x:f>
        <x:v>0.09036287887669481</x:v>
      </x:c>
      <x:c r="I372" s="58" t="n">
        <x:f>F372/J372</x:f>
        <x:v>0.12106315772683376</x:v>
      </x:c>
      <x:c r="J372" s="56" t="n">
        <x:v>158.26330028735632</x:v>
      </x:c>
    </x:row>
    <x:row r="373" ht="65" customHeight="1">
      <x:c r="A373" s="61" t="n">
        <x:v>45323</x:v>
      </x:c>
      <x:c r="B373" s="32" t="str">
        <x:v>Extracción de petróleo</x:v>
      </x:c>
      <x:c r="C373" s="32" t="str">
        <x:v>Petróleos y minerales</x:v>
      </x:c>
      <x:c r="D373" s="62" t="n">
        <x:v>29</x:v>
      </x:c>
      <x:c r="E373" s="2" t="str">
        <x:v>Completo</x:v>
      </x:c>
      <x:c r="F373" s="56" t="n">
        <x:v>139.10344540229886</x:v>
      </x:c>
      <x:c r="G373" s="56" t="n">
        <x:f>F205</x:f>
        <x:v>160.39171577380952</x:v>
      </x:c>
      <x:c r="H373" s="57" t="n">
        <x:f>IF(ISNUMBER(G373),IF(G373=0,"n.a.",F373/G373-1),"n.a.")</x:f>
        <x:v>-0.13272674507411708</x:v>
      </x:c>
      <x:c r="I373" s="58" t="n">
        <x:f>F373/J373</x:f>
        <x:v>0.8789368422731664</x:v>
      </x:c>
      <x:c r="J373" s="56" t="n">
        <x:v>158.26330028735632</x:v>
      </x:c>
    </x:row>
    <x:row r="374" ht="65" customHeight="1">
      <x:c r="A374" s="61" t="n">
        <x:v>45352</x:v>
      </x:c>
      <x:c r="B374" s="32" t="str">
        <x:v>Cargas y puertos</x:v>
      </x:c>
      <x:c r="C374" s="32" t="str">
        <x:v>Alimentación, comercios y servicios</x:v>
      </x:c>
      <x:c r="D374" s="62" t="n">
        <x:v>31</x:v>
      </x:c>
      <x:c r="E374" s="2" t="str">
        <x:v>Completo</x:v>
      </x:c>
      <x:c r="F374" s="56" t="n">
        <x:v>11.240396505376344</x:v>
      </x:c>
      <x:c r="G374" s="56" t="n">
        <x:f>F206</x:f>
        <x:v>9.396623655913977</x:v>
      </x:c>
      <x:c r="H374" s="57" t="n">
        <x:f>IF(ISNUMBER(G374),IF(G374=0,"n.a.",F374/G374-1),"n.a.")</x:f>
        <x:v>0.19621652595418637</x:v>
      </x:c>
      <x:c r="I374" s="58" t="n">
        <x:f>F374/J374</x:f>
        <x:v>0.026628749616164262</x:v>
      </x:c>
      <x:c r="J374" s="56" t="n">
        <x:v>422.1150698924731</x:v>
      </x:c>
    </x:row>
    <x:row r="375" ht="65" customHeight="1">
      <x:c r="A375" s="61" t="n">
        <x:v>45352</x:v>
      </x:c>
      <x:c r="B375" s="32" t="str">
        <x:v>Comercio y servicios: principalmente supermercados y centros comerciales</x:v>
      </x:c>
      <x:c r="C375" s="32" t="str">
        <x:v>Alimentación, comercios y servicios</x:v>
      </x:c>
      <x:c r="D375" s="62" t="n">
        <x:v>31</x:v>
      </x:c>
      <x:c r="E375" s="2" t="str">
        <x:v>Completo</x:v>
      </x:c>
      <x:c r="F375" s="56" t="n">
        <x:v>39.4878938172043</x:v>
      </x:c>
      <x:c r="G375" s="56" t="n">
        <x:f>F207</x:f>
        <x:v>39.80274193548387</x:v>
      </x:c>
      <x:c r="H375" s="57" t="n">
        <x:f>IF(ISNUMBER(G375),IF(G375=0,"n.a.",F375/G375-1),"n.a.")</x:f>
        <x:v>-0.007910211783648147</x:v>
      </x:c>
      <x:c r="I375" s="58" t="n">
        <x:f>F375/J375</x:f>
        <x:v>0.09354769974751954</x:v>
      </x:c>
      <x:c r="J375" s="56" t="n">
        <x:v>422.1150698924731</x:v>
      </x:c>
    </x:row>
    <x:row r="376" ht="65" customHeight="1">
      <x:c r="A376" s="61" t="n">
        <x:v>45352</x:v>
      </x:c>
      <x:c r="B376" s="32" t="str">
        <x:v>Alimentación y artículos de consumo masivo</x:v>
      </x:c>
      <x:c r="C376" s="32" t="str">
        <x:v>Alimentación, comercios y servicios</x:v>
      </x:c>
      <x:c r="D376" s="62" t="n">
        <x:v>31</x:v>
      </x:c>
      <x:c r="E376" s="2" t="str">
        <x:v>Completo</x:v>
      </x:c>
      <x:c r="F376" s="56" t="n">
        <x:v>285.97380510752686</x:v>
      </x:c>
      <x:c r="G376" s="56" t="n">
        <x:f>F208</x:f>
        <x:v>289.14820967741935</x:v>
      </x:c>
      <x:c r="H376" s="57" t="n">
        <x:f>IF(ISNUMBER(G376),IF(G376=0,"n.a.",F376/G376-1),"n.a.")</x:f>
        <x:v>-0.010978468700995725</x:v>
      </x:c>
      <x:c r="I376" s="58" t="n">
        <x:f>F376/J376</x:f>
        <x:v>0.6774783122061337</x:v>
      </x:c>
      <x:c r="J376" s="56" t="n">
        <x:v>422.1150698924731</x:v>
      </x:c>
    </x:row>
    <x:row r="377" ht="65" customHeight="1">
      <x:c r="A377" s="61" t="n">
        <x:v>45352</x:v>
      </x:c>
      <x:c r="B377" s="32" t="str">
        <x:v>Servicios públicos y transporte: agua y transporte en GBA</x:v>
      </x:c>
      <x:c r="C377" s="32" t="str">
        <x:v>Alimentación, comercios y servicios</x:v>
      </x:c>
      <x:c r="D377" s="62" t="n">
        <x:v>31</x:v>
      </x:c>
      <x:c r="E377" s="2" t="str">
        <x:v>Completo</x:v>
      </x:c>
      <x:c r="F377" s="56" t="n">
        <x:v>85.4129744623656</x:v>
      </x:c>
      <x:c r="G377" s="56" t="n">
        <x:f>F209</x:f>
        <x:v>92.39090994623656</x:v>
      </x:c>
      <x:c r="H377" s="57" t="n">
        <x:f>IF(ISNUMBER(G377),IF(G377=0,"n.a.",F377/G377-1),"n.a.")</x:f>
        <x:v>-0.07552621235066859</x:v>
      </x:c>
      <x:c r="I377" s="58" t="n">
        <x:f>F377/J377</x:f>
        <x:v>0.20234523843018243</x:v>
      </x:c>
      <x:c r="J377" s="56" t="n">
        <x:v>422.1150698924731</x:v>
      </x:c>
    </x:row>
    <x:row r="378" ht="65" customHeight="1">
      <x:c r="A378" s="61" t="n">
        <x:v>45352</x:v>
      </x:c>
      <x:c r="B378" s="32" t="str">
        <x:v>Industria automotriz</x:v>
      </x:c>
      <x:c r="C378" s="32" t="str">
        <x:v>Industrias sin Aluar</x:v>
      </x:c>
      <x:c r="D378" s="62" t="n">
        <x:v>31</x:v>
      </x:c>
      <x:c r="E378" s="2" t="str">
        <x:v>Completo</x:v>
      </x:c>
      <x:c r="F378" s="56" t="n">
        <x:v>43.381592741935485</x:v>
      </x:c>
      <x:c r="G378" s="56" t="n">
        <x:f>F210</x:f>
        <x:v>46.577749999999995</x:v>
      </x:c>
      <x:c r="H378" s="57" t="n">
        <x:f>IF(ISNUMBER(G378),IF(G378=0,"n.a.",F378/G378-1),"n.a.")</x:f>
        <x:v>-0.06861982938343969</x:v>
      </x:c>
      <x:c r="I378" s="58" t="n">
        <x:f>F378/J378</x:f>
        <x:v>0.040861498125254234</x:v>
      </x:c>
      <x:c r="J378" s="56" t="n">
        <x:v>1061.6740631720431</x:v>
      </x:c>
    </x:row>
    <x:row r="379" ht="65" customHeight="1">
      <x:c r="A379" s="61" t="n">
        <x:v>45352</x:v>
      </x:c>
      <x:c r="B379" s="32" t="str">
        <x:v>Derivados de petróleo</x:v>
      </x:c>
      <x:c r="C379" s="32" t="str">
        <x:v>Industrias sin Aluar</x:v>
      </x:c>
      <x:c r="D379" s="62" t="n">
        <x:v>31</x:v>
      </x:c>
      <x:c r="E379" s="2" t="str">
        <x:v>Completo</x:v>
      </x:c>
      <x:c r="F379" s="56" t="n">
        <x:v>148.64953494623657</x:v>
      </x:c>
      <x:c r="G379" s="56" t="n">
        <x:f>F211</x:f>
        <x:v>154.19907930107527</x:v>
      </x:c>
      <x:c r="H379" s="57" t="n">
        <x:f>IF(ISNUMBER(G379),IF(G379=0,"n.a.",F379/G379-1),"n.a.")</x:f>
        <x:v>-0.035989477887887755</x:v>
      </x:c>
      <x:c r="I379" s="58" t="n">
        <x:f>F379/J379</x:f>
        <x:v>0.1400142850830369</x:v>
      </x:c>
      <x:c r="J379" s="56" t="n">
        <x:v>1061.6740631720431</x:v>
      </x:c>
    </x:row>
    <x:row r="380" ht="65" customHeight="1">
      <x:c r="A380" s="61" t="n">
        <x:v>45352</x:v>
      </x:c>
      <x:c r="B380" s="32" t="str">
        <x:v>Construcción: elaboración de cemento y canteras</x:v>
      </x:c>
      <x:c r="C380" s="32" t="str">
        <x:v>Industrias sin Aluar</x:v>
      </x:c>
      <x:c r="D380" s="62" t="n">
        <x:v>31</x:v>
      </x:c>
      <x:c r="E380" s="2" t="str">
        <x:v>Completo</x:v>
      </x:c>
      <x:c r="F380" s="56" t="n">
        <x:v>131.9065887096774</x:v>
      </x:c>
      <x:c r="G380" s="56" t="n">
        <x:f>F212</x:f>
        <x:v>180.8219072580645</x:v>
      </x:c>
      <x:c r="H380" s="57" t="n">
        <x:f>IF(ISNUMBER(G380),IF(G380=0,"n.a.",F380/G380-1),"n.a.")</x:f>
        <x:v>-0.2705165501798207</x:v>
      </x:c>
      <x:c r="I380" s="58" t="n">
        <x:f>F380/J380</x:f>
        <x:v>0.12424395893742587</x:v>
      </x:c>
      <x:c r="J380" s="56" t="n">
        <x:v>1061.6740631720431</x:v>
      </x:c>
    </x:row>
    <x:row r="381" ht="65" customHeight="1">
      <x:c r="A381" s="61" t="n">
        <x:v>45352</x:v>
      </x:c>
      <x:c r="B381" s="32" t="str">
        <x:v>Madera y papel</x:v>
      </x:c>
      <x:c r="C381" s="32" t="str">
        <x:v>Industrias sin Aluar</x:v>
      </x:c>
      <x:c r="D381" s="62" t="n">
        <x:v>31</x:v>
      </x:c>
      <x:c r="E381" s="2" t="str">
        <x:v>Completo</x:v>
      </x:c>
      <x:c r="F381" s="56" t="n">
        <x:v>101.02791263440861</x:v>
      </x:c>
      <x:c r="G381" s="56" t="n">
        <x:f>F213</x:f>
        <x:v>108.11033870967742</x:v>
      </x:c>
      <x:c r="H381" s="57" t="n">
        <x:f>IF(ISNUMBER(G381),IF(G381=0,"n.a.",F381/G381-1),"n.a.")</x:f>
        <x:v>-0.06551108950170026</x:v>
      </x:c>
      <x:c r="I381" s="58" t="n">
        <x:f>F381/J381</x:f>
        <x:v>0.09515906636407782</x:v>
      </x:c>
      <x:c r="J381" s="56" t="n">
        <x:v>1061.6740631720431</x:v>
      </x:c>
    </x:row>
    <x:row r="382" ht="65" customHeight="1">
      <x:c r="A382" s="61" t="n">
        <x:v>45352</x:v>
      </x:c>
      <x:c r="B382" s="32" t="str">
        <x:v>Productos metálicos no automotores</x:v>
      </x:c>
      <x:c r="C382" s="32" t="str">
        <x:v>Industrias sin Aluar</x:v>
      </x:c>
      <x:c r="D382" s="62" t="n">
        <x:v>31</x:v>
      </x:c>
      <x:c r="E382" s="2" t="str">
        <x:v>Completo</x:v>
      </x:c>
      <x:c r="F382" s="56" t="n">
        <x:v>43.05391666666667</x:v>
      </x:c>
      <x:c r="G382" s="56" t="n">
        <x:f>F214</x:f>
        <x:v>49.636471774193545</x:v>
      </x:c>
      <x:c r="H382" s="57" t="n">
        <x:f>IF(ISNUMBER(G382),IF(G382=0,"n.a.",F382/G382-1),"n.a.")</x:f>
        <x:v>-0.13261529017356954</x:v>
      </x:c>
      <x:c r="I382" s="58" t="n">
        <x:f>F382/J382</x:f>
        <x:v>0.04055285719049334</x:v>
      </x:c>
      <x:c r="J382" s="56" t="n">
        <x:v>1061.6740631720431</x:v>
      </x:c>
    </x:row>
    <x:row r="383" ht="65" customHeight="1">
      <x:c r="A383" s="61" t="n">
        <x:v>45352</x:v>
      </x:c>
      <x:c r="B383" s="32" t="str">
        <x:v>Gran siderurgia</x:v>
      </x:c>
      <x:c r="C383" s="32" t="str">
        <x:v>Industrias sin Aluar</x:v>
      </x:c>
      <x:c r="D383" s="62" t="n">
        <x:v>31</x:v>
      </x:c>
      <x:c r="E383" s="2" t="str">
        <x:v>Completo</x:v>
      </x:c>
      <x:c r="F383" s="56" t="n">
        <x:v>211.54222177419354</x:v>
      </x:c>
      <x:c r="G383" s="56" t="n">
        <x:f>F215</x:f>
        <x:v>322.6856801075269</x:v>
      </x:c>
      <x:c r="H383" s="57" t="n">
        <x:f>IF(ISNUMBER(G383),IF(G383=0,"n.a.",F383/G383-1),"n.a.")</x:f>
        <x:v>-0.3444325707180361</x:v>
      </x:c>
      <x:c r="I383" s="58" t="n">
        <x:f>F383/J383</x:f>
        <x:v>0.19925345180059592</x:v>
      </x:c>
      <x:c r="J383" s="56" t="n">
        <x:v>1061.6740631720431</x:v>
      </x:c>
    </x:row>
    <x:row r="384" ht="65" customHeight="1">
      <x:c r="A384" s="61" t="n">
        <x:v>45352</x:v>
      </x:c>
      <x:c r="B384" s="32" t="str">
        <x:v>Industria textil</x:v>
      </x:c>
      <x:c r="C384" s="32" t="str">
        <x:v>Industrias sin Aluar</x:v>
      </x:c>
      <x:c r="D384" s="62" t="n">
        <x:v>31</x:v>
      </x:c>
      <x:c r="E384" s="2" t="str">
        <x:v>Completo</x:v>
      </x:c>
      <x:c r="F384" s="56" t="n">
        <x:v>55.346901881720434</x:v>
      </x:c>
      <x:c r="G384" s="56" t="n">
        <x:f>F216</x:f>
        <x:v>68.00813709677419</x:v>
      </x:c>
      <x:c r="H384" s="57" t="n">
        <x:f>IF(ISNUMBER(G384),IF(G384=0,"n.a.",F384/G384-1),"n.a.")</x:f>
        <x:v>-0.1861723575377029</x:v>
      </x:c>
      <x:c r="I384" s="58" t="n">
        <x:f>F384/J384</x:f>
        <x:v>0.05213172648897191</x:v>
      </x:c>
      <x:c r="J384" s="56" t="n">
        <x:v>1061.6740631720431</x:v>
      </x:c>
    </x:row>
    <x:row r="385" ht="65" customHeight="1">
      <x:c r="A385" s="61" t="n">
        <x:v>45352</x:v>
      </x:c>
      <x:c r="B385" s="32" t="str">
        <x:v>Químicas, caucho, plástico y otros minerales no metálicos</x:v>
      </x:c>
      <x:c r="C385" s="32" t="str">
        <x:v>Industrias sin Aluar</x:v>
      </x:c>
      <x:c r="D385" s="62" t="n">
        <x:v>31</x:v>
      </x:c>
      <x:c r="E385" s="2" t="str">
        <x:v>Completo</x:v>
      </x:c>
      <x:c r="F385" s="56" t="n">
        <x:v>326.7653938172043</x:v>
      </x:c>
      <x:c r="G385" s="56" t="n">
        <x:f>F217</x:f>
        <x:v>331.04001344086026</x:v>
      </x:c>
      <x:c r="H385" s="57" t="n">
        <x:f>IF(ISNUMBER(G385),IF(G385=0,"n.a.",F385/G385-1),"n.a.")</x:f>
        <x:v>-0.012912697710543042</x:v>
      </x:c>
      <x:c r="I385" s="58" t="n">
        <x:f>F385/J385</x:f>
        <x:v>0.3077831560101439</x:v>
      </x:c>
      <x:c r="J385" s="56" t="n">
        <x:v>1061.6740631720431</x:v>
      </x:c>
    </x:row>
    <x:row r="386" ht="65" customHeight="1">
      <x:c r="A386" s="61" t="n">
        <x:v>45352</x:v>
      </x:c>
      <x:c r="B386" s="32" t="str">
        <x:v>Extracción de minerales</x:v>
      </x:c>
      <x:c r="C386" s="32" t="str">
        <x:v>Petróleos y minerales</x:v>
      </x:c>
      <x:c r="D386" s="62" t="n">
        <x:v>31</x:v>
      </x:c>
      <x:c r="E386" s="2" t="str">
        <x:v>Completo</x:v>
      </x:c>
      <x:c r="F386" s="56" t="n">
        <x:v>21.984283602150537</x:v>
      </x:c>
      <x:c r="G386" s="56" t="n">
        <x:f>F218</x:f>
        <x:v>19.676653225806454</x:v>
      </x:c>
      <x:c r="H386" s="57" t="n">
        <x:f>IF(ISNUMBER(G386),IF(G386=0,"n.a.",F386/G386-1),"n.a.")</x:f>
        <x:v>0.11727758526117449</x:v>
      </x:c>
      <x:c r="I386" s="58" t="n">
        <x:f>F386/J386</x:f>
        <x:v>0.12516452597205466</x:v>
      </x:c>
      <x:c r="J386" s="56" t="n">
        <x:v>175.64308602150535</x:v>
      </x:c>
    </x:row>
    <x:row r="387" ht="65" customHeight="1">
      <x:c r="A387" s="61" t="n">
        <x:v>45352</x:v>
      </x:c>
      <x:c r="B387" s="32" t="str">
        <x:v>Extracción de petróleo</x:v>
      </x:c>
      <x:c r="C387" s="32" t="str">
        <x:v>Petróleos y minerales</x:v>
      </x:c>
      <x:c r="D387" s="62" t="n">
        <x:v>31</x:v>
      </x:c>
      <x:c r="E387" s="2" t="str">
        <x:v>Completo</x:v>
      </x:c>
      <x:c r="F387" s="56" t="n">
        <x:v>153.65880241935486</x:v>
      </x:c>
      <x:c r="G387" s="56" t="n">
        <x:f>F219</x:f>
        <x:v>167.60267069892473</x:v>
      </x:c>
      <x:c r="H387" s="57" t="n">
        <x:f>IF(ISNUMBER(G387),IF(G387=0,"n.a.",F387/G387-1),"n.a.")</x:f>
        <x:v>-0.08319597904628928</x:v>
      </x:c>
      <x:c r="I387" s="58" t="n">
        <x:f>F387/J387</x:f>
        <x:v>0.8748354740279456</x:v>
      </x:c>
      <x:c r="J387" s="56" t="n">
        <x:v>175.64308602150535</x:v>
      </x:c>
    </x:row>
    <x:row r="388" ht="65" customHeight="1">
      <x:c r="A388" s="61" t="n">
        <x:v>45383</x:v>
      </x:c>
      <x:c r="B388" s="32" t="str">
        <x:v>Cargas y puertos</x:v>
      </x:c>
      <x:c r="C388" s="32" t="str">
        <x:v>Alimentación, comercios y servicios</x:v>
      </x:c>
      <x:c r="D388" s="62" t="n">
        <x:v>30</x:v>
      </x:c>
      <x:c r="E388" s="2" t="str">
        <x:v>Completo</x:v>
      </x:c>
      <x:c r="F388" s="56" t="n">
        <x:v>9.19405</x:v>
      </x:c>
      <x:c r="G388" s="56" t="n">
        <x:f>F220</x:f>
        <x:v>7.096625</x:v>
      </x:c>
      <x:c r="H388" s="57" t="n">
        <x:f>IF(ISNUMBER(G388),IF(G388=0,"n.a.",F388/G388-1),"n.a.")</x:f>
        <x:v>0.2955524633188311</x:v>
      </x:c>
      <x:c r="I388" s="58" t="n">
        <x:f>F388/J388</x:f>
        <x:v>0.02201203806878629</x:v>
      </x:c>
      <x:c r="J388" s="56" t="n">
        <x:v>417.68281388888886</x:v>
      </x:c>
    </x:row>
    <x:row r="389" ht="65" customHeight="1">
      <x:c r="A389" s="61" t="n">
        <x:v>45383</x:v>
      </x:c>
      <x:c r="B389" s="32" t="str">
        <x:v>Comercio y servicios: principalmente supermercados y centros comerciales</x:v>
      </x:c>
      <x:c r="C389" s="32" t="str">
        <x:v>Alimentación, comercios y servicios</x:v>
      </x:c>
      <x:c r="D389" s="62" t="n">
        <x:v>30</x:v>
      </x:c>
      <x:c r="E389" s="2" t="str">
        <x:v>Completo</x:v>
      </x:c>
      <x:c r="F389" s="56" t="n">
        <x:v>35.878061111111116</x:v>
      </x:c>
      <x:c r="G389" s="56" t="n">
        <x:f>F221</x:f>
        <x:v>30.459856944444443</x:v>
      </x:c>
      <x:c r="H389" s="57" t="n">
        <x:f>IF(ISNUMBER(G389),IF(G389=0,"n.a.",F389/G389-1),"n.a.")</x:f>
        <x:v>0.17788015802401524</x:v>
      </x:c>
      <x:c r="I389" s="58" t="n">
        <x:f>F389/J389</x:f>
        <x:v>0.08589786296702963</x:v>
      </x:c>
      <x:c r="J389" s="56" t="n">
        <x:v>417.68281388888886</x:v>
      </x:c>
    </x:row>
    <x:row r="390" ht="65" customHeight="1">
      <x:c r="A390" s="61" t="n">
        <x:v>45383</x:v>
      </x:c>
      <x:c r="B390" s="32" t="str">
        <x:v>Alimentación y artículos de consumo masivo</x:v>
      </x:c>
      <x:c r="C390" s="32" t="str">
        <x:v>Alimentación, comercios y servicios</x:v>
      </x:c>
      <x:c r="D390" s="62" t="n">
        <x:v>30</x:v>
      </x:c>
      <x:c r="E390" s="2" t="str">
        <x:v>Completo</x:v>
      </x:c>
      <x:c r="F390" s="56" t="n">
        <x:v>288.5058208333333</x:v>
      </x:c>
      <x:c r="G390" s="56" t="n">
        <x:f>F222</x:f>
        <x:v>280.81244722222226</x:v>
      </x:c>
      <x:c r="H390" s="57" t="n">
        <x:f>IF(ISNUMBER(G390),IF(G390=0,"n.a.",F390/G390-1),"n.a.")</x:f>
        <x:v>0.027396839731334444</x:v>
      </x:c>
      <x:c r="I390" s="58" t="n">
        <x:f>F390/J390</x:f>
        <x:v>0.6907294512483366</x:v>
      </x:c>
      <x:c r="J390" s="56" t="n">
        <x:v>417.68281388888886</x:v>
      </x:c>
    </x:row>
    <x:row r="391" ht="65" customHeight="1">
      <x:c r="A391" s="61" t="n">
        <x:v>45383</x:v>
      </x:c>
      <x:c r="B391" s="32" t="str">
        <x:v>Servicios públicos y transporte: agua y transporte en GBA</x:v>
      </x:c>
      <x:c r="C391" s="32" t="str">
        <x:v>Alimentación, comercios y servicios</x:v>
      </x:c>
      <x:c r="D391" s="62" t="n">
        <x:v>30</x:v>
      </x:c>
      <x:c r="E391" s="2" t="str">
        <x:v>Completo</x:v>
      </x:c>
      <x:c r="F391" s="56" t="n">
        <x:v>84.10488194444444</x:v>
      </x:c>
      <x:c r="G391" s="56" t="n">
        <x:f>F223</x:f>
        <x:v>86.73067916666668</x:v>
      </x:c>
      <x:c r="H391" s="57" t="n">
        <x:f>IF(ISNUMBER(G391),IF(G391=0,"n.a.",F391/G391-1),"n.a.")</x:f>
        <x:v>-0.03027529874609136</x:v>
      </x:c>
      <x:c r="I391" s="58" t="n">
        <x:f>F391/J391</x:f>
        <x:v>0.2013606477158475</x:v>
      </x:c>
      <x:c r="J391" s="56" t="n">
        <x:v>417.68281388888886</x:v>
      </x:c>
    </x:row>
    <x:row r="392" ht="65" customHeight="1">
      <x:c r="A392" s="61" t="n">
        <x:v>45383</x:v>
      </x:c>
      <x:c r="B392" s="32" t="str">
        <x:v>Industria automotriz</x:v>
      </x:c>
      <x:c r="C392" s="32" t="str">
        <x:v>Industrias sin Aluar</x:v>
      </x:c>
      <x:c r="D392" s="62" t="n">
        <x:v>30</x:v>
      </x:c>
      <x:c r="E392" s="2" t="str">
        <x:v>Completo</x:v>
      </x:c>
      <x:c r="F392" s="56" t="n">
        <x:v>40.914975000000005</x:v>
      </x:c>
      <x:c r="G392" s="56" t="n">
        <x:f>F224</x:f>
        <x:v>38.1571</x:v>
      </x:c>
      <x:c r="H392" s="57" t="n">
        <x:f>IF(ISNUMBER(G392),IF(G392=0,"n.a.",F392/G392-1),"n.a.")</x:f>
        <x:v>0.07227685017991425</x:v>
      </x:c>
      <x:c r="I392" s="58" t="n">
        <x:f>F392/J392</x:f>
        <x:v>0.03705637305267832</x:v>
      </x:c>
      <x:c r="J392" s="56" t="n">
        <x:v>1104.1278902777779</x:v>
      </x:c>
    </x:row>
    <x:row r="393" ht="65" customHeight="1">
      <x:c r="A393" s="61" t="n">
        <x:v>45383</x:v>
      </x:c>
      <x:c r="B393" s="32" t="str">
        <x:v>Derivados de petróleo</x:v>
      </x:c>
      <x:c r="C393" s="32" t="str">
        <x:v>Industrias sin Aluar</x:v>
      </x:c>
      <x:c r="D393" s="62" t="n">
        <x:v>30</x:v>
      </x:c>
      <x:c r="E393" s="2" t="str">
        <x:v>Completo</x:v>
      </x:c>
      <x:c r="F393" s="56" t="n">
        <x:v>147.35657638888887</x:v>
      </x:c>
      <x:c r="G393" s="56" t="n">
        <x:f>F225</x:f>
        <x:v>166.33599305555558</x:v>
      </x:c>
      <x:c r="H393" s="57" t="n">
        <x:f>IF(ISNUMBER(G393),IF(G393=0,"n.a.",F393/G393-1),"n.a.")</x:f>
        <x:v>-0.11410288487788478</x:v>
      </x:c>
      <x:c r="I393" s="58" t="n">
        <x:f>F393/J393</x:f>
        <x:v>0.13345969944823757</x:v>
      </x:c>
      <x:c r="J393" s="56" t="n">
        <x:v>1104.1278902777779</x:v>
      </x:c>
    </x:row>
    <x:row r="394" ht="65" customHeight="1">
      <x:c r="A394" s="61" t="n">
        <x:v>45383</x:v>
      </x:c>
      <x:c r="B394" s="32" t="str">
        <x:v>Construcción: elaboración de cemento y canteras</x:v>
      </x:c>
      <x:c r="C394" s="32" t="str">
        <x:v>Industrias sin Aluar</x:v>
      </x:c>
      <x:c r="D394" s="62" t="n">
        <x:v>30</x:v>
      </x:c>
      <x:c r="E394" s="2" t="str">
        <x:v>Completo</x:v>
      </x:c>
      <x:c r="F394" s="56" t="n">
        <x:v>141.21971805555555</x:v>
      </x:c>
      <x:c r="G394" s="56" t="n">
        <x:f>F226</x:f>
        <x:v>178.35109305555554</x:v>
      </x:c>
      <x:c r="H394" s="57" t="n">
        <x:f>IF(ISNUMBER(G394),IF(G394=0,"n.a.",F394/G394-1),"n.a.")</x:f>
        <x:v>-0.2081925844347572</x:v>
      </x:c>
      <x:c r="I394" s="58" t="n">
        <x:f>F394/J394</x:f>
        <x:v>0.12790159482342875</x:v>
      </x:c>
      <x:c r="J394" s="56" t="n">
        <x:v>1104.1278902777779</x:v>
      </x:c>
    </x:row>
    <x:row r="395" ht="65" customHeight="1">
      <x:c r="A395" s="61" t="n">
        <x:v>45383</x:v>
      </x:c>
      <x:c r="B395" s="32" t="str">
        <x:v>Madera y papel</x:v>
      </x:c>
      <x:c r="C395" s="32" t="str">
        <x:v>Industrias sin Aluar</x:v>
      </x:c>
      <x:c r="D395" s="62" t="n">
        <x:v>30</x:v>
      </x:c>
      <x:c r="E395" s="2" t="str">
        <x:v>Completo</x:v>
      </x:c>
      <x:c r="F395" s="56" t="n">
        <x:v>103.92362638888888</x:v>
      </x:c>
      <x:c r="G395" s="56" t="n">
        <x:f>F227</x:f>
        <x:v>104.97321666666667</x:v>
      </x:c>
      <x:c r="H395" s="57" t="n">
        <x:f>IF(ISNUMBER(G395),IF(G395=0,"n.a.",F395/G395-1),"n.a.")</x:f>
        <x:v>-0.009998648332466331</x:v>
      </x:c>
      <x:c r="I395" s="58" t="n">
        <x:f>F395/J395</x:f>
        <x:v>0.09412281611937512</x:v>
      </x:c>
      <x:c r="J395" s="56" t="n">
        <x:v>1104.1278902777779</x:v>
      </x:c>
    </x:row>
    <x:row r="396" ht="65" customHeight="1">
      <x:c r="A396" s="61" t="n">
        <x:v>45383</x:v>
      </x:c>
      <x:c r="B396" s="32" t="str">
        <x:v>Productos metálicos no automotores</x:v>
      </x:c>
      <x:c r="C396" s="32" t="str">
        <x:v>Industrias sin Aluar</x:v>
      </x:c>
      <x:c r="D396" s="62" t="n">
        <x:v>30</x:v>
      </x:c>
      <x:c r="E396" s="2" t="str">
        <x:v>Completo</x:v>
      </x:c>
      <x:c r="F396" s="56" t="n">
        <x:v>41.50441111111111</x:v>
      </x:c>
      <x:c r="G396" s="56" t="n">
        <x:f>F228</x:f>
        <x:v>48.040640277777776</x:v>
      </x:c>
      <x:c r="H396" s="57" t="n">
        <x:f>IF(ISNUMBER(G396),IF(G396=0,"n.a.",F396/G396-1),"n.a.")</x:f>
        <x:v>-0.1360562458966671</x:v>
      </x:c>
      <x:c r="I396" s="58" t="n">
        <x:f>F396/J396</x:f>
        <x:v>0.03759022073128628</x:v>
      </x:c>
      <x:c r="J396" s="56" t="n">
        <x:v>1104.1278902777779</x:v>
      </x:c>
    </x:row>
    <x:row r="397" ht="65" customHeight="1">
      <x:c r="A397" s="61" t="n">
        <x:v>45383</x:v>
      </x:c>
      <x:c r="B397" s="32" t="str">
        <x:v>Gran siderurgia</x:v>
      </x:c>
      <x:c r="C397" s="32" t="str">
        <x:v>Industrias sin Aluar</x:v>
      </x:c>
      <x:c r="D397" s="62" t="n">
        <x:v>30</x:v>
      </x:c>
      <x:c r="E397" s="2" t="str">
        <x:v>Completo</x:v>
      </x:c>
      <x:c r="F397" s="56" t="n">
        <x:v>256.65835555555554</x:v>
      </x:c>
      <x:c r="G397" s="56" t="n">
        <x:f>F229</x:f>
        <x:v>321.56680694444447</x:v>
      </x:c>
      <x:c r="H397" s="57" t="n">
        <x:f>IF(ISNUMBER(G397),IF(G397=0,"n.a.",F397/G397-1),"n.a.")</x:f>
        <x:v>-0.20185059523293036</x:v>
      </x:c>
      <x:c r="I397" s="58" t="n">
        <x:f>F397/J397</x:f>
        <x:v>0.23245346650104556</x:v>
      </x:c>
      <x:c r="J397" s="56" t="n">
        <x:v>1104.1278902777779</x:v>
      </x:c>
    </x:row>
    <x:row r="398" ht="65" customHeight="1">
      <x:c r="A398" s="61" t="n">
        <x:v>45383</x:v>
      </x:c>
      <x:c r="B398" s="32" t="str">
        <x:v>Industria textil</x:v>
      </x:c>
      <x:c r="C398" s="32" t="str">
        <x:v>Industrias sin Aluar</x:v>
      </x:c>
      <x:c r="D398" s="62" t="n">
        <x:v>30</x:v>
      </x:c>
      <x:c r="E398" s="2" t="str">
        <x:v>Completo</x:v>
      </x:c>
      <x:c r="F398" s="56" t="n">
        <x:v>49.75077361111111</x:v>
      </x:c>
      <x:c r="G398" s="56" t="n">
        <x:f>F230</x:f>
        <x:v>63.00198472222222</x:v>
      </x:c>
      <x:c r="H398" s="57" t="n">
        <x:f>IF(ISNUMBER(G398),IF(G398=0,"n.a.",F398/G398-1),"n.a.")</x:f>
        <x:v>-0.2103300581646138</x:v>
      </x:c>
      <x:c r="I398" s="58" t="n">
        <x:f>F398/J398</x:f>
        <x:v>0.04505888679127084</x:v>
      </x:c>
      <x:c r="J398" s="56" t="n">
        <x:v>1104.1278902777779</x:v>
      </x:c>
    </x:row>
    <x:row r="399" ht="65" customHeight="1">
      <x:c r="A399" s="61" t="n">
        <x:v>45383</x:v>
      </x:c>
      <x:c r="B399" s="32" t="str">
        <x:v>Químicas, caucho, plástico y otros minerales no metálicos</x:v>
      </x:c>
      <x:c r="C399" s="32" t="str">
        <x:v>Industrias sin Aluar</x:v>
      </x:c>
      <x:c r="D399" s="62" t="n">
        <x:v>30</x:v>
      </x:c>
      <x:c r="E399" s="2" t="str">
        <x:v>Completo</x:v>
      </x:c>
      <x:c r="F399" s="56" t="n">
        <x:v>322.79945416666664</x:v>
      </x:c>
      <x:c r="G399" s="56" t="n">
        <x:f>F231</x:f>
        <x:v>333.08837083333333</x:v>
      </x:c>
      <x:c r="H399" s="57" t="n">
        <x:f>IF(ISNUMBER(G399),IF(G399=0,"n.a.",F399/G399-1),"n.a.")</x:f>
        <x:v>-0.030889450270886076</x:v>
      </x:c>
      <x:c r="I399" s="58" t="n">
        <x:f>F399/J399</x:f>
        <x:v>0.2923569425326774</x:v>
      </x:c>
      <x:c r="J399" s="56" t="n">
        <x:v>1104.1278902777779</x:v>
      </x:c>
    </x:row>
    <x:row r="400" ht="65" customHeight="1">
      <x:c r="A400" s="61" t="n">
        <x:v>45383</x:v>
      </x:c>
      <x:c r="B400" s="32" t="str">
        <x:v>Extracción de minerales</x:v>
      </x:c>
      <x:c r="C400" s="32" t="str">
        <x:v>Petróleos y minerales</x:v>
      </x:c>
      <x:c r="D400" s="62" t="n">
        <x:v>30</x:v>
      </x:c>
      <x:c r="E400" s="2" t="str">
        <x:v>Completo</x:v>
      </x:c>
      <x:c r="F400" s="56" t="n">
        <x:v>21.144481944444447</x:v>
      </x:c>
      <x:c r="G400" s="56" t="n">
        <x:f>F232</x:f>
        <x:v>20.03678611111111</x:v>
      </x:c>
      <x:c r="H400" s="57" t="n">
        <x:f>IF(ISNUMBER(G400),IF(G400=0,"n.a.",F400/G400-1),"n.a.")</x:f>
        <x:v>0.05528310913690304</x:v>
      </x:c>
      <x:c r="I400" s="58" t="n">
        <x:f>F400/J400</x:f>
        <x:v>0.12153351295843995</x:v>
      </x:c>
      <x:c r="J400" s="56" t="n">
        <x:v>173.98066944444446</x:v>
      </x:c>
    </x:row>
    <x:row r="401" ht="65" customHeight="1">
      <x:c r="A401" s="61" t="n">
        <x:v>45383</x:v>
      </x:c>
      <x:c r="B401" s="32" t="str">
        <x:v>Extracción de petróleo</x:v>
      </x:c>
      <x:c r="C401" s="32" t="str">
        <x:v>Petróleos y minerales</x:v>
      </x:c>
      <x:c r="D401" s="62" t="n">
        <x:v>30</x:v>
      </x:c>
      <x:c r="E401" s="2" t="str">
        <x:v>Completo</x:v>
      </x:c>
      <x:c r="F401" s="56" t="n">
        <x:v>152.8361875</x:v>
      </x:c>
      <x:c r="G401" s="56" t="n">
        <x:f>F233</x:f>
        <x:v>168.23026666666667</x:v>
      </x:c>
      <x:c r="H401" s="57" t="n">
        <x:f>IF(ISNUMBER(G401),IF(G401=0,"n.a.",F401/G401-1),"n.a.")</x:f>
        <x:v>-0.09150600228892625</x:v>
      </x:c>
      <x:c r="I401" s="58" t="n">
        <x:f>F401/J401</x:f>
        <x:v>0.8784664870415599</x:v>
      </x:c>
      <x:c r="J401" s="56" t="n">
        <x:v>173.98066944444446</x:v>
      </x:c>
    </x:row>
    <x:row r="402" ht="65" customHeight="1">
      <x:c r="A402" s="61" t="n">
        <x:v>45413</x:v>
      </x:c>
      <x:c r="B402" s="32" t="str">
        <x:v>Cargas y puertos</x:v>
      </x:c>
      <x:c r="C402" s="32" t="str">
        <x:v>Alimentación, comercios y servicios</x:v>
      </x:c>
      <x:c r="D402" s="62" t="n">
        <x:v>31</x:v>
      </x:c>
      <x:c r="E402" s="2" t="str">
        <x:v>Completo</x:v>
      </x:c>
      <x:c r="F402" s="56" t="n">
        <x:v>9.037594086021505</x:v>
      </x:c>
      <x:c r="G402" s="56" t="n">
        <x:f>F234</x:f>
        <x:v>6.715490591397849</x:v>
      </x:c>
      <x:c r="H402" s="57" t="n">
        <x:f>IF(ISNUMBER(G402),IF(G402=0,"n.a.",F402/G402-1),"n.a.")</x:f>
        <x:v>0.34578315061570253</x:v>
      </x:c>
      <x:c r="I402" s="58" t="n">
        <x:f>F402/J402</x:f>
        <x:v>0.022514983346271583</x:v>
      </x:c>
      <x:c r="J402" s="56" t="n">
        <x:v>401.4035430107526</x:v>
      </x:c>
    </x:row>
    <x:row r="403" ht="65" customHeight="1">
      <x:c r="A403" s="61" t="n">
        <x:v>45413</x:v>
      </x:c>
      <x:c r="B403" s="32" t="str">
        <x:v>Comercio y servicios: principalmente supermercados y centros comerciales</x:v>
      </x:c>
      <x:c r="C403" s="32" t="str">
        <x:v>Alimentación, comercios y servicios</x:v>
      </x:c>
      <x:c r="D403" s="62" t="n">
        <x:v>31</x:v>
      </x:c>
      <x:c r="E403" s="2" t="str">
        <x:v>Completo</x:v>
      </x:c>
      <x:c r="F403" s="56" t="n">
        <x:v>31.103408602150537</x:v>
      </x:c>
      <x:c r="G403" s="56" t="n">
        <x:f>F235</x:f>
        <x:v>29.059623655913978</x:v>
      </x:c>
      <x:c r="H403" s="57" t="n">
        <x:f>IF(ISNUMBER(G403),IF(G403=0,"n.a.",F403/G403-1),"n.a.")</x:f>
        <x:v>0.0703307437989007</x:v>
      </x:c>
      <x:c r="I403" s="58" t="n">
        <x:f>F403/J403</x:f>
        <x:v>0.0774866319536132</x:v>
      </x:c>
      <x:c r="J403" s="56" t="n">
        <x:v>401.4035430107526</x:v>
      </x:c>
    </x:row>
    <x:row r="404" ht="65" customHeight="1">
      <x:c r="A404" s="61" t="n">
        <x:v>45413</x:v>
      </x:c>
      <x:c r="B404" s="32" t="str">
        <x:v>Alimentación y artículos de consumo masivo</x:v>
      </x:c>
      <x:c r="C404" s="32" t="str">
        <x:v>Alimentación, comercios y servicios</x:v>
      </x:c>
      <x:c r="D404" s="62" t="n">
        <x:v>31</x:v>
      </x:c>
      <x:c r="E404" s="2" t="str">
        <x:v>Completo</x:v>
      </x:c>
      <x:c r="F404" s="56" t="n">
        <x:v>275.74411290322575</x:v>
      </x:c>
      <x:c r="G404" s="56" t="n">
        <x:f>F236</x:f>
        <x:v>275.2428588709677</x:v>
      </x:c>
      <x:c r="H404" s="57" t="n">
        <x:f>IF(ISNUMBER(G404),IF(G404=0,"n.a.",F404/G404-1),"n.a.")</x:f>
        <x:v>0.001821133650166784</x:v>
      </x:c>
      <x:c r="I404" s="58" t="n">
        <x:f>F404/J404</x:f>
        <x:v>0.6869498730255085</x:v>
      </x:c>
      <x:c r="J404" s="56" t="n">
        <x:v>401.4035430107526</x:v>
      </x:c>
    </x:row>
    <x:row r="405" ht="65" customHeight="1">
      <x:c r="A405" s="61" t="n">
        <x:v>45413</x:v>
      </x:c>
      <x:c r="B405" s="32" t="str">
        <x:v>Servicios públicos y transporte: agua y transporte en GBA</x:v>
      </x:c>
      <x:c r="C405" s="32" t="str">
        <x:v>Alimentación, comercios y servicios</x:v>
      </x:c>
      <x:c r="D405" s="62" t="n">
        <x:v>31</x:v>
      </x:c>
      <x:c r="E405" s="2" t="str">
        <x:v>Completo</x:v>
      </x:c>
      <x:c r="F405" s="56" t="n">
        <x:v>85.51842741935484</x:v>
      </x:c>
      <x:c r="G405" s="56" t="n">
        <x:f>F237</x:f>
        <x:v>88.93069758064517</x:v>
      </x:c>
      <x:c r="H405" s="57" t="n">
        <x:f>IF(ISNUMBER(G405),IF(G405=0,"n.a.",F405/G405-1),"n.a.")</x:f>
        <x:v>-0.038369992073839065</x:v>
      </x:c>
      <x:c r="I405" s="58" t="n">
        <x:f>F405/J405</x:f>
        <x:v>0.21304851167460673</x:v>
      </x:c>
      <x:c r="J405" s="56" t="n">
        <x:v>401.4035430107526</x:v>
      </x:c>
    </x:row>
    <x:row r="406" ht="65" customHeight="1">
      <x:c r="A406" s="61" t="n">
        <x:v>45413</x:v>
      </x:c>
      <x:c r="B406" s="32" t="str">
        <x:v>Industria automotriz</x:v>
      </x:c>
      <x:c r="C406" s="32" t="str">
        <x:v>Industrias sin Aluar</x:v>
      </x:c>
      <x:c r="D406" s="62" t="n">
        <x:v>31</x:v>
      </x:c>
      <x:c r="E406" s="2" t="str">
        <x:v>Completo</x:v>
      </x:c>
      <x:c r="F406" s="56" t="n">
        <x:v>38.929057795698924</x:v>
      </x:c>
      <x:c r="G406" s="56" t="n">
        <x:f>F238</x:f>
        <x:v>37.40162096774194</x:v>
      </x:c>
      <x:c r="H406" s="57" t="n">
        <x:f>IF(ISNUMBER(G406),IF(G406=0,"n.a.",F406/G406-1),"n.a.")</x:f>
        <x:v>0.04083878688772247</x:v>
      </x:c>
      <x:c r="I406" s="58" t="n">
        <x:f>F406/J406</x:f>
        <x:v>0.03546973392926183</x:v>
      </x:c>
      <x:c r="J406" s="56" t="n">
        <x:v>1097.5288924731183</x:v>
      </x:c>
    </x:row>
    <x:row r="407" ht="65" customHeight="1">
      <x:c r="A407" s="61" t="n">
        <x:v>45413</x:v>
      </x:c>
      <x:c r="B407" s="32" t="str">
        <x:v>Derivados de petróleo</x:v>
      </x:c>
      <x:c r="C407" s="32" t="str">
        <x:v>Industrias sin Aluar</x:v>
      </x:c>
      <x:c r="D407" s="62" t="n">
        <x:v>31</x:v>
      </x:c>
      <x:c r="E407" s="2" t="str">
        <x:v>Completo</x:v>
      </x:c>
      <x:c r="F407" s="56" t="n">
        <x:v>154.64159677419354</x:v>
      </x:c>
      <x:c r="G407" s="56" t="n">
        <x:f>F239</x:f>
        <x:v>153.75251344086024</x:v>
      </x:c>
      <x:c r="H407" s="57" t="n">
        <x:f>IF(ISNUMBER(G407),IF(G407=0,"n.a.",F407/G407-1),"n.a.")</x:f>
        <x:v>0.0057825612956583505</x:v>
      </x:c>
      <x:c r="I407" s="58" t="n">
        <x:f>F407/J407</x:f>
        <x:v>0.1408997957454511</x:v>
      </x:c>
      <x:c r="J407" s="56" t="n">
        <x:v>1097.5288924731183</x:v>
      </x:c>
    </x:row>
    <x:row r="408" ht="65" customHeight="1">
      <x:c r="A408" s="61" t="n">
        <x:v>45413</x:v>
      </x:c>
      <x:c r="B408" s="32" t="str">
        <x:v>Construcción: elaboración de cemento y canteras</x:v>
      </x:c>
      <x:c r="C408" s="32" t="str">
        <x:v>Industrias sin Aluar</x:v>
      </x:c>
      <x:c r="D408" s="62" t="n">
        <x:v>31</x:v>
      </x:c>
      <x:c r="E408" s="2" t="str">
        <x:v>Completo</x:v>
      </x:c>
      <x:c r="F408" s="56" t="n">
        <x:v>105.73363978494623</x:v>
      </x:c>
      <x:c r="G408" s="56" t="n">
        <x:f>F240</x:f>
        <x:v>175.4919677419355</x:v>
      </x:c>
      <x:c r="H408" s="57" t="n">
        <x:f>IF(ISNUMBER(G408),IF(G408=0,"n.a.",F408/G408-1),"n.a.")</x:f>
        <x:v>-0.39750154297415086</x:v>
      </x:c>
      <x:c r="I408" s="58" t="n">
        <x:f>F408/J408</x:f>
        <x:v>0.0963379101088548</x:v>
      </x:c>
      <x:c r="J408" s="56" t="n">
        <x:v>1097.5288924731183</x:v>
      </x:c>
    </x:row>
    <x:row r="409" ht="65" customHeight="1">
      <x:c r="A409" s="61" t="n">
        <x:v>45413</x:v>
      </x:c>
      <x:c r="B409" s="32" t="str">
        <x:v>Madera y papel</x:v>
      </x:c>
      <x:c r="C409" s="32" t="str">
        <x:v>Industrias sin Aluar</x:v>
      </x:c>
      <x:c r="D409" s="62" t="n">
        <x:v>31</x:v>
      </x:c>
      <x:c r="E409" s="2" t="str">
        <x:v>Completo</x:v>
      </x:c>
      <x:c r="F409" s="56" t="n">
        <x:v>92.04283064516129</x:v>
      </x:c>
      <x:c r="G409" s="56" t="n">
        <x:f>F241</x:f>
        <x:v>108.79648387096775</x:v>
      </x:c>
      <x:c r="H409" s="57" t="n">
        <x:f>IF(ISNUMBER(G409),IF(G409=0,"n.a.",F409/G409-1),"n.a.")</x:f>
        <x:v>-0.15399075990062538</x:v>
      </x:c>
      <x:c r="I409" s="58" t="n">
        <x:f>F409/J409</x:f>
        <x:v>0.08386369714400543</x:v>
      </x:c>
      <x:c r="J409" s="56" t="n">
        <x:v>1097.5288924731183</x:v>
      </x:c>
    </x:row>
    <x:row r="410" ht="65" customHeight="1">
      <x:c r="A410" s="61" t="n">
        <x:v>45413</x:v>
      </x:c>
      <x:c r="B410" s="32" t="str">
        <x:v>Productos metálicos no automotores</x:v>
      </x:c>
      <x:c r="C410" s="32" t="str">
        <x:v>Industrias sin Aluar</x:v>
      </x:c>
      <x:c r="D410" s="62" t="n">
        <x:v>31</x:v>
      </x:c>
      <x:c r="E410" s="2" t="str">
        <x:v>Completo</x:v>
      </x:c>
      <x:c r="F410" s="56" t="n">
        <x:v>37.319522849462366</x:v>
      </x:c>
      <x:c r="G410" s="56" t="n">
        <x:f>F242</x:f>
        <x:v>47.84571370967742</x:v>
      </x:c>
      <x:c r="H410" s="57" t="n">
        <x:f>IF(ISNUMBER(G410),IF(G410=0,"n.a.",F410/G410-1),"n.a.")</x:f>
        <x:v>-0.22000279741016782</x:v>
      </x:c>
      <x:c r="I410" s="58" t="n">
        <x:f>F410/J410</x:f>
        <x:v>0.03400322588808424</x:v>
      </x:c>
      <x:c r="J410" s="56" t="n">
        <x:v>1097.5288924731183</x:v>
      </x:c>
    </x:row>
    <x:row r="411" ht="65" customHeight="1">
      <x:c r="A411" s="61" t="n">
        <x:v>45413</x:v>
      </x:c>
      <x:c r="B411" s="32" t="str">
        <x:v>Gran siderurgia</x:v>
      </x:c>
      <x:c r="C411" s="32" t="str">
        <x:v>Industrias sin Aluar</x:v>
      </x:c>
      <x:c r="D411" s="62" t="n">
        <x:v>31</x:v>
      </x:c>
      <x:c r="E411" s="2" t="str">
        <x:v>Completo</x:v>
      </x:c>
      <x:c r="F411" s="56" t="n">
        <x:v>273.3228051075269</x:v>
      </x:c>
      <x:c r="G411" s="56" t="n">
        <x:f>F243</x:f>
        <x:v>357.60996505376346</x:v>
      </x:c>
      <x:c r="H411" s="57" t="n">
        <x:f>IF(ISNUMBER(G411),IF(G411=0,"n.a.",F411/G411-1),"n.a.")</x:f>
        <x:v>-0.23569578083084108</x:v>
      </x:c>
      <x:c r="I411" s="58" t="n">
        <x:f>F411/J411</x:f>
        <x:v>0.24903472426282516</x:v>
      </x:c>
      <x:c r="J411" s="56" t="n">
        <x:v>1097.5288924731183</x:v>
      </x:c>
    </x:row>
    <x:row r="412" ht="65" customHeight="1">
      <x:c r="A412" s="61" t="n">
        <x:v>45413</x:v>
      </x:c>
      <x:c r="B412" s="32" t="str">
        <x:v>Industria textil</x:v>
      </x:c>
      <x:c r="C412" s="32" t="str">
        <x:v>Industrias sin Aluar</x:v>
      </x:c>
      <x:c r="D412" s="62" t="n">
        <x:v>31</x:v>
      </x:c>
      <x:c r="E412" s="2" t="str">
        <x:v>Completo</x:v>
      </x:c>
      <x:c r="F412" s="56" t="n">
        <x:v>50.00282392473118</x:v>
      </x:c>
      <x:c r="G412" s="56" t="n">
        <x:f>F244</x:f>
        <x:v>60.61020833333333</x:v>
      </x:c>
      <x:c r="H412" s="57" t="n">
        <x:f>IF(ISNUMBER(G412),IF(G412=0,"n.a.",F412/G412-1),"n.a.")</x:f>
        <x:v>-0.175009865504265</x:v>
      </x:c>
      <x:c r="I412" s="58" t="n">
        <x:f>F412/J412</x:f>
        <x:v>0.04555946022710823</x:v>
      </x:c>
      <x:c r="J412" s="56" t="n">
        <x:v>1097.5288924731183</x:v>
      </x:c>
    </x:row>
    <x:row r="413" ht="65" customHeight="1">
      <x:c r="A413" s="61" t="n">
        <x:v>45413</x:v>
      </x:c>
      <x:c r="B413" s="32" t="str">
        <x:v>Químicas, caucho, plástico y otros minerales no metálicos</x:v>
      </x:c>
      <x:c r="C413" s="32" t="str">
        <x:v>Industrias sin Aluar</x:v>
      </x:c>
      <x:c r="D413" s="62" t="n">
        <x:v>31</x:v>
      </x:c>
      <x:c r="E413" s="2" t="str">
        <x:v>Completo</x:v>
      </x:c>
      <x:c r="F413" s="56" t="n">
        <x:v>345.5366155913979</x:v>
      </x:c>
      <x:c r="G413" s="56" t="n">
        <x:f>F245</x:f>
        <x:v>328.57641397849466</x:v>
      </x:c>
      <x:c r="H413" s="57" t="n">
        <x:f>IF(ISNUMBER(G413),IF(G413=0,"n.a.",F413/G413-1),"n.a.")</x:f>
        <x:v>0.05161722172186489</x:v>
      </x:c>
      <x:c r="I413" s="58" t="n">
        <x:f>F413/J413</x:f>
        <x:v>0.3148314526944092</x:v>
      </x:c>
      <x:c r="J413" s="56" t="n">
        <x:v>1097.5288924731183</x:v>
      </x:c>
    </x:row>
    <x:row r="414" ht="65" customHeight="1">
      <x:c r="A414" s="61" t="n">
        <x:v>45413</x:v>
      </x:c>
      <x:c r="B414" s="32" t="str">
        <x:v>Extracción de minerales</x:v>
      </x:c>
      <x:c r="C414" s="32" t="str">
        <x:v>Petróleos y minerales</x:v>
      </x:c>
      <x:c r="D414" s="62" t="n">
        <x:v>31</x:v>
      </x:c>
      <x:c r="E414" s="2" t="str">
        <x:v>Completo</x:v>
      </x:c>
      <x:c r="F414" s="56" t="n">
        <x:v>23.108010752688173</x:v>
      </x:c>
      <x:c r="G414" s="56" t="n">
        <x:f>F246</x:f>
        <x:v>20.764936827956987</x:v>
      </x:c>
      <x:c r="H414" s="57" t="n">
        <x:f>IF(ISNUMBER(G414),IF(G414=0,"n.a.",F414/G414-1),"n.a.")</x:f>
        <x:v>0.11283799917833481</x:v>
      </x:c>
      <x:c r="I414" s="58" t="n">
        <x:f>F414/J414</x:f>
        <x:v>0.13501878144802884</x:v>
      </x:c>
      <x:c r="J414" s="56" t="n">
        <x:v>171.14663978494625</x:v>
      </x:c>
    </x:row>
    <x:row r="415" ht="65" customHeight="1">
      <x:c r="A415" s="61" t="n">
        <x:v>45413</x:v>
      </x:c>
      <x:c r="B415" s="32" t="str">
        <x:v>Extracción de petróleo</x:v>
      </x:c>
      <x:c r="C415" s="32" t="str">
        <x:v>Petróleos y minerales</x:v>
      </x:c>
      <x:c r="D415" s="62" t="n">
        <x:v>31</x:v>
      </x:c>
      <x:c r="E415" s="2" t="str">
        <x:v>Completo</x:v>
      </x:c>
      <x:c r="F415" s="56" t="n">
        <x:v>148.03862903225806</x:v>
      </x:c>
      <x:c r="G415" s="56" t="n">
        <x:f>F247</x:f>
        <x:v>168.01221236559138</x:v>
      </x:c>
      <x:c r="H415" s="57" t="n">
        <x:f>IF(ISNUMBER(G415),IF(G415=0,"n.a.",F415/G415-1),"n.a.")</x:f>
        <x:v>-0.11888173515548495</x:v>
      </x:c>
      <x:c r="I415" s="58" t="n">
        <x:f>F415/J415</x:f>
        <x:v>0.8649812185519711</x:v>
      </x:c>
      <x:c r="J415" s="56" t="n">
        <x:v>171.14663978494625</x:v>
      </x:c>
    </x:row>
    <x:row r="416" ht="65" customHeight="1">
      <x:c r="A416" s="61" t="n">
        <x:v>45444</x:v>
      </x:c>
      <x:c r="B416" s="32" t="str">
        <x:v>Cargas y puertos</x:v>
      </x:c>
      <x:c r="C416" s="32" t="str">
        <x:v>Alimentación, comercios y servicios</x:v>
      </x:c>
      <x:c r="D416" s="62" t="n">
        <x:v>30</x:v>
      </x:c>
      <x:c r="E416" s="2" t="str">
        <x:v>Completo</x:v>
      </x:c>
      <x:c r="F416" s="56" t="n">
        <x:v>9.327354166666668</x:v>
      </x:c>
      <x:c r="G416" s="56" t="n">
        <x:f>F248</x:f>
        <x:v>6.961018055555556</x:v>
      </x:c>
      <x:c r="H416" s="57" t="n">
        <x:f>IF(ISNUMBER(G416),IF(G416=0,"n.a.",F416/G416-1),"n.a.")</x:f>
        <x:v>0.3399410965789049</x:v>
      </x:c>
      <x:c r="I416" s="58" t="n">
        <x:f>F416/J416</x:f>
        <x:v>0.023983331270587462</x:v>
      </x:c>
      <x:c r="J416" s="56" t="n">
        <x:v>388.9098666666667</x:v>
      </x:c>
    </x:row>
    <x:row r="417" ht="65" customHeight="1">
      <x:c r="A417" s="61" t="n">
        <x:v>45444</x:v>
      </x:c>
      <x:c r="B417" s="32" t="str">
        <x:v>Comercio y servicios: principalmente supermercados y centros comerciales</x:v>
      </x:c>
      <x:c r="C417" s="32" t="str">
        <x:v>Alimentación, comercios y servicios</x:v>
      </x:c>
      <x:c r="D417" s="62" t="n">
        <x:v>30</x:v>
      </x:c>
      <x:c r="E417" s="2" t="str">
        <x:v>Completo</x:v>
      </x:c>
      <x:c r="F417" s="56" t="n">
        <x:v>29.116030555555554</x:v>
      </x:c>
      <x:c r="G417" s="56" t="n">
        <x:f>F249</x:f>
        <x:v>28.469118055555555</x:v>
      </x:c>
      <x:c r="H417" s="57" t="n">
        <x:f>IF(ISNUMBER(G417),IF(G417=0,"n.a.",F417/G417-1),"n.a.")</x:f>
        <x:v>0.022723306662945975</x:v>
      </x:c>
      <x:c r="I417" s="58" t="n">
        <x:f>F417/J417</x:f>
        <x:v>0.0748657543844492</x:v>
      </x:c>
      <x:c r="J417" s="56" t="n">
        <x:v>388.9098666666667</x:v>
      </x:c>
    </x:row>
    <x:row r="418" ht="65" customHeight="1">
      <x:c r="A418" s="61" t="n">
        <x:v>45444</x:v>
      </x:c>
      <x:c r="B418" s="32" t="str">
        <x:v>Alimentación y artículos de consumo masivo</x:v>
      </x:c>
      <x:c r="C418" s="32" t="str">
        <x:v>Alimentación, comercios y servicios</x:v>
      </x:c>
      <x:c r="D418" s="62" t="n">
        <x:v>30</x:v>
      </x:c>
      <x:c r="E418" s="2" t="str">
        <x:v>Completo</x:v>
      </x:c>
      <x:c r="F418" s="56" t="n">
        <x:v>265.35000694444443</x:v>
      </x:c>
      <x:c r="G418" s="56" t="n">
        <x:f>F250</x:f>
        <x:v>272.8942791666667</x:v>
      </x:c>
      <x:c r="H418" s="57" t="n">
        <x:f>IF(ISNUMBER(G418),IF(G418=0,"n.a.",F418/G418-1),"n.a.")</x:f>
        <x:v>-0.027645402627200943</x:v>
      </x:c>
      <x:c r="I418" s="58" t="n">
        <x:f>F418/J418</x:f>
        <x:v>0.6822917845174522</x:v>
      </x:c>
      <x:c r="J418" s="56" t="n">
        <x:v>388.9098666666667</x:v>
      </x:c>
    </x:row>
    <x:row r="419" ht="65" customHeight="1">
      <x:c r="A419" s="61" t="n">
        <x:v>45444</x:v>
      </x:c>
      <x:c r="B419" s="32" t="str">
        <x:v>Servicios públicos y transporte: agua y transporte en GBA</x:v>
      </x:c>
      <x:c r="C419" s="32" t="str">
        <x:v>Alimentación, comercios y servicios</x:v>
      </x:c>
      <x:c r="D419" s="62" t="n">
        <x:v>30</x:v>
      </x:c>
      <x:c r="E419" s="2" t="str">
        <x:v>Completo</x:v>
      </x:c>
      <x:c r="F419" s="56" t="n">
        <x:v>85.11647500000001</x:v>
      </x:c>
      <x:c r="G419" s="56" t="n">
        <x:f>F251</x:f>
        <x:v>89.01271805555555</x:v>
      </x:c>
      <x:c r="H419" s="57" t="n">
        <x:f>IF(ISNUMBER(G419),IF(G419=0,"n.a.",F419/G419-1),"n.a.")</x:f>
        <x:v>-0.043771756897972525</x:v>
      </x:c>
      <x:c r="I419" s="58" t="n">
        <x:f>F419/J419</x:f>
        <x:v>0.21885912982751102</x:v>
      </x:c>
      <x:c r="J419" s="56" t="n">
        <x:v>388.9098666666667</x:v>
      </x:c>
    </x:row>
    <x:row r="420" ht="65" customHeight="1">
      <x:c r="A420" s="61" t="n">
        <x:v>45444</x:v>
      </x:c>
      <x:c r="B420" s="32" t="str">
        <x:v>Industria automotriz</x:v>
      </x:c>
      <x:c r="C420" s="32" t="str">
        <x:v>Industrias sin Aluar</x:v>
      </x:c>
      <x:c r="D420" s="62" t="n">
        <x:v>30</x:v>
      </x:c>
      <x:c r="E420" s="2" t="str">
        <x:v>Completo</x:v>
      </x:c>
      <x:c r="F420" s="56" t="n">
        <x:v>36.91479861111111</x:v>
      </x:c>
      <x:c r="G420" s="56" t="n">
        <x:f>F252</x:f>
        <x:v>38.96101388888889</x:v>
      </x:c>
      <x:c r="H420" s="57" t="n">
        <x:f>IF(ISNUMBER(G420),IF(G420=0,"n.a.",F420/G420-1),"n.a.")</x:f>
        <x:v>-0.052519559260272075</x:v>
      </x:c>
      <x:c r="I420" s="58" t="n">
        <x:f>F420/J420</x:f>
        <x:v>0.035446144759893355</x:v>
      </x:c>
      <x:c r="J420" s="56" t="n">
        <x:v>1041.4333875</x:v>
      </x:c>
    </x:row>
    <x:row r="421" ht="65" customHeight="1">
      <x:c r="A421" s="61" t="n">
        <x:v>45444</x:v>
      </x:c>
      <x:c r="B421" s="32" t="str">
        <x:v>Derivados de petróleo</x:v>
      </x:c>
      <x:c r="C421" s="32" t="str">
        <x:v>Industrias sin Aluar</x:v>
      </x:c>
      <x:c r="D421" s="62" t="n">
        <x:v>30</x:v>
      </x:c>
      <x:c r="E421" s="2" t="str">
        <x:v>Completo</x:v>
      </x:c>
      <x:c r="F421" s="56" t="n">
        <x:v>148.24127638888888</x:v>
      </x:c>
      <x:c r="G421" s="56" t="n">
        <x:f>F253</x:f>
        <x:v>153.00893750000003</x:v>
      </x:c>
      <x:c r="H421" s="57" t="n">
        <x:f>IF(ISNUMBER(G421),IF(G421=0,"n.a.",F421/G421-1),"n.a.")</x:f>
        <x:v>-0.031159363557512143</x:v>
      </x:c>
      <x:c r="I421" s="58" t="n">
        <x:f>F421/J421</x:f>
        <x:v>0.1423435028761154</x:v>
      </x:c>
      <x:c r="J421" s="56" t="n">
        <x:v>1041.4333875</x:v>
      </x:c>
    </x:row>
    <x:row r="422" ht="65" customHeight="1">
      <x:c r="A422" s="61" t="n">
        <x:v>45444</x:v>
      </x:c>
      <x:c r="B422" s="32" t="str">
        <x:v>Construcción: elaboración de cemento y canteras</x:v>
      </x:c>
      <x:c r="C422" s="32" t="str">
        <x:v>Industrias sin Aluar</x:v>
      </x:c>
      <x:c r="D422" s="62" t="n">
        <x:v>30</x:v>
      </x:c>
      <x:c r="E422" s="2" t="str">
        <x:v>Completo</x:v>
      </x:c>
      <x:c r="F422" s="56" t="n">
        <x:v>98.02053055555555</x:v>
      </x:c>
      <x:c r="G422" s="56" t="n">
        <x:f>F254</x:f>
        <x:v>162.46503194444446</x:v>
      </x:c>
      <x:c r="H422" s="57" t="n">
        <x:f>IF(ISNUMBER(G422),IF(G422=0,"n.a.",F422/G422-1),"n.a.")</x:f>
        <x:v>-0.3966669049800572</x:v>
      </x:c>
      <x:c r="I422" s="58" t="n">
        <x:f>F422/J422</x:f>
        <x:v>0.09412078749545136</x:v>
      </x:c>
      <x:c r="J422" s="56" t="n">
        <x:v>1041.4333875</x:v>
      </x:c>
    </x:row>
    <x:row r="423" ht="65" customHeight="1">
      <x:c r="A423" s="61" t="n">
        <x:v>45444</x:v>
      </x:c>
      <x:c r="B423" s="32" t="str">
        <x:v>Madera y papel</x:v>
      </x:c>
      <x:c r="C423" s="32" t="str">
        <x:v>Industrias sin Aluar</x:v>
      </x:c>
      <x:c r="D423" s="62" t="n">
        <x:v>30</x:v>
      </x:c>
      <x:c r="E423" s="2" t="str">
        <x:v>Completo</x:v>
      </x:c>
      <x:c r="F423" s="56" t="n">
        <x:v>86.17488333333334</x:v>
      </x:c>
      <x:c r="G423" s="56" t="n">
        <x:f>F255</x:f>
        <x:v>109.91046388888888</x:v>
      </x:c>
      <x:c r="H423" s="57" t="n">
        <x:f>IF(ISNUMBER(G423),IF(G423=0,"n.a.",F423/G423-1),"n.a.")</x:f>
        <x:v>-0.215953783795785</x:v>
      </x:c>
      <x:c r="I423" s="58" t="n">
        <x:f>F423/J423</x:f>
        <x:v>0.08274641889501871</x:v>
      </x:c>
      <x:c r="J423" s="56" t="n">
        <x:v>1041.4333875</x:v>
      </x:c>
    </x:row>
    <x:row r="424" ht="65" customHeight="1">
      <x:c r="A424" s="61" t="n">
        <x:v>45444</x:v>
      </x:c>
      <x:c r="B424" s="32" t="str">
        <x:v>Productos metálicos no automotores</x:v>
      </x:c>
      <x:c r="C424" s="32" t="str">
        <x:v>Industrias sin Aluar</x:v>
      </x:c>
      <x:c r="D424" s="62" t="n">
        <x:v>30</x:v>
      </x:c>
      <x:c r="E424" s="2" t="str">
        <x:v>Completo</x:v>
      </x:c>
      <x:c r="F424" s="56" t="n">
        <x:v>37.63717777777777</x:v>
      </x:c>
      <x:c r="G424" s="56" t="n">
        <x:f>F256</x:f>
        <x:v>51.01157777777778</x:v>
      </x:c>
      <x:c r="H424" s="57" t="n">
        <x:f>IF(ISNUMBER(G424),IF(G424=0,"n.a.",F424/G424-1),"n.a.")</x:f>
        <x:v>-0.26218361757526953</x:v>
      </x:c>
      <x:c r="I424" s="58" t="n">
        <x:f>F424/J424</x:f>
        <x:v>0.03613978409903607</x:v>
      </x:c>
      <x:c r="J424" s="56" t="n">
        <x:v>1041.4333875</x:v>
      </x:c>
    </x:row>
    <x:row r="425" ht="65" customHeight="1">
      <x:c r="A425" s="61" t="n">
        <x:v>45444</x:v>
      </x:c>
      <x:c r="B425" s="32" t="str">
        <x:v>Gran siderurgia</x:v>
      </x:c>
      <x:c r="C425" s="32" t="str">
        <x:v>Industrias sin Aluar</x:v>
      </x:c>
      <x:c r="D425" s="62" t="n">
        <x:v>30</x:v>
      </x:c>
      <x:c r="E425" s="2" t="str">
        <x:v>Completo</x:v>
      </x:c>
      <x:c r="F425" s="56" t="n">
        <x:v>251.9359513888889</x:v>
      </x:c>
      <x:c r="G425" s="56" t="n">
        <x:f>F257</x:f>
        <x:v>332.24445833333334</x:v>
      </x:c>
      <x:c r="H425" s="57" t="n">
        <x:f>IF(ISNUMBER(G425),IF(G425=0,"n.a.",F425/G425-1),"n.a.")</x:f>
        <x:v>-0.24171511346585872</x:v>
      </x:c>
      <x:c r="I425" s="58" t="n">
        <x:f>F425/J425</x:f>
        <x:v>0.24191268919625347</x:v>
      </x:c>
      <x:c r="J425" s="56" t="n">
        <x:v>1041.4333875</x:v>
      </x:c>
    </x:row>
    <x:row r="426" ht="65" customHeight="1">
      <x:c r="A426" s="61" t="n">
        <x:v>45444</x:v>
      </x:c>
      <x:c r="B426" s="32" t="str">
        <x:v>Industria textil</x:v>
      </x:c>
      <x:c r="C426" s="32" t="str">
        <x:v>Industrias sin Aluar</x:v>
      </x:c>
      <x:c r="D426" s="62" t="n">
        <x:v>30</x:v>
      </x:c>
      <x:c r="E426" s="2" t="str">
        <x:v>Completo</x:v>
      </x:c>
      <x:c r="F426" s="56" t="n">
        <x:v>45.67310416666667</x:v>
      </x:c>
      <x:c r="G426" s="56" t="n">
        <x:f>F258</x:f>
        <x:v>61.439101388888886</x:v>
      </x:c>
      <x:c r="H426" s="57" t="n">
        <x:f>IF(ISNUMBER(G426),IF(G426=0,"n.a.",F426/G426-1),"n.a.")</x:f>
        <x:v>-0.25661178086620684</x:v>
      </x:c>
      <x:c r="I426" s="58" t="n">
        <x:f>F426/J426</x:f>
        <x:v>0.04385600146381582</x:v>
      </x:c>
      <x:c r="J426" s="56" t="n">
        <x:v>1041.4333875</x:v>
      </x:c>
    </x:row>
    <x:row r="427" ht="65" customHeight="1">
      <x:c r="A427" s="61" t="n">
        <x:v>45444</x:v>
      </x:c>
      <x:c r="B427" s="32" t="str">
        <x:v>Químicas, caucho, plástico y otros minerales no metálicos</x:v>
      </x:c>
      <x:c r="C427" s="32" t="str">
        <x:v>Industrias sin Aluar</x:v>
      </x:c>
      <x:c r="D427" s="62" t="n">
        <x:v>30</x:v>
      </x:c>
      <x:c r="E427" s="2" t="str">
        <x:v>Completo</x:v>
      </x:c>
      <x:c r="F427" s="56" t="n">
        <x:v>336.83566527777776</x:v>
      </x:c>
      <x:c r="G427" s="56" t="n">
        <x:f>F259</x:f>
        <x:v>330.5203138888889</x:v>
      </x:c>
      <x:c r="H427" s="57" t="n">
        <x:f>IF(ISNUMBER(G427),IF(G427=0,"n.a.",F427/G427-1),"n.a.")</x:f>
        <x:v>0.01910730180115916</x:v>
      </x:c>
      <x:c r="I427" s="58" t="n">
        <x:f>F427/J427</x:f>
        <x:v>0.32343467121441577</x:v>
      </x:c>
      <x:c r="J427" s="56" t="n">
        <x:v>1041.4333875</x:v>
      </x:c>
    </x:row>
    <x:row r="428" ht="65" customHeight="1">
      <x:c r="A428" s="61" t="n">
        <x:v>45444</x:v>
      </x:c>
      <x:c r="B428" s="32" t="str">
        <x:v>Extracción de minerales</x:v>
      </x:c>
      <x:c r="C428" s="32" t="str">
        <x:v>Petróleos y minerales</x:v>
      </x:c>
      <x:c r="D428" s="62" t="n">
        <x:v>30</x:v>
      </x:c>
      <x:c r="E428" s="2" t="str">
        <x:v>Completo</x:v>
      </x:c>
      <x:c r="F428" s="56" t="n">
        <x:v>22.59985972222222</x:v>
      </x:c>
      <x:c r="G428" s="56" t="n">
        <x:f>F260</x:f>
        <x:v>21.87880555555556</x:v>
      </x:c>
      <x:c r="H428" s="57" t="n">
        <x:f>IF(ISNUMBER(G428),IF(G428=0,"n.a.",F428/G428-1),"n.a.")</x:f>
        <x:v>0.03295674276348093</x:v>
      </x:c>
      <x:c r="I428" s="58" t="n">
        <x:f>F428/J428</x:f>
        <x:v>0.13395187620557023</x:v>
      </x:c>
      <x:c r="J428" s="56" t="n">
        <x:v>168.71626111111112</x:v>
      </x:c>
    </x:row>
    <x:row r="429" ht="65" customHeight="1">
      <x:c r="A429" s="61" t="n">
        <x:v>45444</x:v>
      </x:c>
      <x:c r="B429" s="32" t="str">
        <x:v>Extracción de petróleo</x:v>
      </x:c>
      <x:c r="C429" s="32" t="str">
        <x:v>Petróleos y minerales</x:v>
      </x:c>
      <x:c r="D429" s="62" t="n">
        <x:v>30</x:v>
      </x:c>
      <x:c r="E429" s="2" t="str">
        <x:v>Completo</x:v>
      </x:c>
      <x:c r="F429" s="56" t="n">
        <x:v>146.11640138888887</x:v>
      </x:c>
      <x:c r="G429" s="56" t="n">
        <x:f>F261</x:f>
        <x:v>167.14473888888887</x:v>
      </x:c>
      <x:c r="H429" s="57" t="n">
        <x:f>IF(ISNUMBER(G429),IF(G429=0,"n.a.",F429/G429-1),"n.a.")</x:f>
        <x:v>-0.1258091498409578</x:v>
      </x:c>
      <x:c r="I429" s="58" t="n">
        <x:f>F429/J429</x:f>
        <x:v>0.8660481237944296</x:v>
      </x:c>
      <x:c r="J429" s="56" t="n">
        <x:v>168.71626111111112</x:v>
      </x:c>
    </x:row>
    <x:row r="430" ht="65" customHeight="1">
      <x:c r="A430" s="61" t="n">
        <x:v>45474</x:v>
      </x:c>
      <x:c r="B430" s="32" t="str">
        <x:v>Cargas y puertos</x:v>
      </x:c>
      <x:c r="C430" s="32" t="str">
        <x:v>Alimentación, comercios y servicios</x:v>
      </x:c>
      <x:c r="D430" s="62" t="n">
        <x:v>31</x:v>
      </x:c>
      <x:c r="E430" s="2" t="str">
        <x:v>Completo</x:v>
      </x:c>
      <x:c r="F430" s="56" t="n">
        <x:v>10.083543010752688</x:v>
      </x:c>
      <x:c r="G430" s="56" t="n">
        <x:f>F262</x:f>
        <x:v>7.421228494623656</x:v>
      </x:c>
      <x:c r="H430" s="57" t="n">
        <x:f>IF(ISNUMBER(G430),IF(G430=0,"n.a.",F430/G430-1),"n.a.")</x:f>
        <x:v>0.35874310002148</x:v>
      </x:c>
      <x:c r="I430" s="58" t="n">
        <x:f>F430/J430</x:f>
        <x:v>0.024536698980639756</x:v>
      </x:c>
      <x:c r="J430" s="56" t="n">
        <x:v>410.95760349462364</x:v>
      </x:c>
    </x:row>
    <x:row r="431" ht="65" customHeight="1">
      <x:c r="A431" s="61" t="n">
        <x:v>45474</x:v>
      </x:c>
      <x:c r="B431" s="32" t="str">
        <x:v>Comercio y servicios: principalmente supermercados y centros comerciales</x:v>
      </x:c>
      <x:c r="C431" s="32" t="str">
        <x:v>Alimentación, comercios y servicios</x:v>
      </x:c>
      <x:c r="D431" s="62" t="n">
        <x:v>31</x:v>
      </x:c>
      <x:c r="E431" s="2" t="str">
        <x:v>Completo</x:v>
      </x:c>
      <x:c r="F431" s="56" t="n">
        <x:v>29.510850806451614</x:v>
      </x:c>
      <x:c r="G431" s="56" t="n">
        <x:f>F263</x:f>
        <x:v>28.65633870967742</x:v>
      </x:c>
      <x:c r="H431" s="57" t="n">
        <x:f>IF(ISNUMBER(G431),IF(G431=0,"n.a.",F431/G431-1),"n.a.")</x:f>
        <x:v>0.02981930474201233</x:v>
      </x:c>
      <x:c r="I431" s="58" t="n">
        <x:f>F431/J431</x:f>
        <x:v>0.07180996422867666</x:v>
      </x:c>
      <x:c r="J431" s="56" t="n">
        <x:v>410.95760349462364</x:v>
      </x:c>
    </x:row>
    <x:row r="432" ht="65" customHeight="1">
      <x:c r="A432" s="61" t="n">
        <x:v>45474</x:v>
      </x:c>
      <x:c r="B432" s="32" t="str">
        <x:v>Alimentación y artículos de consumo masivo</x:v>
      </x:c>
      <x:c r="C432" s="32" t="str">
        <x:v>Alimentación, comercios y servicios</x:v>
      </x:c>
      <x:c r="D432" s="62" t="n">
        <x:v>31</x:v>
      </x:c>
      <x:c r="E432" s="2" t="str">
        <x:v>Completo</x:v>
      </x:c>
      <x:c r="F432" s="56" t="n">
        <x:v>283.7487849462365</x:v>
      </x:c>
      <x:c r="G432" s="56" t="n">
        <x:f>F264</x:f>
        <x:v>269.8224086021505</x:v>
      </x:c>
      <x:c r="H432" s="57" t="n">
        <x:f>IF(ISNUMBER(G432),IF(G432=0,"n.a.",F432/G432-1),"n.a.")</x:f>
        <x:v>0.05161311996373241</x:v>
      </x:c>
      <x:c r="I432" s="58" t="n">
        <x:f>F432/J432</x:f>
        <x:v>0.6904575618831412</x:v>
      </x:c>
      <x:c r="J432" s="56" t="n">
        <x:v>410.95760349462364</x:v>
      </x:c>
    </x:row>
    <x:row r="433" ht="65" customHeight="1">
      <x:c r="A433" s="61" t="n">
        <x:v>45474</x:v>
      </x:c>
      <x:c r="B433" s="32" t="str">
        <x:v>Servicios públicos y transporte: agua y transporte en GBA</x:v>
      </x:c>
      <x:c r="C433" s="32" t="str">
        <x:v>Alimentación, comercios y servicios</x:v>
      </x:c>
      <x:c r="D433" s="62" t="n">
        <x:v>31</x:v>
      </x:c>
      <x:c r="E433" s="2" t="str">
        <x:v>Completo</x:v>
      </x:c>
      <x:c r="F433" s="56" t="n">
        <x:v>87.6144247311828</x:v>
      </x:c>
      <x:c r="G433" s="56" t="n">
        <x:f>F265</x:f>
        <x:v>88.18783064516128</x:v>
      </x:c>
      <x:c r="H433" s="57" t="n">
        <x:f>IF(ISNUMBER(G433),IF(G433=0,"n.a.",F433/G433-1),"n.a.")</x:f>
        <x:v>-0.006502097962764131</x:v>
      </x:c>
      <x:c r="I433" s="58" t="n">
        <x:f>F433/J433</x:f>
        <x:v>0.2131957749075423</x:v>
      </x:c>
      <x:c r="J433" s="56" t="n">
        <x:v>410.95760349462364</x:v>
      </x:c>
    </x:row>
    <x:row r="434" ht="65" customHeight="1">
      <x:c r="A434" s="61" t="n">
        <x:v>45474</x:v>
      </x:c>
      <x:c r="B434" s="32" t="str">
        <x:v>Industria automotriz</x:v>
      </x:c>
      <x:c r="C434" s="32" t="str">
        <x:v>Industrias sin Aluar</x:v>
      </x:c>
      <x:c r="D434" s="62" t="n">
        <x:v>31</x:v>
      </x:c>
      <x:c r="E434" s="2" t="str">
        <x:v>Completo</x:v>
      </x:c>
      <x:c r="F434" s="56" t="n">
        <x:v>42.255794354838706</x:v>
      </x:c>
      <x:c r="G434" s="56" t="n">
        <x:f>F266</x:f>
        <x:v>37.458571236559145</x:v>
      </x:c>
      <x:c r="H434" s="57" t="n">
        <x:f>IF(ISNUMBER(G434),IF(G434=0,"n.a.",F434/G434-1),"n.a.")</x:f>
        <x:v>0.12806743449941105</x:v>
      </x:c>
      <x:c r="I434" s="58" t="n">
        <x:f>F434/J434</x:f>
        <x:v>0.0394055223730029</x:v>
      </x:c>
      <x:c r="J434" s="56" t="n">
        <x:v>1072.3317903225807</x:v>
      </x:c>
    </x:row>
    <x:row r="435" ht="65" customHeight="1">
      <x:c r="A435" s="61" t="n">
        <x:v>45474</x:v>
      </x:c>
      <x:c r="B435" s="32" t="str">
        <x:v>Derivados de petróleo</x:v>
      </x:c>
      <x:c r="C435" s="32" t="str">
        <x:v>Industrias sin Aluar</x:v>
      </x:c>
      <x:c r="D435" s="62" t="n">
        <x:v>31</x:v>
      </x:c>
      <x:c r="E435" s="2" t="str">
        <x:v>Completo</x:v>
      </x:c>
      <x:c r="F435" s="56" t="n">
        <x:v>144.62603494623656</x:v>
      </x:c>
      <x:c r="G435" s="56" t="n">
        <x:f>F267</x:f>
        <x:v>146.66988440860217</x:v>
      </x:c>
      <x:c r="H435" s="57" t="n">
        <x:f>IF(ISNUMBER(G435),IF(G435=0,"n.a.",F435/G435-1),"n.a.")</x:f>
        <x:v>-0.013935031520661223</x:v>
      </x:c>
      <x:c r="I435" s="58" t="n">
        <x:f>F435/J435</x:f>
        <x:v>0.13487060278491783</x:v>
      </x:c>
      <x:c r="J435" s="56" t="n">
        <x:v>1072.3317903225807</x:v>
      </x:c>
    </x:row>
    <x:row r="436" ht="65" customHeight="1">
      <x:c r="A436" s="61" t="n">
        <x:v>45474</x:v>
      </x:c>
      <x:c r="B436" s="32" t="str">
        <x:v>Construcción: elaboración de cemento y canteras</x:v>
      </x:c>
      <x:c r="C436" s="32" t="str">
        <x:v>Industrias sin Aluar</x:v>
      </x:c>
      <x:c r="D436" s="62" t="n">
        <x:v>31</x:v>
      </x:c>
      <x:c r="E436" s="2" t="str">
        <x:v>Completo</x:v>
      </x:c>
      <x:c r="F436" s="56" t="n">
        <x:v>127.71007930107527</x:v>
      </x:c>
      <x:c r="G436" s="56" t="n">
        <x:f>F268</x:f>
        <x:v>154.11805913978495</x:v>
      </x:c>
      <x:c r="H436" s="57" t="n">
        <x:f>IF(ISNUMBER(G436),IF(G436=0,"n.a.",F436/G436-1),"n.a.")</x:f>
        <x:v>-0.17134902934871288</x:v>
      </x:c>
      <x:c r="I436" s="58" t="n">
        <x:f>F436/J436</x:f>
        <x:v>0.11909567584735813</x:v>
      </x:c>
      <x:c r="J436" s="56" t="n">
        <x:v>1072.3317903225807</x:v>
      </x:c>
    </x:row>
    <x:row r="437" ht="65" customHeight="1">
      <x:c r="A437" s="61" t="n">
        <x:v>45474</x:v>
      </x:c>
      <x:c r="B437" s="32" t="str">
        <x:v>Madera y papel</x:v>
      </x:c>
      <x:c r="C437" s="32" t="str">
        <x:v>Industrias sin Aluar</x:v>
      </x:c>
      <x:c r="D437" s="62" t="n">
        <x:v>31</x:v>
      </x:c>
      <x:c r="E437" s="2" t="str">
        <x:v>Completo</x:v>
      </x:c>
      <x:c r="F437" s="56" t="n">
        <x:v>92.99674865591398</x:v>
      </x:c>
      <x:c r="G437" s="56" t="n">
        <x:f>F269</x:f>
        <x:v>109.64630779569892</x:v>
      </x:c>
      <x:c r="H437" s="57" t="n">
        <x:f>IF(ISNUMBER(G437),IF(G437=0,"n.a.",F437/G437-1),"n.a.")</x:f>
        <x:v>-0.15184787773070874</x:v>
      </x:c>
      <x:c r="I437" s="58" t="n">
        <x:f>F437/J437</x:f>
        <x:v>0.08672385682787465</x:v>
      </x:c>
      <x:c r="J437" s="56" t="n">
        <x:v>1072.3317903225807</x:v>
      </x:c>
    </x:row>
    <x:row r="438" ht="65" customHeight="1">
      <x:c r="A438" s="61" t="n">
        <x:v>45474</x:v>
      </x:c>
      <x:c r="B438" s="32" t="str">
        <x:v>Productos metálicos no automotores</x:v>
      </x:c>
      <x:c r="C438" s="32" t="str">
        <x:v>Industrias sin Aluar</x:v>
      </x:c>
      <x:c r="D438" s="62" t="n">
        <x:v>31</x:v>
      </x:c>
      <x:c r="E438" s="2" t="str">
        <x:v>Completo</x:v>
      </x:c>
      <x:c r="F438" s="56" t="n">
        <x:v>39.46702284946237</x:v>
      </x:c>
      <x:c r="G438" s="56" t="n">
        <x:f>F270</x:f>
        <x:v>45.64464516129032</x:v>
      </x:c>
      <x:c r="H438" s="57" t="n">
        <x:f>IF(ISNUMBER(G438),IF(G438=0,"n.a.",F438/G438-1),"n.a.")</x:f>
        <x:v>-0.1353416658186004</x:v>
      </x:c>
      <x:c r="I438" s="58" t="n">
        <x:f>F438/J438</x:f>
        <x:v>0.03680486133642446</x:v>
      </x:c>
      <x:c r="J438" s="56" t="n">
        <x:v>1072.3317903225807</x:v>
      </x:c>
    </x:row>
    <x:row r="439" ht="65" customHeight="1">
      <x:c r="A439" s="61" t="n">
        <x:v>45474</x:v>
      </x:c>
      <x:c r="B439" s="32" t="str">
        <x:v>Gran siderurgia</x:v>
      </x:c>
      <x:c r="C439" s="32" t="str">
        <x:v>Industrias sin Aluar</x:v>
      </x:c>
      <x:c r="D439" s="62" t="n">
        <x:v>31</x:v>
      </x:c>
      <x:c r="E439" s="2" t="str">
        <x:v>Completo</x:v>
      </x:c>
      <x:c r="F439" s="56" t="n">
        <x:v>229.298561827957</x:v>
      </x:c>
      <x:c r="G439" s="56" t="n">
        <x:f>F271</x:f>
        <x:v>231.08136021505376</x:v>
      </x:c>
      <x:c r="H439" s="57" t="n">
        <x:f>IF(ISNUMBER(G439),IF(G439=0,"n.a.",F439/G439-1),"n.a.")</x:f>
        <x:v>-0.007715024636507306</x:v>
      </x:c>
      <x:c r="I439" s="58" t="n">
        <x:f>F439/J439</x:f>
        <x:v>0.2138317299713543</x:v>
      </x:c>
      <x:c r="J439" s="56" t="n">
        <x:v>1072.3317903225807</x:v>
      </x:c>
    </x:row>
    <x:row r="440" ht="65" customHeight="1">
      <x:c r="A440" s="61" t="n">
        <x:v>45474</x:v>
      </x:c>
      <x:c r="B440" s="32" t="str">
        <x:v>Industria textil</x:v>
      </x:c>
      <x:c r="C440" s="32" t="str">
        <x:v>Industrias sin Aluar</x:v>
      </x:c>
      <x:c r="D440" s="62" t="n">
        <x:v>31</x:v>
      </x:c>
      <x:c r="E440" s="2" t="str">
        <x:v>Completo</x:v>
      </x:c>
      <x:c r="F440" s="56" t="n">
        <x:v>53.51257258064516</x:v>
      </x:c>
      <x:c r="G440" s="56" t="n">
        <x:f>F272</x:f>
        <x:v>63.15044892473118</x:v>
      </x:c>
      <x:c r="H440" s="57" t="n">
        <x:f>IF(ISNUMBER(G440),IF(G440=0,"n.a.",F440/G440-1),"n.a.")</x:f>
        <x:v>-0.15261770119121987</x:v>
      </x:c>
      <x:c r="I440" s="58" t="n">
        <x:f>F440/J440</x:f>
        <x:v>0.049902999298889965</x:v>
      </x:c>
      <x:c r="J440" s="56" t="n">
        <x:v>1072.3317903225807</x:v>
      </x:c>
    </x:row>
    <x:row r="441" ht="65" customHeight="1">
      <x:c r="A441" s="61" t="n">
        <x:v>45474</x:v>
      </x:c>
      <x:c r="B441" s="32" t="str">
        <x:v>Químicas, caucho, plástico y otros minerales no metálicos</x:v>
      </x:c>
      <x:c r="C441" s="32" t="str">
        <x:v>Industrias sin Aluar</x:v>
      </x:c>
      <x:c r="D441" s="62" t="n">
        <x:v>31</x:v>
      </x:c>
      <x:c r="E441" s="2" t="str">
        <x:v>Completo</x:v>
      </x:c>
      <x:c r="F441" s="56" t="n">
        <x:v>342.4649758064516</x:v>
      </x:c>
      <x:c r="G441" s="56" t="n">
        <x:f>F273</x:f>
        <x:v>324.12817338709675</x:v>
      </x:c>
      <x:c r="H441" s="57" t="n">
        <x:f>IF(ISNUMBER(G441),IF(G441=0,"n.a.",F441/G441-1),"n.a.")</x:f>
        <x:v>0.05657268921654568</x:v>
      </x:c>
      <x:c r="I441" s="58" t="n">
        <x:f>F441/J441</x:f>
        <x:v>0.31936475156017774</x:v>
      </x:c>
      <x:c r="J441" s="56" t="n">
        <x:v>1072.3317903225807</x:v>
      </x:c>
    </x:row>
    <x:row r="442" ht="65" customHeight="1">
      <x:c r="A442" s="61" t="n">
        <x:v>45474</x:v>
      </x:c>
      <x:c r="B442" s="32" t="str">
        <x:v>Extracción de minerales</x:v>
      </x:c>
      <x:c r="C442" s="32" t="str">
        <x:v>Petróleos y minerales</x:v>
      </x:c>
      <x:c r="D442" s="62" t="n">
        <x:v>31</x:v>
      </x:c>
      <x:c r="E442" s="2" t="str">
        <x:v>Completo</x:v>
      </x:c>
      <x:c r="F442" s="56" t="n">
        <x:v>22.565686827956988</x:v>
      </x:c>
      <x:c r="G442" s="56" t="n">
        <x:f>F274</x:f>
        <x:v>22.565838709677422</x:v>
      </x:c>
      <x:c r="H442" s="57" t="n">
        <x:f>IF(ISNUMBER(G442),IF(G442=0,"n.a.",F442/G442-1),"n.a.")</x:f>
        <x:v>-0.000006730603829496751</x:v>
      </x:c>
      <x:c r="I442" s="58" t="n">
        <x:f>F442/J442</x:f>
        <x:v>0.13414173585917397</x:v>
      </x:c>
      <x:c r="J442" s="56" t="n">
        <x:v>168.2227137096774</x:v>
      </x:c>
    </x:row>
    <x:row r="443" ht="65" customHeight="1">
      <x:c r="A443" s="61" t="n">
        <x:v>45474</x:v>
      </x:c>
      <x:c r="B443" s="32" t="str">
        <x:v>Extracción de petróleo</x:v>
      </x:c>
      <x:c r="C443" s="32" t="str">
        <x:v>Petróleos y minerales</x:v>
      </x:c>
      <x:c r="D443" s="62" t="n">
        <x:v>31</x:v>
      </x:c>
      <x:c r="E443" s="2" t="str">
        <x:v>Completo</x:v>
      </x:c>
      <x:c r="F443" s="56" t="n">
        <x:v>145.65702688172044</x:v>
      </x:c>
      <x:c r="G443" s="56" t="n">
        <x:f>F275</x:f>
        <x:v>164.81235887096773</x:v>
      </x:c>
      <x:c r="H443" s="57" t="n">
        <x:f>IF(ISNUMBER(G443),IF(G443=0,"n.a.",F443/G443-1),"n.a.")</x:f>
        <x:v>-0.11622509452852425</x:v>
      </x:c>
      <x:c r="I443" s="58" t="n">
        <x:f>F443/J443</x:f>
        <x:v>0.8658582641408262</x:v>
      </x:c>
      <x:c r="J443" s="56" t="n">
        <x:v>168.2227137096774</x:v>
      </x:c>
    </x:row>
    <x:row r="444" ht="65" customHeight="1">
      <x:c r="A444" s="61" t="n">
        <x:v>45505</x:v>
      </x:c>
      <x:c r="B444" s="32" t="str">
        <x:v>Cargas y puertos</x:v>
      </x:c>
      <x:c r="C444" s="32" t="str">
        <x:v>Alimentación, comercios y servicios</x:v>
      </x:c>
      <x:c r="D444" s="62" t="n">
        <x:v>31</x:v>
      </x:c>
      <x:c r="E444" s="2" t="str">
        <x:v>Completo</x:v>
      </x:c>
      <x:c r="F444" s="56" t="n">
        <x:v>9.959030913978495</x:v>
      </x:c>
      <x:c r="G444" s="56" t="n">
        <x:f>F276</x:f>
        <x:v>7.8863790322580645</x:v>
      </x:c>
      <x:c r="H444" s="57" t="n">
        <x:f>IF(ISNUMBER(G444),IF(G444=0,"n.a.",F444/G444-1),"n.a.")</x:f>
        <x:v>0.26281413475595783</x:v>
      </x:c>
      <x:c r="I444" s="58" t="n">
        <x:f>F444/J444</x:f>
        <x:v>0.02502075760221665</x:v>
      </x:c>
      <x:c r="J444" s="56" t="n">
        <x:v>398.03075</x:v>
      </x:c>
    </x:row>
    <x:row r="445" ht="65" customHeight="1">
      <x:c r="A445" s="61" t="n">
        <x:v>45505</x:v>
      </x:c>
      <x:c r="B445" s="32" t="str">
        <x:v>Comercio y servicios: principalmente supermercados y centros comerciales</x:v>
      </x:c>
      <x:c r="C445" s="32" t="str">
        <x:v>Alimentación, comercios y servicios</x:v>
      </x:c>
      <x:c r="D445" s="62" t="n">
        <x:v>31</x:v>
      </x:c>
      <x:c r="E445" s="2" t="str">
        <x:v>Completo</x:v>
      </x:c>
      <x:c r="F445" s="56" t="n">
        <x:v>32.436723118279566</x:v>
      </x:c>
      <x:c r="G445" s="56" t="n">
        <x:f>F277</x:f>
        <x:v>29.50452553763441</x:v>
      </x:c>
      <x:c r="H445" s="57" t="n">
        <x:f>IF(ISNUMBER(G445),IF(G445=0,"n.a.",F445/G445-1),"n.a.")</x:f>
        <x:v>0.09938128226820653</x:v>
      </x:c>
      <x:c r="I445" s="58" t="n">
        <x:f>F445/J445</x:f>
        <x:v>0.08149300806100927</x:v>
      </x:c>
      <x:c r="J445" s="56" t="n">
        <x:v>398.03075</x:v>
      </x:c>
    </x:row>
    <x:row r="446" ht="65" customHeight="1">
      <x:c r="A446" s="61" t="n">
        <x:v>45505</x:v>
      </x:c>
      <x:c r="B446" s="32" t="str">
        <x:v>Alimentación y artículos de consumo masivo</x:v>
      </x:c>
      <x:c r="C446" s="32" t="str">
        <x:v>Alimentación, comercios y servicios</x:v>
      </x:c>
      <x:c r="D446" s="62" t="n">
        <x:v>31</x:v>
      </x:c>
      <x:c r="E446" s="2" t="str">
        <x:v>Completo</x:v>
      </x:c>
      <x:c r="F446" s="56" t="n">
        <x:v>270.41067607526884</x:v>
      </x:c>
      <x:c r="G446" s="56" t="n">
        <x:f>F278</x:f>
        <x:v>267.00815188172044</x:v>
      </x:c>
      <x:c r="H446" s="57" t="n">
        <x:f>IF(ISNUMBER(G446),IF(G446=0,"n.a.",F446/G446-1),"n.a.")</x:f>
        <x:v>0.0127431472393984</x:v>
      </x:c>
      <x:c r="I446" s="58" t="n">
        <x:f>F446/J446</x:f>
        <x:v>0.6793713201185306</x:v>
      </x:c>
      <x:c r="J446" s="56" t="n">
        <x:v>398.03075</x:v>
      </x:c>
    </x:row>
    <x:row r="447" ht="65" customHeight="1">
      <x:c r="A447" s="61" t="n">
        <x:v>45505</x:v>
      </x:c>
      <x:c r="B447" s="32" t="str">
        <x:v>Servicios públicos y transporte: agua y transporte en GBA</x:v>
      </x:c>
      <x:c r="C447" s="32" t="str">
        <x:v>Alimentación, comercios y servicios</x:v>
      </x:c>
      <x:c r="D447" s="62" t="n">
        <x:v>31</x:v>
      </x:c>
      <x:c r="E447" s="2" t="str">
        <x:v>Completo</x:v>
      </x:c>
      <x:c r="F447" s="56" t="n">
        <x:v>85.22431989247312</x:v>
      </x:c>
      <x:c r="G447" s="56" t="n">
        <x:f>F279</x:f>
        <x:v>87.38067069892473</x:v>
      </x:c>
      <x:c r="H447" s="57" t="n">
        <x:f>IF(ISNUMBER(G447),IF(G447=0,"n.a.",F447/G447-1),"n.a.")</x:f>
        <x:v>-0.024677663712166398</x:v>
      </x:c>
      <x:c r="I447" s="58" t="n">
        <x:f>F447/J447</x:f>
        <x:v>0.21411491421824347</x:v>
      </x:c>
      <x:c r="J447" s="56" t="n">
        <x:v>398.03075</x:v>
      </x:c>
    </x:row>
    <x:row r="448" ht="65" customHeight="1">
      <x:c r="A448" s="61" t="n">
        <x:v>45505</x:v>
      </x:c>
      <x:c r="B448" s="32" t="str">
        <x:v>Industria automotriz</x:v>
      </x:c>
      <x:c r="C448" s="32" t="str">
        <x:v>Industrias sin Aluar</x:v>
      </x:c>
      <x:c r="D448" s="62" t="n">
        <x:v>31</x:v>
      </x:c>
      <x:c r="E448" s="2" t="str">
        <x:v>Completo</x:v>
      </x:c>
      <x:c r="F448" s="56" t="n">
        <x:v>42.96219623655914</x:v>
      </x:c>
      <x:c r="G448" s="56" t="n">
        <x:f>F280</x:f>
        <x:v>39.503408602150536</x:v>
      </x:c>
      <x:c r="H448" s="57" t="n">
        <x:f>IF(ISNUMBER(G448),IF(G448=0,"n.a.",F448/G448-1),"n.a.")</x:f>
        <x:v>0.08755668831626617</x:v>
      </x:c>
      <x:c r="I448" s="58" t="n">
        <x:f>F448/J448</x:f>
        <x:v>0.03961094566671294</x:v>
      </x:c>
      <x:c r="J448" s="56" t="n">
        <x:v>1084.6041545698924</x:v>
      </x:c>
    </x:row>
    <x:row r="449" ht="65" customHeight="1">
      <x:c r="A449" s="61" t="n">
        <x:v>45505</x:v>
      </x:c>
      <x:c r="B449" s="32" t="str">
        <x:v>Derivados de petróleo</x:v>
      </x:c>
      <x:c r="C449" s="32" t="str">
        <x:v>Industrias sin Aluar</x:v>
      </x:c>
      <x:c r="D449" s="62" t="n">
        <x:v>31</x:v>
      </x:c>
      <x:c r="E449" s="2" t="str">
        <x:v>Completo</x:v>
      </x:c>
      <x:c r="F449" s="56" t="n">
        <x:v>154.567001344086</x:v>
      </x:c>
      <x:c r="G449" s="56" t="n">
        <x:f>F281</x:f>
        <x:v>142.001876344086</x:v>
      </x:c>
      <x:c r="H449" s="57" t="n">
        <x:f>IF(ISNUMBER(G449),IF(G449=0,"n.a.",F449/G449-1),"n.a.")</x:f>
        <x:v>0.08848562655294301</x:v>
      </x:c>
      <x:c r="I449" s="58" t="n">
        <x:f>F449/J449</x:f>
        <x:v>0.14251005834048336</x:v>
      </x:c>
      <x:c r="J449" s="56" t="n">
        <x:v>1084.6041545698924</x:v>
      </x:c>
    </x:row>
    <x:row r="450" ht="65" customHeight="1">
      <x:c r="A450" s="61" t="n">
        <x:v>45505</x:v>
      </x:c>
      <x:c r="B450" s="32" t="str">
        <x:v>Construcción: elaboración de cemento y canteras</x:v>
      </x:c>
      <x:c r="C450" s="32" t="str">
        <x:v>Industrias sin Aluar</x:v>
      </x:c>
      <x:c r="D450" s="62" t="n">
        <x:v>31</x:v>
      </x:c>
      <x:c r="E450" s="2" t="str">
        <x:v>Completo</x:v>
      </x:c>
      <x:c r="F450" s="56" t="n">
        <x:v>133.24863978494622</x:v>
      </x:c>
      <x:c r="G450" s="56" t="n">
        <x:f>F282</x:f>
        <x:v>171.2518185483871</x:v>
      </x:c>
      <x:c r="H450" s="57" t="n">
        <x:f>IF(ISNUMBER(G450),IF(G450=0,"n.a.",F450/G450-1),"n.a.")</x:f>
        <x:v>-0.22191401577848413</x:v>
      </x:c>
      <x:c r="I450" s="58" t="n">
        <x:f>F450/J450</x:f>
        <x:v>0.1228546278598637</x:v>
      </x:c>
      <x:c r="J450" s="56" t="n">
        <x:v>1084.6041545698924</x:v>
      </x:c>
    </x:row>
    <x:row r="451" ht="65" customHeight="1">
      <x:c r="A451" s="61" t="n">
        <x:v>45505</x:v>
      </x:c>
      <x:c r="B451" s="32" t="str">
        <x:v>Madera y papel</x:v>
      </x:c>
      <x:c r="C451" s="32" t="str">
        <x:v>Industrias sin Aluar</x:v>
      </x:c>
      <x:c r="D451" s="62" t="n">
        <x:v>31</x:v>
      </x:c>
      <x:c r="E451" s="2" t="str">
        <x:v>Completo</x:v>
      </x:c>
      <x:c r="F451" s="56" t="n">
        <x:v>96.62161962365592</x:v>
      </x:c>
      <x:c r="G451" s="56" t="n">
        <x:f>F283</x:f>
        <x:v>105.49800134408602</x:v>
      </x:c>
      <x:c r="H451" s="57" t="n">
        <x:f>IF(ISNUMBER(G451),IF(G451=0,"n.a.",F451/G451-1),"n.a.")</x:f>
        <x:v>-0.08413791358453726</x:v>
      </x:c>
      <x:c r="I451" s="58" t="n">
        <x:f>F451/J451</x:f>
        <x:v>0.08908468515130473</x:v>
      </x:c>
      <x:c r="J451" s="56" t="n">
        <x:v>1084.6041545698924</x:v>
      </x:c>
    </x:row>
    <x:row r="452" ht="65" customHeight="1">
      <x:c r="A452" s="61" t="n">
        <x:v>45505</x:v>
      </x:c>
      <x:c r="B452" s="32" t="str">
        <x:v>Productos metálicos no automotores</x:v>
      </x:c>
      <x:c r="C452" s="32" t="str">
        <x:v>Industrias sin Aluar</x:v>
      </x:c>
      <x:c r="D452" s="62" t="n">
        <x:v>31</x:v>
      </x:c>
      <x:c r="E452" s="2" t="str">
        <x:v>Completo</x:v>
      </x:c>
      <x:c r="F452" s="56" t="n">
        <x:v>41.913873655913974</x:v>
      </x:c>
      <x:c r="G452" s="56" t="n">
        <x:f>F284</x:f>
        <x:v>50.94696774193548</x:v>
      </x:c>
      <x:c r="H452" s="57" t="n">
        <x:f>IF(ISNUMBER(G452),IF(G452=0,"n.a.",F452/G452-1),"n.a.")</x:f>
        <x:v>-0.17730386098299988</x:v>
      </x:c>
      <x:c r="I452" s="58" t="n">
        <x:f>F452/J452</x:f>
        <x:v>0.03864439710959361</x:v>
      </x:c>
      <x:c r="J452" s="56" t="n">
        <x:v>1084.6041545698924</x:v>
      </x:c>
    </x:row>
    <x:row r="453" ht="65" customHeight="1">
      <x:c r="A453" s="61" t="n">
        <x:v>45505</x:v>
      </x:c>
      <x:c r="B453" s="32" t="str">
        <x:v>Gran siderurgia</x:v>
      </x:c>
      <x:c r="C453" s="32" t="str">
        <x:v>Industrias sin Aluar</x:v>
      </x:c>
      <x:c r="D453" s="62" t="n">
        <x:v>31</x:v>
      </x:c>
      <x:c r="E453" s="2" t="str">
        <x:v>Completo</x:v>
      </x:c>
      <x:c r="F453" s="56" t="n">
        <x:v>254.93140725806452</x:v>
      </x:c>
      <x:c r="G453" s="56" t="n">
        <x:f>F285</x:f>
        <x:v>313.49506182795693</x:v>
      </x:c>
      <x:c r="H453" s="57" t="n">
        <x:f>IF(ISNUMBER(G453),IF(G453=0,"n.a.",F453/G453-1),"n.a.")</x:f>
        <x:v>-0.18680885825892712</x:v>
      </x:c>
      <x:c r="I453" s="58" t="n">
        <x:f>F453/J453</x:f>
        <x:v>0.2350455750920108</x:v>
      </x:c>
      <x:c r="J453" s="56" t="n">
        <x:v>1084.6041545698924</x:v>
      </x:c>
    </x:row>
    <x:row r="454" ht="65" customHeight="1">
      <x:c r="A454" s="61" t="n">
        <x:v>45505</x:v>
      </x:c>
      <x:c r="B454" s="32" t="str">
        <x:v>Industria textil</x:v>
      </x:c>
      <x:c r="C454" s="32" t="str">
        <x:v>Industrias sin Aluar</x:v>
      </x:c>
      <x:c r="D454" s="62" t="n">
        <x:v>31</x:v>
      </x:c>
      <x:c r="E454" s="2" t="str">
        <x:v>Completo</x:v>
      </x:c>
      <x:c r="F454" s="56" t="n">
        <x:v>54.60349731182796</x:v>
      </x:c>
      <x:c r="G454" s="56" t="n">
        <x:f>F286</x:f>
        <x:v>64.08151747311827</x:v>
      </x:c>
      <x:c r="H454" s="57" t="n">
        <x:f>IF(ISNUMBER(G454),IF(G454=0,"n.a.",F454/G454-1),"n.a.")</x:f>
        <x:v>-0.14790567600503957</x:v>
      </x:c>
      <x:c r="I454" s="58" t="n">
        <x:f>F454/J454</x:f>
        <x:v>0.050344171264475164</x:v>
      </x:c>
      <x:c r="J454" s="56" t="n">
        <x:v>1084.6041545698924</x:v>
      </x:c>
    </x:row>
    <x:row r="455" ht="65" customHeight="1">
      <x:c r="A455" s="61" t="n">
        <x:v>45505</x:v>
      </x:c>
      <x:c r="B455" s="32" t="str">
        <x:v>Químicas, caucho, plástico y otros minerales no metálicos</x:v>
      </x:c>
      <x:c r="C455" s="32" t="str">
        <x:v>Industrias sin Aluar</x:v>
      </x:c>
      <x:c r="D455" s="62" t="n">
        <x:v>31</x:v>
      </x:c>
      <x:c r="E455" s="2" t="str">
        <x:v>Completo</x:v>
      </x:c>
      <x:c r="F455" s="56" t="n">
        <x:v>305.7559193548387</x:v>
      </x:c>
      <x:c r="G455" s="56" t="n">
        <x:f>F287</x:f>
        <x:v>322.2451680107527</x:v>
      </x:c>
      <x:c r="H455" s="57" t="n">
        <x:f>IF(ISNUMBER(G455),IF(G455=0,"n.a.",F455/G455-1),"n.a.")</x:f>
        <x:v>-0.051169886449201396</x:v>
      </x:c>
      <x:c r="I455" s="58" t="n">
        <x:f>F455/J455</x:f>
        <x:v>0.2819055395155557</x:v>
      </x:c>
      <x:c r="J455" s="56" t="n">
        <x:v>1084.6041545698924</x:v>
      </x:c>
    </x:row>
    <x:row r="456" ht="65" customHeight="1">
      <x:c r="A456" s="61" t="n">
        <x:v>45505</x:v>
      </x:c>
      <x:c r="B456" s="32" t="str">
        <x:v>Extracción de minerales</x:v>
      </x:c>
      <x:c r="C456" s="32" t="str">
        <x:v>Petróleos y minerales</x:v>
      </x:c>
      <x:c r="D456" s="62" t="n">
        <x:v>31</x:v>
      </x:c>
      <x:c r="E456" s="2" t="str">
        <x:v>Completo</x:v>
      </x:c>
      <x:c r="F456" s="56" t="n">
        <x:v>22.694216397849463</x:v>
      </x:c>
      <x:c r="G456" s="56" t="n">
        <x:f>F288</x:f>
        <x:v>23.121170698924733</x:v>
      </x:c>
      <x:c r="H456" s="57" t="n">
        <x:f>IF(ISNUMBER(G456),IF(G456=0,"n.a.",F456/G456-1),"n.a.")</x:f>
        <x:v>-0.01846594649703981</x:v>
      </x:c>
      <x:c r="I456" s="58" t="n">
        <x:f>F456/J456</x:f>
        <x:v>0.13373089779184344</x:v>
      </x:c>
      <x:c r="J456" s="56" t="n">
        <x:v>169.70062096774194</x:v>
      </x:c>
    </x:row>
    <x:row r="457" ht="65" customHeight="1">
      <x:c r="A457" s="61" t="n">
        <x:v>45505</x:v>
      </x:c>
      <x:c r="B457" s="32" t="str">
        <x:v>Extracción de petróleo</x:v>
      </x:c>
      <x:c r="C457" s="32" t="str">
        <x:v>Petróleos y minerales</x:v>
      </x:c>
      <x:c r="D457" s="62" t="n">
        <x:v>31</x:v>
      </x:c>
      <x:c r="E457" s="2" t="str">
        <x:v>Completo</x:v>
      </x:c>
      <x:c r="F457" s="56" t="n">
        <x:v>147.00640456989248</x:v>
      </x:c>
      <x:c r="G457" s="56" t="n">
        <x:f>F289</x:f>
        <x:v>165.5475309139785</x:v>
      </x:c>
      <x:c r="H457" s="57" t="n">
        <x:f>IF(ISNUMBER(G457),IF(G457=0,"n.a.",F457/G457-1),"n.a.")</x:f>
        <x:v>-0.11199880929495909</x:v>
      </x:c>
      <x:c r="I457" s="58" t="n">
        <x:f>F457/J457</x:f>
        <x:v>0.8662691022081566</x:v>
      </x:c>
      <x:c r="J457" s="56" t="n">
        <x:v>169.70062096774194</x:v>
      </x:c>
    </x:row>
    <x:row r="458" ht="65" customHeight="1">
      <x:c r="A458" s="61" t="n">
        <x:v>45536</x:v>
      </x:c>
      <x:c r="B458" s="32" t="str">
        <x:v>Cargas y puertos</x:v>
      </x:c>
      <x:c r="C458" s="32" t="str">
        <x:v>Alimentación, comercios y servicios</x:v>
      </x:c>
      <x:c r="D458" s="62" t="n">
        <x:v>30</x:v>
      </x:c>
      <x:c r="E458" s="2" t="str">
        <x:v>Completo</x:v>
      </x:c>
      <x:c r="F458" s="56" t="n">
        <x:v>9.502590277777777</x:v>
      </x:c>
      <x:c r="G458" s="56" t="n">
        <x:f>F290</x:f>
        <x:v>9.090315277777778</x:v>
      </x:c>
      <x:c r="H458" s="57" t="n">
        <x:f>IF(ISNUMBER(G458),IF(G458=0,"n.a.",F458/G458-1),"n.a.")</x:f>
        <x:v>0.0453532124466407</x:v>
      </x:c>
      <x:c r="I458" s="58" t="n">
        <x:f>F458/J458</x:f>
        <x:v>0.022659389487634168</x:v>
      </x:c>
      <x:c r="J458" s="56" t="n">
        <x:v>419.3665625</x:v>
      </x:c>
    </x:row>
    <x:row r="459" ht="65" customHeight="1">
      <x:c r="A459" s="61" t="n">
        <x:v>45536</x:v>
      </x:c>
      <x:c r="B459" s="32" t="str">
        <x:v>Comercio y servicios: principalmente supermercados y centros comerciales</x:v>
      </x:c>
      <x:c r="C459" s="32" t="str">
        <x:v>Alimentación, comercios y servicios</x:v>
      </x:c>
      <x:c r="D459" s="62" t="n">
        <x:v>30</x:v>
      </x:c>
      <x:c r="E459" s="2" t="str">
        <x:v>Completo</x:v>
      </x:c>
      <x:c r="F459" s="56" t="n">
        <x:v>31.98450972222222</x:v>
      </x:c>
      <x:c r="G459" s="56" t="n">
        <x:f>F291</x:f>
        <x:v>28.15529861111111</x:v>
      </x:c>
      <x:c r="H459" s="57" t="n">
        <x:f>IF(ISNUMBER(G459),IF(G459=0,"n.a.",F459/G459-1),"n.a.")</x:f>
        <x:v>0.1360032143150478</x:v>
      </x:c>
      <x:c r="I459" s="58" t="n">
        <x:f>F459/J459</x:f>
        <x:v>0.07626862173166755</x:v>
      </x:c>
      <x:c r="J459" s="56" t="n">
        <x:v>419.3665625</x:v>
      </x:c>
    </x:row>
    <x:row r="460" ht="65" customHeight="1">
      <x:c r="A460" s="61" t="n">
        <x:v>45536</x:v>
      </x:c>
      <x:c r="B460" s="32" t="str">
        <x:v>Alimentación y artículos de consumo masivo</x:v>
      </x:c>
      <x:c r="C460" s="32" t="str">
        <x:v>Alimentación, comercios y servicios</x:v>
      </x:c>
      <x:c r="D460" s="62" t="n">
        <x:v>30</x:v>
      </x:c>
      <x:c r="E460" s="2" t="str">
        <x:v>Completo</x:v>
      </x:c>
      <x:c r="F460" s="56" t="n">
        <x:v>291.8013208333333</x:v>
      </x:c>
      <x:c r="G460" s="56" t="n">
        <x:f>F292</x:f>
        <x:v>264.2902</x:v>
      </x:c>
      <x:c r="H460" s="57" t="n">
        <x:f>IF(ISNUMBER(G460),IF(G460=0,"n.a.",F460/G460-1),"n.a.")</x:f>
        <x:v>0.10409436609202039</x:v>
      </x:c>
      <x:c r="I460" s="58" t="n">
        <x:f>F460/J460</x:f>
        <x:v>0.6958144662125592</x:v>
      </x:c>
      <x:c r="J460" s="56" t="n">
        <x:v>419.3665625</x:v>
      </x:c>
    </x:row>
    <x:row r="461" ht="65" customHeight="1">
      <x:c r="A461" s="61" t="n">
        <x:v>45536</x:v>
      </x:c>
      <x:c r="B461" s="32" t="str">
        <x:v>Servicios públicos y transporte: agua y transporte en GBA</x:v>
      </x:c>
      <x:c r="C461" s="32" t="str">
        <x:v>Alimentación, comercios y servicios</x:v>
      </x:c>
      <x:c r="D461" s="62" t="n">
        <x:v>30</x:v>
      </x:c>
      <x:c r="E461" s="2" t="str">
        <x:v>Completo</x:v>
      </x:c>
      <x:c r="F461" s="56" t="n">
        <x:v>86.07814166666667</x:v>
      </x:c>
      <x:c r="G461" s="56" t="n">
        <x:f>F293</x:f>
        <x:v>88.62477638888889</x:v>
      </x:c>
      <x:c r="H461" s="57" t="n">
        <x:f>IF(ISNUMBER(G461),IF(G461=0,"n.a.",F461/G461-1),"n.a.")</x:f>
        <x:v>-0.0287350200021661</x:v>
      </x:c>
      <x:c r="I461" s="58" t="n">
        <x:f>F461/J461</x:f>
        <x:v>0.20525752256813912</x:v>
      </x:c>
      <x:c r="J461" s="56" t="n">
        <x:v>419.3665625</x:v>
      </x:c>
    </x:row>
    <x:row r="462" ht="65" customHeight="1">
      <x:c r="A462" s="61" t="n">
        <x:v>45536</x:v>
      </x:c>
      <x:c r="B462" s="32" t="str">
        <x:v>Industria automotriz</x:v>
      </x:c>
      <x:c r="C462" s="32" t="str">
        <x:v>Industrias sin Aluar</x:v>
      </x:c>
      <x:c r="D462" s="62" t="n">
        <x:v>30</x:v>
      </x:c>
      <x:c r="E462" s="2" t="str">
        <x:v>Completo</x:v>
      </x:c>
      <x:c r="F462" s="56" t="n">
        <x:v>41.262163888888885</x:v>
      </x:c>
      <x:c r="G462" s="56" t="n">
        <x:f>F294</x:f>
        <x:v>38.29168611111111</x:v>
      </x:c>
      <x:c r="H462" s="57" t="n">
        <x:f>IF(ISNUMBER(G462),IF(G462=0,"n.a.",F462/G462-1),"n.a.")</x:f>
        <x:v>0.07757500594667799</x:v>
      </x:c>
      <x:c r="I462" s="58" t="n">
        <x:f>F462/J462</x:f>
        <x:v>0.035709638347652665</x:v>
      </x:c>
      <x:c r="J462" s="56" t="n">
        <x:v>1155.490948611111</x:v>
      </x:c>
    </x:row>
    <x:row r="463" ht="65" customHeight="1">
      <x:c r="A463" s="61" t="n">
        <x:v>45536</x:v>
      </x:c>
      <x:c r="B463" s="32" t="str">
        <x:v>Derivados de petróleo</x:v>
      </x:c>
      <x:c r="C463" s="32" t="str">
        <x:v>Industrias sin Aluar</x:v>
      </x:c>
      <x:c r="D463" s="62" t="n">
        <x:v>30</x:v>
      </x:c>
      <x:c r="E463" s="2" t="str">
        <x:v>Completo</x:v>
      </x:c>
      <x:c r="F463" s="56" t="n">
        <x:v>152.1239111111111</x:v>
      </x:c>
      <x:c r="G463" s="56" t="n">
        <x:f>F295</x:f>
        <x:v>154.9575</x:v>
      </x:c>
      <x:c r="H463" s="57" t="n">
        <x:f>IF(ISNUMBER(G463),IF(G463=0,"n.a.",F463/G463-1),"n.a.")</x:f>
        <x:v>-0.01828623260499751</x:v>
      </x:c>
      <x:c r="I463" s="58" t="n">
        <x:f>F463/J463</x:f>
        <x:v>0.13165305301089775</x:v>
      </x:c>
      <x:c r="J463" s="56" t="n">
        <x:v>1155.490948611111</x:v>
      </x:c>
    </x:row>
    <x:row r="464" ht="65" customHeight="1">
      <x:c r="A464" s="61" t="n">
        <x:v>45536</x:v>
      </x:c>
      <x:c r="B464" s="32" t="str">
        <x:v>Construcción: elaboración de cemento y canteras</x:v>
      </x:c>
      <x:c r="C464" s="32" t="str">
        <x:v>Industrias sin Aluar</x:v>
      </x:c>
      <x:c r="D464" s="62" t="n">
        <x:v>30</x:v>
      </x:c>
      <x:c r="E464" s="2" t="str">
        <x:v>Completo</x:v>
      </x:c>
      <x:c r="F464" s="56" t="n">
        <x:v>157.56987222222224</x:v>
      </x:c>
      <x:c r="G464" s="56" t="n">
        <x:f>F296</x:f>
        <x:v>186.83173472222222</x:v>
      </x:c>
      <x:c r="H464" s="57" t="n">
        <x:f>IF(ISNUMBER(G464),IF(G464=0,"n.a.",F464/G464-1),"n.a.")</x:f>
        <x:v>-0.15662147837735352</x:v>
      </x:c>
      <x:c r="I464" s="58" t="n">
        <x:f>F464/J464</x:f>
        <x:v>0.13636616748198652</x:v>
      </x:c>
      <x:c r="J464" s="56" t="n">
        <x:v>1155.490948611111</x:v>
      </x:c>
    </x:row>
    <x:row r="465" ht="65" customHeight="1">
      <x:c r="A465" s="61" t="n">
        <x:v>45536</x:v>
      </x:c>
      <x:c r="B465" s="32" t="str">
        <x:v>Madera y papel</x:v>
      </x:c>
      <x:c r="C465" s="32" t="str">
        <x:v>Industrias sin Aluar</x:v>
      </x:c>
      <x:c r="D465" s="62" t="n">
        <x:v>30</x:v>
      </x:c>
      <x:c r="E465" s="2" t="str">
        <x:v>Completo</x:v>
      </x:c>
      <x:c r="F465" s="56" t="n">
        <x:v>98.49534999999999</x:v>
      </x:c>
      <x:c r="G465" s="56" t="n">
        <x:f>F297</x:f>
        <x:v>110.37756388888889</x:v>
      </x:c>
      <x:c r="H465" s="57" t="n">
        <x:f>IF(ISNUMBER(G465),IF(G465=0,"n.a.",F465/G465-1),"n.a.")</x:f>
        <x:v>-0.1076506263614414</x:v>
      </x:c>
      <x:c r="I465" s="58" t="n">
        <x:f>F465/J465</x:f>
        <x:v>0.08524112639600548</x:v>
      </x:c>
      <x:c r="J465" s="56" t="n">
        <x:v>1155.490948611111</x:v>
      </x:c>
    </x:row>
    <x:row r="466" ht="65" customHeight="1">
      <x:c r="A466" s="61" t="n">
        <x:v>45536</x:v>
      </x:c>
      <x:c r="B466" s="32" t="str">
        <x:v>Productos metálicos no automotores</x:v>
      </x:c>
      <x:c r="C466" s="32" t="str">
        <x:v>Industrias sin Aluar</x:v>
      </x:c>
      <x:c r="D466" s="62" t="n">
        <x:v>30</x:v>
      </x:c>
      <x:c r="E466" s="2" t="str">
        <x:v>Completo</x:v>
      </x:c>
      <x:c r="F466" s="56" t="n">
        <x:v>42.796524999999995</x:v>
      </x:c>
      <x:c r="G466" s="56" t="n">
        <x:f>F298</x:f>
        <x:v>51.78169305555556</x:v>
      </x:c>
      <x:c r="H466" s="57" t="n">
        <x:f>IF(ISNUMBER(G466),IF(G466=0,"n.a.",F466/G466-1),"n.a.")</x:f>
        <x:v>-0.1735201675602911</x:v>
      </x:c>
      <x:c r="I466" s="58" t="n">
        <x:f>F466/J466</x:f>
        <x:v>0.037037525089608885</x:v>
      </x:c>
      <x:c r="J466" s="56" t="n">
        <x:v>1155.490948611111</x:v>
      </x:c>
    </x:row>
    <x:row r="467" ht="65" customHeight="1">
      <x:c r="A467" s="61" t="n">
        <x:v>45536</x:v>
      </x:c>
      <x:c r="B467" s="32" t="str">
        <x:v>Gran siderurgia</x:v>
      </x:c>
      <x:c r="C467" s="32" t="str">
        <x:v>Industrias sin Aluar</x:v>
      </x:c>
      <x:c r="D467" s="62" t="n">
        <x:v>30</x:v>
      </x:c>
      <x:c r="E467" s="2" t="str">
        <x:v>Completo</x:v>
      </x:c>
      <x:c r="F467" s="56" t="n">
        <x:v>277.0638638888889</x:v>
      </x:c>
      <x:c r="G467" s="56" t="n">
        <x:f>F299</x:f>
        <x:v>372.39305972222223</x:v>
      </x:c>
      <x:c r="H467" s="57" t="n">
        <x:f>IF(ISNUMBER(G467),IF(G467=0,"n.a.",F467/G467-1),"n.a.")</x:f>
        <x:v>-0.2559907961347129</x:v>
      </x:c>
      <x:c r="I467" s="58" t="n">
        <x:f>F467/J467</x:f>
        <x:v>0.23978021136549532</x:v>
      </x:c>
      <x:c r="J467" s="56" t="n">
        <x:v>1155.490948611111</x:v>
      </x:c>
    </x:row>
    <x:row r="468" ht="65" customHeight="1">
      <x:c r="A468" s="61" t="n">
        <x:v>45536</x:v>
      </x:c>
      <x:c r="B468" s="32" t="str">
        <x:v>Industria textil</x:v>
      </x:c>
      <x:c r="C468" s="32" t="str">
        <x:v>Industrias sin Aluar</x:v>
      </x:c>
      <x:c r="D468" s="62" t="n">
        <x:v>30</x:v>
      </x:c>
      <x:c r="E468" s="2" t="str">
        <x:v>Completo</x:v>
      </x:c>
      <x:c r="F468" s="56" t="n">
        <x:v>55.916716666666666</x:v>
      </x:c>
      <x:c r="G468" s="56" t="n">
        <x:f>F300</x:f>
        <x:v>65.2964375</x:v>
      </x:c>
      <x:c r="H468" s="57" t="n">
        <x:f>IF(ISNUMBER(G468),IF(G468=0,"n.a.",F468/G468-1),"n.a.")</x:f>
        <x:v>-0.1436482784123304</x:v>
      </x:c>
      <x:c r="I468" s="58" t="n">
        <x:f>F468/J468</x:f>
        <x:v>0.048392171945507684</x:v>
      </x:c>
      <x:c r="J468" s="56" t="n">
        <x:v>1155.490948611111</x:v>
      </x:c>
    </x:row>
    <x:row r="469" ht="65" customHeight="1">
      <x:c r="A469" s="61" t="n">
        <x:v>45536</x:v>
      </x:c>
      <x:c r="B469" s="32" t="str">
        <x:v>Químicas, caucho, plástico y otros minerales no metálicos</x:v>
      </x:c>
      <x:c r="C469" s="32" t="str">
        <x:v>Industrias sin Aluar</x:v>
      </x:c>
      <x:c r="D469" s="62" t="n">
        <x:v>30</x:v>
      </x:c>
      <x:c r="E469" s="2" t="str">
        <x:v>Completo</x:v>
      </x:c>
      <x:c r="F469" s="56" t="n">
        <x:v>330.2625458333333</x:v>
      </x:c>
      <x:c r="G469" s="56" t="n">
        <x:f>F301</x:f>
        <x:v>337.14813055555555</x:v>
      </x:c>
      <x:c r="H469" s="57" t="n">
        <x:f>IF(ISNUMBER(G469),IF(G469=0,"n.a.",F469/G469-1),"n.a.")</x:f>
        <x:v>-0.02042302506876159</x:v>
      </x:c>
      <x:c r="I469" s="58" t="n">
        <x:f>F469/J469</x:f>
        <x:v>0.28582010636284577</x:v>
      </x:c>
      <x:c r="J469" s="56" t="n">
        <x:v>1155.490948611111</x:v>
      </x:c>
    </x:row>
    <x:row r="470" ht="65" customHeight="1">
      <x:c r="A470" s="61" t="n">
        <x:v>45536</x:v>
      </x:c>
      <x:c r="B470" s="32" t="str">
        <x:v>Extracción de minerales</x:v>
      </x:c>
      <x:c r="C470" s="32" t="str">
        <x:v>Petróleos y minerales</x:v>
      </x:c>
      <x:c r="D470" s="62" t="n">
        <x:v>30</x:v>
      </x:c>
      <x:c r="E470" s="2" t="str">
        <x:v>Completo</x:v>
      </x:c>
      <x:c r="F470" s="56" t="n">
        <x:v>23.909290277777778</x:v>
      </x:c>
      <x:c r="G470" s="56" t="n">
        <x:f>F302</x:f>
        <x:v>23.118481944444444</x:v>
      </x:c>
      <x:c r="H470" s="57" t="n">
        <x:f>IF(ISNUMBER(G470),IF(G470=0,"n.a.",F470/G470-1),"n.a.")</x:f>
        <x:v>0.03420675869781209</x:v>
      </x:c>
      <x:c r="I470" s="58" t="n">
        <x:f>F470/J470</x:f>
        <x:v>0.14190007225453063</x:v>
      </x:c>
      <x:c r="J470" s="56" t="n">
        <x:v>168.49385555555554</x:v>
      </x:c>
    </x:row>
    <x:row r="471" ht="65" customHeight="1">
      <x:c r="A471" s="61" t="n">
        <x:v>45536</x:v>
      </x:c>
      <x:c r="B471" s="32" t="str">
        <x:v>Extracción de petróleo</x:v>
      </x:c>
      <x:c r="C471" s="32" t="str">
        <x:v>Petróleos y minerales</x:v>
      </x:c>
      <x:c r="D471" s="62" t="n">
        <x:v>30</x:v>
      </x:c>
      <x:c r="E471" s="2" t="str">
        <x:v>Completo</x:v>
      </x:c>
      <x:c r="F471" s="56" t="n">
        <x:v>144.58456527777778</x:v>
      </x:c>
      <x:c r="G471" s="56" t="n">
        <x:f>F303</x:f>
        <x:v>156.64385555555555</x:v>
      </x:c>
      <x:c r="H471" s="57" t="n">
        <x:f>IF(ISNUMBER(G471),IF(G471=0,"n.a.",F471/G471-1),"n.a.")</x:f>
        <x:v>-0.07698540255542163</x:v>
      </x:c>
      <x:c r="I471" s="58" t="n">
        <x:f>F471/J471</x:f>
        <x:v>0.8580999277454695</x:v>
      </x:c>
      <x:c r="J471" s="56" t="n">
        <x:v>168.49385555555554</x:v>
      </x:c>
    </x:row>
    <x:row r="472" ht="65" customHeight="1">
      <x:c r="A472" s="61" t="n">
        <x:v>45566</x:v>
      </x:c>
      <x:c r="B472" s="32" t="str">
        <x:v>Cargas y puertos</x:v>
      </x:c>
      <x:c r="C472" s="32" t="str">
        <x:v>Alimentación, comercios y servicios</x:v>
      </x:c>
      <x:c r="D472" s="62" t="n">
        <x:v>31</x:v>
      </x:c>
      <x:c r="E472" s="2" t="str">
        <x:v>Completo</x:v>
      </x:c>
      <x:c r="F472" s="56" t="n">
        <x:v>9.916600806451614</x:v>
      </x:c>
      <x:c r="G472" s="56" t="n">
        <x:f>F304</x:f>
        <x:v>9.658463709677418</x:v>
      </x:c>
      <x:c r="H472" s="57" t="n">
        <x:f>IF(ISNUMBER(G472),IF(G472=0,"n.a.",F472/G472-1),"n.a.")</x:f>
        <x:v>0.026726517232295688</x:v>
      </x:c>
      <x:c r="I472" s="58" t="n">
        <x:f>F472/J472</x:f>
        <x:v>0.023912005129454097</x:v>
      </x:c>
      <x:c r="J472" s="56" t="n">
        <x:v>414.7122231182796</x:v>
      </x:c>
    </x:row>
    <x:row r="473" ht="65" customHeight="1">
      <x:c r="A473" s="61" t="n">
        <x:v>45566</x:v>
      </x:c>
      <x:c r="B473" s="32" t="str">
        <x:v>Comercio y servicios: principalmente supermercados y centros comerciales</x:v>
      </x:c>
      <x:c r="C473" s="32" t="str">
        <x:v>Alimentación, comercios y servicios</x:v>
      </x:c>
      <x:c r="D473" s="62" t="n">
        <x:v>31</x:v>
      </x:c>
      <x:c r="E473" s="2" t="str">
        <x:v>Completo</x:v>
      </x:c>
      <x:c r="F473" s="56" t="n">
        <x:v>43.676810483870966</x:v>
      </x:c>
      <x:c r="G473" s="56" t="n">
        <x:f>F305</x:f>
        <x:v>30.093684139784948</x:v>
      </x:c>
      <x:c r="H473" s="57" t="n">
        <x:f>IF(ISNUMBER(G473),IF(G473=0,"n.a.",F473/G473-1),"n.a.")</x:f>
        <x:v>0.45136136476320066</x:v>
      </x:c>
      <x:c r="I473" s="58" t="n">
        <x:f>F473/J473</x:f>
        <x:v>0.1053183582472175</x:v>
      </x:c>
      <x:c r="J473" s="56" t="n">
        <x:v>414.7122231182796</x:v>
      </x:c>
    </x:row>
    <x:row r="474" ht="65" customHeight="1">
      <x:c r="A474" s="61" t="n">
        <x:v>45566</x:v>
      </x:c>
      <x:c r="B474" s="32" t="str">
        <x:v>Alimentación y artículos de consumo masivo</x:v>
      </x:c>
      <x:c r="C474" s="32" t="str">
        <x:v>Alimentación, comercios y servicios</x:v>
      </x:c>
      <x:c r="D474" s="62" t="n">
        <x:v>31</x:v>
      </x:c>
      <x:c r="E474" s="2" t="str">
        <x:v>Completo</x:v>
      </x:c>
      <x:c r="F474" s="56" t="n">
        <x:v>287.3545564516129</x:v>
      </x:c>
      <x:c r="G474" s="56" t="n">
        <x:f>F306</x:f>
        <x:v>251.34576209677414</x:v>
      </x:c>
      <x:c r="H474" s="57" t="n">
        <x:f>IF(ISNUMBER(G474),IF(G474=0,"n.a.",F474/G474-1),"n.a.")</x:f>
        <x:v>0.14326398048030153</x:v>
      </x:c>
      <x:c r="I474" s="58" t="n">
        <x:f>F474/J474</x:f>
        <x:v>0.6929011020966624</x:v>
      </x:c>
      <x:c r="J474" s="56" t="n">
        <x:v>414.7122231182796</x:v>
      </x:c>
    </x:row>
    <x:row r="475" ht="65" customHeight="1">
      <x:c r="A475" s="61" t="n">
        <x:v>45566</x:v>
      </x:c>
      <x:c r="B475" s="32" t="str">
        <x:v>Servicios públicos y transporte: agua y transporte en GBA</x:v>
      </x:c>
      <x:c r="C475" s="32" t="str">
        <x:v>Alimentación, comercios y servicios</x:v>
      </x:c>
      <x:c r="D475" s="62" t="n">
        <x:v>31</x:v>
      </x:c>
      <x:c r="E475" s="2" t="str">
        <x:v>Completo</x:v>
      </x:c>
      <x:c r="F475" s="56" t="n">
        <x:v>73.76425537634408</x:v>
      </x:c>
      <x:c r="G475" s="56" t="n">
        <x:f>F307</x:f>
        <x:v>86.44149731182794</x:v>
      </x:c>
      <x:c r="H475" s="57" t="n">
        <x:f>IF(ISNUMBER(G475),IF(G475=0,"n.a.",F475/G475-1),"n.a.")</x:f>
        <x:v>-0.14665689894000966</x:v>
      </x:c>
      <x:c r="I475" s="58" t="n">
        <x:f>F475/J475</x:f>
        <x:v>0.17786853452666587</x:v>
      </x:c>
      <x:c r="J475" s="56" t="n">
        <x:v>414.7122231182796</x:v>
      </x:c>
    </x:row>
    <x:row r="476" ht="65" customHeight="1">
      <x:c r="A476" s="61" t="n">
        <x:v>45566</x:v>
      </x:c>
      <x:c r="B476" s="32" t="str">
        <x:v>Industria automotriz</x:v>
      </x:c>
      <x:c r="C476" s="32" t="str">
        <x:v>Industrias sin Aluar</x:v>
      </x:c>
      <x:c r="D476" s="62" t="n">
        <x:v>31</x:v>
      </x:c>
      <x:c r="E476" s="2" t="str">
        <x:v>Completo</x:v>
      </x:c>
      <x:c r="F476" s="56" t="n">
        <x:v>42.818172043010755</x:v>
      </x:c>
      <x:c r="G476" s="56" t="n">
        <x:f>F308</x:f>
        <x:v>37.03747311827957</x:v>
      </x:c>
      <x:c r="H476" s="57" t="n">
        <x:f>IF(ISNUMBER(G476),IF(G476=0,"n.a.",F476/G476-1),"n.a.")</x:f>
        <x:v>0.15607703328654354</x:v>
      </x:c>
      <x:c r="I476" s="58" t="n">
        <x:f>F476/J476</x:f>
        <x:v>0.03689213226020126</x:v>
      </x:c>
      <x:c r="J476" s="56" t="n">
        <x:v>1160.6315336021505</x:v>
      </x:c>
    </x:row>
    <x:row r="477" ht="65" customHeight="1">
      <x:c r="A477" s="61" t="n">
        <x:v>45566</x:v>
      </x:c>
      <x:c r="B477" s="32" t="str">
        <x:v>Derivados de petróleo</x:v>
      </x:c>
      <x:c r="C477" s="32" t="str">
        <x:v>Industrias sin Aluar</x:v>
      </x:c>
      <x:c r="D477" s="62" t="n">
        <x:v>31</x:v>
      </x:c>
      <x:c r="E477" s="2" t="str">
        <x:v>Completo</x:v>
      </x:c>
      <x:c r="F477" s="56" t="n">
        <x:v>149.40455913978496</x:v>
      </x:c>
      <x:c r="G477" s="56" t="n">
        <x:f>F309</x:f>
        <x:v>140.4176370967742</x:v>
      </x:c>
      <x:c r="H477" s="57" t="n">
        <x:f>IF(ISNUMBER(G477),IF(G477=0,"n.a.",F477/G477-1),"n.a.")</x:f>
        <x:v>0.06400137638562509</x:v>
      </x:c>
      <x:c r="I477" s="58" t="n">
        <x:f>F477/J477</x:f>
        <x:v>0.12872695150379992</x:v>
      </x:c>
      <x:c r="J477" s="56" t="n">
        <x:v>1160.6315336021505</x:v>
      </x:c>
    </x:row>
    <x:row r="478" ht="65" customHeight="1">
      <x:c r="A478" s="61" t="n">
        <x:v>45566</x:v>
      </x:c>
      <x:c r="B478" s="32" t="str">
        <x:v>Construcción: elaboración de cemento y canteras</x:v>
      </x:c>
      <x:c r="C478" s="32" t="str">
        <x:v>Industrias sin Aluar</x:v>
      </x:c>
      <x:c r="D478" s="62" t="n">
        <x:v>31</x:v>
      </x:c>
      <x:c r="E478" s="2" t="str">
        <x:v>Completo</x:v>
      </x:c>
      <x:c r="F478" s="56" t="n">
        <x:v>172.92159543010752</x:v>
      </x:c>
      <x:c r="G478" s="56" t="n">
        <x:f>F310</x:f>
        <x:v>188.02799731182796</x:v>
      </x:c>
      <x:c r="H478" s="57" t="n">
        <x:f>IF(ISNUMBER(G478),IF(G478=0,"n.a.",F478/G478-1),"n.a.")</x:f>
        <x:v>-0.08034123693115658</x:v>
      </x:c>
      <x:c r="I478" s="58" t="n">
        <x:f>F478/J478</x:f>
        <x:v>0.14898922735058379</x:v>
      </x:c>
      <x:c r="J478" s="56" t="n">
        <x:v>1160.6315336021505</x:v>
      </x:c>
    </x:row>
    <x:row r="479" ht="65" customHeight="1">
      <x:c r="A479" s="61" t="n">
        <x:v>45566</x:v>
      </x:c>
      <x:c r="B479" s="32" t="str">
        <x:v>Madera y papel</x:v>
      </x:c>
      <x:c r="C479" s="32" t="str">
        <x:v>Industrias sin Aluar</x:v>
      </x:c>
      <x:c r="D479" s="62" t="n">
        <x:v>31</x:v>
      </x:c>
      <x:c r="E479" s="2" t="str">
        <x:v>Completo</x:v>
      </x:c>
      <x:c r="F479" s="56" t="n">
        <x:v>98.67534005376345</x:v>
      </x:c>
      <x:c r="G479" s="56" t="n">
        <x:f>F311</x:f>
        <x:v>106.23979569892474</x:v>
      </x:c>
      <x:c r="H479" s="57" t="n">
        <x:f>IF(ISNUMBER(G479),IF(G479=0,"n.a.",F479/G479-1),"n.a.")</x:f>
        <x:v>-0.07120171490726845</x:v>
      </x:c>
      <x:c r="I479" s="58" t="n">
        <x:f>F479/J479</x:f>
        <x:v>0.08501866199302154</x:v>
      </x:c>
      <x:c r="J479" s="56" t="n">
        <x:v>1160.6315336021505</x:v>
      </x:c>
    </x:row>
    <x:row r="480" ht="65" customHeight="1">
      <x:c r="A480" s="61" t="n">
        <x:v>45566</x:v>
      </x:c>
      <x:c r="B480" s="32" t="str">
        <x:v>Productos metálicos no automotores</x:v>
      </x:c>
      <x:c r="C480" s="32" t="str">
        <x:v>Industrias sin Aluar</x:v>
      </x:c>
      <x:c r="D480" s="62" t="n">
        <x:v>31</x:v>
      </x:c>
      <x:c r="E480" s="2" t="str">
        <x:v>Completo</x:v>
      </x:c>
      <x:c r="F480" s="56" t="n">
        <x:v>43.676311827956994</x:v>
      </x:c>
      <x:c r="G480" s="56" t="n">
        <x:f>F312</x:f>
        <x:v>50.29255510752688</x:v>
      </x:c>
      <x:c r="H480" s="57" t="n">
        <x:f>IF(ISNUMBER(G480),IF(G480=0,"n.a.",F480/G480-1),"n.a.")</x:f>
        <x:v>-0.1315551231275519</x:v>
      </x:c>
      <x:c r="I480" s="58" t="n">
        <x:f>F480/J480</x:f>
        <x:v>0.03763150540327183</x:v>
      </x:c>
      <x:c r="J480" s="56" t="n">
        <x:v>1160.6315336021505</x:v>
      </x:c>
    </x:row>
    <x:row r="481" ht="65" customHeight="1">
      <x:c r="A481" s="61" t="n">
        <x:v>45566</x:v>
      </x:c>
      <x:c r="B481" s="32" t="str">
        <x:v>Gran siderurgia</x:v>
      </x:c>
      <x:c r="C481" s="32" t="str">
        <x:v>Industrias sin Aluar</x:v>
      </x:c>
      <x:c r="D481" s="62" t="n">
        <x:v>31</x:v>
      </x:c>
      <x:c r="E481" s="2" t="str">
        <x:v>Completo</x:v>
      </x:c>
      <x:c r="F481" s="56" t="n">
        <x:v>295.38708467741935</x:v>
      </x:c>
      <x:c r="G481" s="56" t="n">
        <x:f>F313</x:f>
        <x:v>373.34215860215056</x:v>
      </x:c>
      <x:c r="H481" s="57" t="n">
        <x:f>IF(ISNUMBER(G481),IF(G481=0,"n.a.",F481/G481-1),"n.a.")</x:f>
        <x:v>-0.20880329780222728</x:v>
      </x:c>
      <x:c r="I481" s="58" t="n">
        <x:f>F481/J481</x:f>
        <x:v>0.25450547923737027</x:v>
      </x:c>
      <x:c r="J481" s="56" t="n">
        <x:v>1160.6315336021505</x:v>
      </x:c>
    </x:row>
    <x:row r="482" ht="65" customHeight="1">
      <x:c r="A482" s="61" t="n">
        <x:v>45566</x:v>
      </x:c>
      <x:c r="B482" s="32" t="str">
        <x:v>Industria textil</x:v>
      </x:c>
      <x:c r="C482" s="32" t="str">
        <x:v>Industrias sin Aluar</x:v>
      </x:c>
      <x:c r="D482" s="62" t="n">
        <x:v>31</x:v>
      </x:c>
      <x:c r="E482" s="2" t="str">
        <x:v>Completo</x:v>
      </x:c>
      <x:c r="F482" s="56" t="n">
        <x:v>58.80636155913979</x:v>
      </x:c>
      <x:c r="G482" s="56" t="n">
        <x:f>F314</x:f>
        <x:v>62.87235080645161</x:v>
      </x:c>
      <x:c r="H482" s="57" t="n">
        <x:f>IF(ISNUMBER(G482),IF(G482=0,"n.a.",F482/G482-1),"n.a.")</x:f>
        <x:v>-0.06467054587840526</x:v>
      </x:c>
      <x:c r="I482" s="58" t="n">
        <x:f>F482/J482</x:f>
        <x:v>0.05066755456542494</x:v>
      </x:c>
      <x:c r="J482" s="56" t="n">
        <x:v>1160.6315336021505</x:v>
      </x:c>
    </x:row>
    <x:row r="483" ht="65" customHeight="1">
      <x:c r="A483" s="61" t="n">
        <x:v>45566</x:v>
      </x:c>
      <x:c r="B483" s="32" t="str">
        <x:v>Químicas, caucho, plástico y otros minerales no metálicos</x:v>
      </x:c>
      <x:c r="C483" s="32" t="str">
        <x:v>Industrias sin Aluar</x:v>
      </x:c>
      <x:c r="D483" s="62" t="n">
        <x:v>31</x:v>
      </x:c>
      <x:c r="E483" s="2" t="str">
        <x:v>Completo</x:v>
      </x:c>
      <x:c r="F483" s="56" t="n">
        <x:v>298.94210887096773</x:v>
      </x:c>
      <x:c r="G483" s="56" t="n">
        <x:f>F315</x:f>
        <x:v>343.069125</x:v>
      </x:c>
      <x:c r="H483" s="57" t="n">
        <x:f>IF(ISNUMBER(G483),IF(G483=0,"n.a.",F483/G483-1),"n.a.")</x:f>
        <x:v>-0.12862427106791452</x:v>
      </x:c>
      <x:c r="I483" s="58" t="n">
        <x:f>F483/J483</x:f>
        <x:v>0.2575684876863265</x:v>
      </x:c>
      <x:c r="J483" s="56" t="n">
        <x:v>1160.6315336021505</x:v>
      </x:c>
    </x:row>
    <x:row r="484" ht="65" customHeight="1">
      <x:c r="A484" s="61" t="n">
        <x:v>45566</x:v>
      </x:c>
      <x:c r="B484" s="32" t="str">
        <x:v>Extracción de minerales</x:v>
      </x:c>
      <x:c r="C484" s="32" t="str">
        <x:v>Petróleos y minerales</x:v>
      </x:c>
      <x:c r="D484" s="62" t="n">
        <x:v>31</x:v>
      </x:c>
      <x:c r="E484" s="2" t="str">
        <x:v>Completo</x:v>
      </x:c>
      <x:c r="F484" s="56" t="n">
        <x:v>24.063864247311827</x:v>
      </x:c>
      <x:c r="G484" s="56" t="n">
        <x:f>F316</x:f>
        <x:v>22.651575268817204</x:v>
      </x:c>
      <x:c r="H484" s="57" t="n">
        <x:f>IF(ISNUMBER(G484),IF(G484=0,"n.a.",F484/G484-1),"n.a.")</x:f>
        <x:v>0.062348378059110976</x:v>
      </x:c>
      <x:c r="I484" s="58" t="n">
        <x:f>F484/J484</x:f>
        <x:v>0.13840380834764862</x:v>
      </x:c>
      <x:c r="J484" s="56" t="n">
        <x:v>173.86706720430107</x:v>
      </x:c>
    </x:row>
    <x:row r="485" ht="65" customHeight="1">
      <x:c r="A485" s="61" t="n">
        <x:v>45566</x:v>
      </x:c>
      <x:c r="B485" s="32" t="str">
        <x:v>Extracción de petróleo</x:v>
      </x:c>
      <x:c r="C485" s="32" t="str">
        <x:v>Petróleos y minerales</x:v>
      </x:c>
      <x:c r="D485" s="62" t="n">
        <x:v>31</x:v>
      </x:c>
      <x:c r="E485" s="2" t="str">
        <x:v>Completo</x:v>
      </x:c>
      <x:c r="F485" s="56" t="n">
        <x:v>149.80320295698925</x:v>
      </x:c>
      <x:c r="G485" s="56" t="n">
        <x:f>F317</x:f>
        <x:v>152.40779704301076</x:v>
      </x:c>
      <x:c r="H485" s="57" t="n">
        <x:f>IF(ISNUMBER(G485),IF(G485=0,"n.a.",F485/G485-1),"n.a.")</x:f>
        <x:v>-0.01708963804054242</x:v>
      </x:c>
      <x:c r="I485" s="58" t="n">
        <x:f>F485/J485</x:f>
        <x:v>0.8615961916523515</x:v>
      </x:c>
      <x:c r="J485" s="56" t="n">
        <x:v>173.86706720430107</x:v>
      </x:c>
    </x:row>
    <x:row r="486" ht="65" customHeight="1">
      <x:c r="A486" s="61" t="n">
        <x:v>45597</x:v>
      </x:c>
      <x:c r="B486" s="32" t="str">
        <x:v>Cargas y puertos</x:v>
      </x:c>
      <x:c r="C486" s="32" t="str">
        <x:v>Alimentación, comercios y servicios</x:v>
      </x:c>
      <x:c r="D486" s="62" t="n">
        <x:v>30</x:v>
      </x:c>
      <x:c r="E486" s="2" t="str">
        <x:v>Completo</x:v>
      </x:c>
      <x:c r="F486" s="56" t="n">
        <x:v>10.34502638888889</x:v>
      </x:c>
      <x:c r="G486" s="56" t="n">
        <x:f>F318</x:f>
        <x:v>10.10809861111111</x:v>
      </x:c>
      <x:c r="H486" s="57" t="n">
        <x:f>IF(ISNUMBER(G486),IF(G486=0,"n.a.",F486/G486-1),"n.a.")</x:f>
        <x:v>0.02343940110728071</x:v>
      </x:c>
      <x:c r="I486" s="58" t="n">
        <x:f>F486/J486</x:f>
        <x:v>0.024210387588451194</x:v>
      </x:c>
      <x:c r="J486" s="56" t="n">
        <x:v>427.29701666666665</x:v>
      </x:c>
    </x:row>
    <x:row r="487" ht="65" customHeight="1">
      <x:c r="A487" s="61" t="n">
        <x:v>45597</x:v>
      </x:c>
      <x:c r="B487" s="32" t="str">
        <x:v>Comercio y servicios: principalmente supermercados y centros comerciales</x:v>
      </x:c>
      <x:c r="C487" s="32" t="str">
        <x:v>Alimentación, comercios y servicios</x:v>
      </x:c>
      <x:c r="D487" s="62" t="n">
        <x:v>30</x:v>
      </x:c>
      <x:c r="E487" s="2" t="str">
        <x:v>Completo</x:v>
      </x:c>
      <x:c r="F487" s="56" t="n">
        <x:v>48.0542125</x:v>
      </x:c>
      <x:c r="G487" s="56" t="n">
        <x:f>F319</x:f>
        <x:v>36.82725</x:v>
      </x:c>
      <x:c r="H487" s="57" t="n">
        <x:f>IF(ISNUMBER(G487),IF(G487=0,"n.a.",F487/G487-1),"n.a.")</x:f>
        <x:v>0.30485476108044995</x:v>
      </x:c>
      <x:c r="I487" s="58" t="n">
        <x:f>F487/J487</x:f>
        <x:v>0.11246091272733358</x:v>
      </x:c>
      <x:c r="J487" s="56" t="n">
        <x:v>427.29701666666665</x:v>
      </x:c>
    </x:row>
    <x:row r="488" ht="65" customHeight="1">
      <x:c r="A488" s="61" t="n">
        <x:v>45597</x:v>
      </x:c>
      <x:c r="B488" s="32" t="str">
        <x:v>Alimentación y artículos de consumo masivo</x:v>
      </x:c>
      <x:c r="C488" s="32" t="str">
        <x:v>Alimentación, comercios y servicios</x:v>
      </x:c>
      <x:c r="D488" s="62" t="n">
        <x:v>30</x:v>
      </x:c>
      <x:c r="E488" s="2" t="str">
        <x:v>Completo</x:v>
      </x:c>
      <x:c r="F488" s="56" t="n">
        <x:v>294.1251888888889</x:v>
      </x:c>
      <x:c r="G488" s="56" t="n">
        <x:f>F320</x:f>
        <x:v>261.1768861111111</x:v>
      </x:c>
      <x:c r="H488" s="57" t="n">
        <x:f>IF(ISNUMBER(G488),IF(G488=0,"n.a.",F488/G488-1),"n.a.")</x:f>
        <x:v>0.12615321083107167</x:v>
      </x:c>
      <x:c r="I488" s="58" t="n">
        <x:f>F488/J488</x:f>
        <x:v>0.6883389712929712</x:v>
      </x:c>
      <x:c r="J488" s="56" t="n">
        <x:v>427.29701666666665</x:v>
      </x:c>
    </x:row>
    <x:row r="489" ht="65" customHeight="1">
      <x:c r="A489" s="61" t="n">
        <x:v>45597</x:v>
      </x:c>
      <x:c r="B489" s="32" t="str">
        <x:v>Servicios públicos y transporte: agua y transporte en GBA</x:v>
      </x:c>
      <x:c r="C489" s="32" t="str">
        <x:v>Alimentación, comercios y servicios</x:v>
      </x:c>
      <x:c r="D489" s="62" t="n">
        <x:v>30</x:v>
      </x:c>
      <x:c r="E489" s="2" t="str">
        <x:v>Completo</x:v>
      </x:c>
      <x:c r="F489" s="56" t="n">
        <x:v>74.77258888888888</x:v>
      </x:c>
      <x:c r="G489" s="56" t="n">
        <x:f>F321</x:f>
        <x:v>87.20690555555555</x:v>
      </x:c>
      <x:c r="H489" s="57" t="n">
        <x:f>IF(ISNUMBER(G489),IF(G489=0,"n.a.",F489/G489-1),"n.a.")</x:f>
        <x:v>-0.1425840830775189</x:v>
      </x:c>
      <x:c r="I489" s="58" t="n">
        <x:f>F489/J489</x:f>
        <x:v>0.17498972839124405</x:v>
      </x:c>
      <x:c r="J489" s="56" t="n">
        <x:v>427.29701666666665</x:v>
      </x:c>
    </x:row>
    <x:row r="490" ht="65" customHeight="1">
      <x:c r="A490" s="61" t="n">
        <x:v>45597</x:v>
      </x:c>
      <x:c r="B490" s="32" t="str">
        <x:v>Industria automotriz</x:v>
      </x:c>
      <x:c r="C490" s="32" t="str">
        <x:v>Industrias sin Aluar</x:v>
      </x:c>
      <x:c r="D490" s="62" t="n">
        <x:v>30</x:v>
      </x:c>
      <x:c r="E490" s="2" t="str">
        <x:v>Completo</x:v>
      </x:c>
      <x:c r="F490" s="56" t="n">
        <x:v>45.94604583333333</x:v>
      </x:c>
      <x:c r="G490" s="56" t="n">
        <x:f>F322</x:f>
        <x:v>46.246047222222224</x:v>
      </x:c>
      <x:c r="H490" s="57" t="n">
        <x:f>IF(ISNUMBER(G490),IF(G490=0,"n.a.",F490/G490-1),"n.a.")</x:f>
        <x:v>-0.006487070937053807</x:v>
      </x:c>
      <x:c r="I490" s="58" t="n">
        <x:f>F490/J490</x:f>
        <x:v>0.0383181627462201</x:v>
      </x:c>
      <x:c r="J490" s="56" t="n">
        <x:v>1199.067036111111</x:v>
      </x:c>
    </x:row>
    <x:row r="491" ht="65" customHeight="1">
      <x:c r="A491" s="61" t="n">
        <x:v>45597</x:v>
      </x:c>
      <x:c r="B491" s="32" t="str">
        <x:v>Derivados de petróleo</x:v>
      </x:c>
      <x:c r="C491" s="32" t="str">
        <x:v>Industrias sin Aluar</x:v>
      </x:c>
      <x:c r="D491" s="62" t="n">
        <x:v>30</x:v>
      </x:c>
      <x:c r="E491" s="2" t="str">
        <x:v>Completo</x:v>
      </x:c>
      <x:c r="F491" s="56" t="n">
        <x:v>165.5309777777778</x:v>
      </x:c>
      <x:c r="G491" s="56" t="n">
        <x:f>F323</x:f>
        <x:v>166.46679444444445</x:v>
      </x:c>
      <x:c r="H491" s="57" t="n">
        <x:f>IF(ISNUMBER(G491),IF(G491=0,"n.a.",F491/G491-1),"n.a.")</x:f>
        <x:v>-0.005621641660066734</x:v>
      </x:c>
      <x:c r="I491" s="58" t="n">
        <x:f>F491/J491</x:f>
        <x:v>0.1380498110553003</x:v>
      </x:c>
      <x:c r="J491" s="56" t="n">
        <x:v>1199.067036111111</x:v>
      </x:c>
    </x:row>
    <x:row r="492" ht="65" customHeight="1">
      <x:c r="A492" s="61" t="n">
        <x:v>45597</x:v>
      </x:c>
      <x:c r="B492" s="32" t="str">
        <x:v>Construcción: elaboración de cemento y canteras</x:v>
      </x:c>
      <x:c r="C492" s="32" t="str">
        <x:v>Industrias sin Aluar</x:v>
      </x:c>
      <x:c r="D492" s="62" t="n">
        <x:v>30</x:v>
      </x:c>
      <x:c r="E492" s="2" t="str">
        <x:v>Completo</x:v>
      </x:c>
      <x:c r="F492" s="56" t="n">
        <x:v>163.7979222222222</x:v>
      </x:c>
      <x:c r="G492" s="56" t="n">
        <x:f>F324</x:f>
        <x:v>181.767525</x:v>
      </x:c>
      <x:c r="H492" s="57" t="n">
        <x:f>IF(ISNUMBER(G492),IF(G492=0,"n.a.",F492/G492-1),"n.a.")</x:f>
        <x:v>-0.09886035900955237</x:v>
      </x:c>
      <x:c r="I492" s="58" t="n">
        <x:f>F492/J492</x:f>
        <x:v>0.13660447438657128</x:v>
      </x:c>
      <x:c r="J492" s="56" t="n">
        <x:v>1199.067036111111</x:v>
      </x:c>
    </x:row>
    <x:row r="493" ht="65" customHeight="1">
      <x:c r="A493" s="61" t="n">
        <x:v>45597</x:v>
      </x:c>
      <x:c r="B493" s="32" t="str">
        <x:v>Madera y papel</x:v>
      </x:c>
      <x:c r="C493" s="32" t="str">
        <x:v>Industrias sin Aluar</x:v>
      </x:c>
      <x:c r="D493" s="62" t="n">
        <x:v>30</x:v>
      </x:c>
      <x:c r="E493" s="2" t="str">
        <x:v>Completo</x:v>
      </x:c>
      <x:c r="F493" s="56" t="n">
        <x:v>108.59955416666666</x:v>
      </x:c>
      <x:c r="G493" s="56" t="n">
        <x:f>F325</x:f>
        <x:v>111.24213333333334</x:v>
      </x:c>
      <x:c r="H493" s="57" t="n">
        <x:f>IF(ISNUMBER(G493),IF(G493=0,"n.a.",F493/G493-1),"n.a.")</x:f>
        <x:v>-0.023755200367726492</x:v>
      </x:c>
      <x:c r="I493" s="58" t="n">
        <x:f>F493/J493</x:f>
        <x:v>0.0905700439559105</x:v>
      </x:c>
      <x:c r="J493" s="56" t="n">
        <x:v>1199.067036111111</x:v>
      </x:c>
    </x:row>
    <x:row r="494" ht="65" customHeight="1">
      <x:c r="A494" s="61" t="n">
        <x:v>45597</x:v>
      </x:c>
      <x:c r="B494" s="32" t="str">
        <x:v>Productos metálicos no automotores</x:v>
      </x:c>
      <x:c r="C494" s="32" t="str">
        <x:v>Industrias sin Aluar</x:v>
      </x:c>
      <x:c r="D494" s="62" t="n">
        <x:v>30</x:v>
      </x:c>
      <x:c r="E494" s="2" t="str">
        <x:v>Completo</x:v>
      </x:c>
      <x:c r="F494" s="56" t="n">
        <x:v>44.630475000000004</x:v>
      </x:c>
      <x:c r="G494" s="56" t="n">
        <x:f>F326</x:f>
        <x:v>49.571956944444445</x:v>
      </x:c>
      <x:c r="H494" s="57" t="n">
        <x:f>IF(ISNUMBER(G494),IF(G494=0,"n.a.",F494/G494-1),"n.a.")</x:f>
        <x:v>-0.09968301130379797</x:v>
      </x:c>
      <x:c r="I494" s="58" t="n">
        <x:f>F494/J494</x:f>
        <x:v>0.037221000707974045</x:v>
      </x:c>
      <x:c r="J494" s="56" t="n">
        <x:v>1199.067036111111</x:v>
      </x:c>
    </x:row>
    <x:row r="495" ht="65" customHeight="1">
      <x:c r="A495" s="61" t="n">
        <x:v>45597</x:v>
      </x:c>
      <x:c r="B495" s="32" t="str">
        <x:v>Gran siderurgia</x:v>
      </x:c>
      <x:c r="C495" s="32" t="str">
        <x:v>Industrias sin Aluar</x:v>
      </x:c>
      <x:c r="D495" s="62" t="n">
        <x:v>30</x:v>
      </x:c>
      <x:c r="E495" s="2" t="str">
        <x:v>Completo</x:v>
      </x:c>
      <x:c r="F495" s="56" t="n">
        <x:v>292.23266944444447</x:v>
      </x:c>
      <x:c r="G495" s="56" t="n">
        <x:f>F327</x:f>
        <x:v>351.0860930555555</x:v>
      </x:c>
      <x:c r="H495" s="57" t="n">
        <x:f>IF(ISNUMBER(G495),IF(G495=0,"n.a.",F495/G495-1),"n.a.")</x:f>
        <x:v>-0.16763245476031474</x:v>
      </x:c>
      <x:c r="I495" s="58" t="n">
        <x:f>F495/J495</x:f>
        <x:v>0.24371670694261738</x:v>
      </x:c>
      <x:c r="J495" s="56" t="n">
        <x:v>1199.067036111111</x:v>
      </x:c>
    </x:row>
    <x:row r="496" ht="65" customHeight="1">
      <x:c r="A496" s="61" t="n">
        <x:v>45597</x:v>
      </x:c>
      <x:c r="B496" s="32" t="str">
        <x:v>Industria textil</x:v>
      </x:c>
      <x:c r="C496" s="32" t="str">
        <x:v>Industrias sin Aluar</x:v>
      </x:c>
      <x:c r="D496" s="62" t="n">
        <x:v>30</x:v>
      </x:c>
      <x:c r="E496" s="2" t="str">
        <x:v>Completo</x:v>
      </x:c>
      <x:c r="F496" s="56" t="n">
        <x:v>60.52300138888889</x:v>
      </x:c>
      <x:c r="G496" s="56" t="n">
        <x:f>F328</x:f>
        <x:v>66.27253750000001</x:v>
      </x:c>
      <x:c r="H496" s="57" t="n">
        <x:f>IF(ISNUMBER(G496),IF(G496=0,"n.a.",F496/G496-1),"n.a.")</x:f>
        <x:v>-0.08675593734601028</x:v>
      </x:c>
      <x:c r="I496" s="58" t="n">
        <x:f>F496/J496</x:f>
        <x:v>0.050475077344450114</x:v>
      </x:c>
      <x:c r="J496" s="56" t="n">
        <x:v>1199.067036111111</x:v>
      </x:c>
    </x:row>
    <x:row r="497" ht="65" customHeight="1">
      <x:c r="A497" s="61" t="n">
        <x:v>45597</x:v>
      </x:c>
      <x:c r="B497" s="32" t="str">
        <x:v>Químicas, caucho, plástico y otros minerales no metálicos</x:v>
      </x:c>
      <x:c r="C497" s="32" t="str">
        <x:v>Industrias sin Aluar</x:v>
      </x:c>
      <x:c r="D497" s="62" t="n">
        <x:v>30</x:v>
      </x:c>
      <x:c r="E497" s="2" t="str">
        <x:v>Completo</x:v>
      </x:c>
      <x:c r="F497" s="56" t="n">
        <x:v>317.8063902777778</x:v>
      </x:c>
      <x:c r="G497" s="56" t="n">
        <x:f>F329</x:f>
        <x:v>332.10415555555556</x:v>
      </x:c>
      <x:c r="H497" s="57" t="n">
        <x:f>IF(ISNUMBER(G497),IF(G497=0,"n.a.",F497/G497-1),"n.a.")</x:f>
        <x:v>-0.043052051709079</x:v>
      </x:c>
      <x:c r="I497" s="58" t="n">
        <x:f>F497/J497</x:f>
        <x:v>0.26504472286095637</x:v>
      </x:c>
      <x:c r="J497" s="56" t="n">
        <x:v>1199.067036111111</x:v>
      </x:c>
    </x:row>
    <x:row r="498" ht="65" customHeight="1">
      <x:c r="A498" s="61" t="n">
        <x:v>45597</x:v>
      </x:c>
      <x:c r="B498" s="32" t="str">
        <x:v>Extracción de minerales</x:v>
      </x:c>
      <x:c r="C498" s="32" t="str">
        <x:v>Petróleos y minerales</x:v>
      </x:c>
      <x:c r="D498" s="62" t="n">
        <x:v>30</x:v>
      </x:c>
      <x:c r="E498" s="2" t="str">
        <x:v>Completo</x:v>
      </x:c>
      <x:c r="F498" s="56" t="n">
        <x:v>24.36278472222222</x:v>
      </x:c>
      <x:c r="G498" s="56" t="n">
        <x:f>F330</x:f>
        <x:v>22.9203875</x:v>
      </x:c>
      <x:c r="H498" s="57" t="n">
        <x:f>IF(ISNUMBER(G498),IF(G498=0,"n.a.",F498/G498-1),"n.a.")</x:f>
        <x:v>0.06293075203123077</x:v>
      </x:c>
      <x:c r="I498" s="58" t="n">
        <x:f>F498/J498</x:f>
        <x:v>0.1427708885608386</x:v>
      </x:c>
      <x:c r="J498" s="56" t="n">
        <x:v>170.64252361111113</x:v>
      </x:c>
    </x:row>
    <x:row r="499" ht="65" customHeight="1">
      <x:c r="A499" s="61" t="n">
        <x:v>45597</x:v>
      </x:c>
      <x:c r="B499" s="32" t="str">
        <x:v>Extracción de petróleo</x:v>
      </x:c>
      <x:c r="C499" s="32" t="str">
        <x:v>Petróleos y minerales</x:v>
      </x:c>
      <x:c r="D499" s="62" t="n">
        <x:v>30</x:v>
      </x:c>
      <x:c r="E499" s="2" t="str">
        <x:v>Completo</x:v>
      </x:c>
      <x:c r="F499" s="56" t="n">
        <x:v>146.2797388888889</x:v>
      </x:c>
      <x:c r="G499" s="56" t="n">
        <x:f>F331</x:f>
        <x:v>143.01479027777776</x:v>
      </x:c>
      <x:c r="H499" s="57" t="n">
        <x:f>IF(ISNUMBER(G499),IF(G499=0,"n.a.",F499/G499-1),"n.a.")</x:f>
        <x:v>0.02282944725345959</x:v>
      </x:c>
      <x:c r="I499" s="58" t="n">
        <x:f>F499/J499</x:f>
        <x:v>0.8572291114391613</x:v>
      </x:c>
      <x:c r="J499" s="56" t="n">
        <x:v>170.64252361111113</x:v>
      </x:c>
    </x:row>
    <x:row r="500" ht="65" customHeight="1">
      <x:c r="A500" s="61" t="n">
        <x:v>45627</x:v>
      </x:c>
      <x:c r="B500" s="32" t="str">
        <x:v>Cargas y puertos</x:v>
      </x:c>
      <x:c r="C500" s="32" t="str">
        <x:v>Alimentación, comercios y servicios</x:v>
      </x:c>
      <x:c r="D500" s="62" t="n">
        <x:v>31</x:v>
      </x:c>
      <x:c r="E500" s="2" t="str">
        <x:v>Completo</x:v>
      </x:c>
      <x:c r="F500" s="56" t="n">
        <x:v>10.494112903225806</x:v>
      </x:c>
      <x:c r="G500" s="56" t="n">
        <x:f>F332</x:f>
        <x:v>10.850903225806452</x:v>
      </x:c>
      <x:c r="H500" s="57" t="n">
        <x:f>IF(ISNUMBER(G500),IF(G500=0,"n.a.",F500/G500-1),"n.a.")</x:f>
        <x:v>-0.03288116345302006</x:v>
      </x:c>
      <x:c r="I500" s="58" t="n">
        <x:f>F500/J500</x:f>
        <x:v>0.026228023546789783</x:v>
      </x:c>
      <x:c r="J500" s="56" t="n">
        <x:v>400.1107016129032</x:v>
      </x:c>
    </x:row>
    <x:row r="501" ht="65" customHeight="1">
      <x:c r="A501" s="61" t="n">
        <x:v>45627</x:v>
      </x:c>
      <x:c r="B501" s="32" t="str">
        <x:v>Comercio y servicios: principalmente supermercados y centros comerciales</x:v>
      </x:c>
      <x:c r="C501" s="32" t="str">
        <x:v>Alimentación, comercios y servicios</x:v>
      </x:c>
      <x:c r="D501" s="62" t="n">
        <x:v>31</x:v>
      </x:c>
      <x:c r="E501" s="2" t="str">
        <x:v>Completo</x:v>
      </x:c>
      <x:c r="F501" s="56" t="n">
        <x:v>49.697990591397854</x:v>
      </x:c>
      <x:c r="G501" s="56" t="n">
        <x:f>F333</x:f>
        <x:v>39.50687903225806</x:v>
      </x:c>
      <x:c r="H501" s="57" t="n">
        <x:f>IF(ISNUMBER(G501),IF(G501=0,"n.a.",F501/G501-1),"n.a.")</x:f>
        <x:v>0.2579579002132406</x:v>
      </x:c>
      <x:c r="I501" s="58" t="n">
        <x:f>F501/J501</x:f>
        <x:v>0.12421060069390341</x:v>
      </x:c>
      <x:c r="J501" s="56" t="n">
        <x:v>400.1107016129032</x:v>
      </x:c>
    </x:row>
    <x:row r="502" ht="65" customHeight="1">
      <x:c r="A502" s="61" t="n">
        <x:v>45627</x:v>
      </x:c>
      <x:c r="B502" s="32" t="str">
        <x:v>Alimentación y artículos de consumo masivo</x:v>
      </x:c>
      <x:c r="C502" s="32" t="str">
        <x:v>Alimentación, comercios y servicios</x:v>
      </x:c>
      <x:c r="D502" s="62" t="n">
        <x:v>31</x:v>
      </x:c>
      <x:c r="E502" s="2" t="str">
        <x:v>Completo</x:v>
      </x:c>
      <x:c r="F502" s="56" t="n">
        <x:v>265.6165067204301</x:v>
      </x:c>
      <x:c r="G502" s="56" t="n">
        <x:f>F334</x:f>
        <x:v>253.93697983870965</x:v>
      </x:c>
      <x:c r="H502" s="57" t="n">
        <x:f>IF(ISNUMBER(G502),IF(G502=0,"n.a.",F502/G502-1),"n.a.")</x:f>
        <x:v>0.045993800860114176</x:v>
      </x:c>
      <x:c r="I502" s="58" t="n">
        <x:f>F502/J502</x:f>
        <x:v>0.6638575415496065</x:v>
      </x:c>
      <x:c r="J502" s="56" t="n">
        <x:v>400.1107016129032</x:v>
      </x:c>
    </x:row>
    <x:row r="503" ht="65" customHeight="1">
      <x:c r="A503" s="61" t="n">
        <x:v>45627</x:v>
      </x:c>
      <x:c r="B503" s="32" t="str">
        <x:v>Servicios públicos y transporte: agua y transporte en GBA</x:v>
      </x:c>
      <x:c r="C503" s="32" t="str">
        <x:v>Alimentación, comercios y servicios</x:v>
      </x:c>
      <x:c r="D503" s="62" t="n">
        <x:v>31</x:v>
      </x:c>
      <x:c r="E503" s="2" t="str">
        <x:v>Completo</x:v>
      </x:c>
      <x:c r="F503" s="56" t="n">
        <x:v>74.30209139784945</x:v>
      </x:c>
      <x:c r="G503" s="56" t="n">
        <x:f>F335</x:f>
        <x:v>87.48374059139785</x:v>
      </x:c>
      <x:c r="H503" s="57" t="n">
        <x:f>IF(ISNUMBER(G503),IF(G503=0,"n.a.",F503/G503-1),"n.a.")</x:f>
        <x:v>-0.1506754181341502</x:v>
      </x:c>
      <x:c r="I503" s="58" t="n">
        <x:f>F503/J503</x:f>
        <x:v>0.18570383420970032</x:v>
      </x:c>
      <x:c r="J503" s="56" t="n">
        <x:v>400.1107016129032</x:v>
      </x:c>
    </x:row>
    <x:row r="504" ht="65" customHeight="1">
      <x:c r="A504" s="61" t="n">
        <x:v>45627</x:v>
      </x:c>
      <x:c r="B504" s="32" t="str">
        <x:v>Industria automotriz</x:v>
      </x:c>
      <x:c r="C504" s="32" t="str">
        <x:v>Industrias sin Aluar</x:v>
      </x:c>
      <x:c r="D504" s="62" t="n">
        <x:v>31</x:v>
      </x:c>
      <x:c r="E504" s="2" t="str">
        <x:v>Completo</x:v>
      </x:c>
      <x:c r="F504" s="56" t="n">
        <x:v>38.89055107526882</x:v>
      </x:c>
      <x:c r="G504" s="56" t="n">
        <x:f>F336</x:f>
        <x:v>37.83376075268817</x:v>
      </x:c>
      <x:c r="H504" s="57" t="n">
        <x:f>IF(ISNUMBER(G504),IF(G504=0,"n.a.",F504/G504-1),"n.a.")</x:f>
        <x:v>0.027932468291711032</x:v>
      </x:c>
      <x:c r="I504" s="58" t="n">
        <x:f>F504/J504</x:f>
        <x:v>0.03922423756899217</x:v>
      </x:c>
      <x:c r="J504" s="56" t="n">
        <x:v>991.4928494623656</x:v>
      </x:c>
    </x:row>
    <x:row r="505" ht="65" customHeight="1">
      <x:c r="A505" s="61" t="n">
        <x:v>45627</x:v>
      </x:c>
      <x:c r="B505" s="32" t="str">
        <x:v>Derivados de petróleo</x:v>
      </x:c>
      <x:c r="C505" s="32" t="str">
        <x:v>Industrias sin Aluar</x:v>
      </x:c>
      <x:c r="D505" s="62" t="n">
        <x:v>31</x:v>
      </x:c>
      <x:c r="E505" s="2" t="str">
        <x:v>Completo</x:v>
      </x:c>
      <x:c r="F505" s="56" t="n">
        <x:v>155.36422177419357</x:v>
      </x:c>
      <x:c r="G505" s="56" t="n">
        <x:f>F337</x:f>
        <x:v>149.47365860215055</x:v>
      </x:c>
      <x:c r="H505" s="57" t="n">
        <x:f>IF(ISNUMBER(G505),IF(G505=0,"n.a.",F505/G505-1),"n.a.")</x:f>
        <x:v>0.039408704029395114</x:v>
      </x:c>
      <x:c r="I505" s="58" t="n">
        <x:f>F505/J505</x:f>
        <x:v>0.1566972690306737</x:v>
      </x:c>
      <x:c r="J505" s="56" t="n">
        <x:v>991.4928494623656</x:v>
      </x:c>
    </x:row>
    <x:row r="506" ht="65" customHeight="1">
      <x:c r="A506" s="61" t="n">
        <x:v>45627</x:v>
      </x:c>
      <x:c r="B506" s="32" t="str">
        <x:v>Construcción: elaboración de cemento y canteras</x:v>
      </x:c>
      <x:c r="C506" s="32" t="str">
        <x:v>Industrias sin Aluar</x:v>
      </x:c>
      <x:c r="D506" s="62" t="n">
        <x:v>31</x:v>
      </x:c>
      <x:c r="E506" s="2" t="str">
        <x:v>Completo</x:v>
      </x:c>
      <x:c r="F506" s="56" t="n">
        <x:v>145.2862392473118</x:v>
      </x:c>
      <x:c r="G506" s="56" t="n">
        <x:f>F338</x:f>
        <x:v>170.31919086021506</x:v>
      </x:c>
      <x:c r="H506" s="57" t="n">
        <x:f>IF(ISNUMBER(G506),IF(G506=0,"n.a.",F506/G506-1),"n.a.")</x:f>
        <x:v>-0.1469766940910867</x:v>
      </x:c>
      <x:c r="I506" s="58" t="n">
        <x:f>F506/J506</x:f>
        <x:v>0.1465328159714847</x:v>
      </x:c>
      <x:c r="J506" s="56" t="n">
        <x:v>991.4928494623656</x:v>
      </x:c>
    </x:row>
    <x:row r="507" ht="65" customHeight="1">
      <x:c r="A507" s="61" t="n">
        <x:v>45627</x:v>
      </x:c>
      <x:c r="B507" s="32" t="str">
        <x:v>Madera y papel</x:v>
      </x:c>
      <x:c r="C507" s="32" t="str">
        <x:v>Industrias sin Aluar</x:v>
      </x:c>
      <x:c r="D507" s="62" t="n">
        <x:v>31</x:v>
      </x:c>
      <x:c r="E507" s="2" t="str">
        <x:v>Completo</x:v>
      </x:c>
      <x:c r="F507" s="56" t="n">
        <x:v>102.41868951612904</x:v>
      </x:c>
      <x:c r="G507" s="56" t="n">
        <x:f>F339</x:f>
        <x:v>101.91472849462365</x:v>
      </x:c>
      <x:c r="H507" s="57" t="n">
        <x:f>IF(ISNUMBER(G507),IF(G507=0,"n.a.",F507/G507-1),"n.a.")</x:f>
        <x:v>0.0049449282645341874</x:v>
      </x:c>
      <x:c r="I507" s="58" t="n">
        <x:f>F507/J507</x:f>
        <x:v>0.10329745652897578</x:v>
      </x:c>
      <x:c r="J507" s="56" t="n">
        <x:v>991.4928494623656</x:v>
      </x:c>
    </x:row>
    <x:row r="508" ht="65" customHeight="1">
      <x:c r="A508" s="61" t="n">
        <x:v>45627</x:v>
      </x:c>
      <x:c r="B508" s="32" t="str">
        <x:v>Productos metálicos no automotores</x:v>
      </x:c>
      <x:c r="C508" s="32" t="str">
        <x:v>Industrias sin Aluar</x:v>
      </x:c>
      <x:c r="D508" s="62" t="n">
        <x:v>31</x:v>
      </x:c>
      <x:c r="E508" s="2" t="str">
        <x:v>Completo</x:v>
      </x:c>
      <x:c r="F508" s="56" t="n">
        <x:v>40.96575268817204</x:v>
      </x:c>
      <x:c r="G508" s="56" t="n">
        <x:f>F340</x:f>
        <x:v>40.546857526881716</x:v>
      </x:c>
      <x:c r="H508" s="57" t="n">
        <x:f>IF(ISNUMBER(G508),IF(G508=0,"n.a.",F508/G508-1),"n.a.")</x:f>
        <x:v>0.010331137524347112</x:v>
      </x:c>
      <x:c r="I508" s="58" t="n">
        <x:f>F508/J508</x:f>
        <x:v>0.04131724470870931</x:v>
      </x:c>
      <x:c r="J508" s="56" t="n">
        <x:v>991.4928494623656</x:v>
      </x:c>
    </x:row>
    <x:row r="509" ht="65" customHeight="1">
      <x:c r="A509" s="61" t="n">
        <x:v>45627</x:v>
      </x:c>
      <x:c r="B509" s="32" t="str">
        <x:v>Gran siderurgia</x:v>
      </x:c>
      <x:c r="C509" s="32" t="str">
        <x:v>Industrias sin Aluar</x:v>
      </x:c>
      <x:c r="D509" s="62" t="n">
        <x:v>31</x:v>
      </x:c>
      <x:c r="E509" s="2" t="str">
        <x:v>Completo</x:v>
      </x:c>
      <x:c r="F509" s="56" t="n">
        <x:v>156.9784879032258</x:v>
      </x:c>
      <x:c r="G509" s="56" t="n">
        <x:f>F341</x:f>
        <x:v>271.11159005376345</x:v>
      </x:c>
      <x:c r="H509" s="57" t="n">
        <x:f>IF(ISNUMBER(G509),IF(G509=0,"n.a.",F509/G509-1),"n.a.")</x:f>
        <x:v>-0.4209820101306041</x:v>
      </x:c>
      <x:c r="I509" s="58" t="n">
        <x:f>F509/J509</x:f>
        <x:v>0.15832538579410532</x:v>
      </x:c>
      <x:c r="J509" s="56" t="n">
        <x:v>991.4928494623656</x:v>
      </x:c>
    </x:row>
    <x:row r="510" ht="65" customHeight="1">
      <x:c r="A510" s="61" t="n">
        <x:v>45627</x:v>
      </x:c>
      <x:c r="B510" s="32" t="str">
        <x:v>Industria textil</x:v>
      </x:c>
      <x:c r="C510" s="32" t="str">
        <x:v>Industrias sin Aluar</x:v>
      </x:c>
      <x:c r="D510" s="62" t="n">
        <x:v>31</x:v>
      </x:c>
      <x:c r="E510" s="2" t="str">
        <x:v>Completo</x:v>
      </x:c>
      <x:c r="F510" s="56" t="n">
        <x:v>47.334602150537634</x:v>
      </x:c>
      <x:c r="G510" s="56" t="n">
        <x:f>F342</x:f>
        <x:v>50.00543951612903</x:v>
      </x:c>
      <x:c r="H510" s="57" t="n">
        <x:f>IF(ISNUMBER(G510),IF(G510=0,"n.a.",F510/G510-1),"n.a.")</x:f>
        <x:v>-0.053410936718792934</x:v>
      </x:c>
      <x:c r="I510" s="58" t="n">
        <x:f>F510/J510</x:f>
        <x:v>0.04774073981088688</x:v>
      </x:c>
      <x:c r="J510" s="56" t="n">
        <x:v>991.4928494623656</x:v>
      </x:c>
    </x:row>
    <x:row r="511" ht="65" customHeight="1">
      <x:c r="A511" s="61" t="n">
        <x:v>45627</x:v>
      </x:c>
      <x:c r="B511" s="32" t="str">
        <x:v>Químicas, caucho, plástico y otros minerales no metálicos</x:v>
      </x:c>
      <x:c r="C511" s="32" t="str">
        <x:v>Industrias sin Aluar</x:v>
      </x:c>
      <x:c r="D511" s="62" t="n">
        <x:v>31</x:v>
      </x:c>
      <x:c r="E511" s="2" t="str">
        <x:v>Completo</x:v>
      </x:c>
      <x:c r="F511" s="56" t="n">
        <x:v>304.2543051075269</x:v>
      </x:c>
      <x:c r="G511" s="56" t="n">
        <x:f>F343</x:f>
        <x:v>303.3661639784946</x:v>
      </x:c>
      <x:c r="H511" s="57" t="n">
        <x:f>IF(ISNUMBER(G511),IF(G511=0,"n.a.",F511/G511-1),"n.a.")</x:f>
        <x:v>0.002927620923127039</x:v>
      </x:c>
      <x:c r="I511" s="58" t="n">
        <x:f>F511/J511</x:f>
        <x:v>0.30686485058617213</x:v>
      </x:c>
      <x:c r="J511" s="56" t="n">
        <x:v>991.4928494623656</x:v>
      </x:c>
    </x:row>
    <x:row r="512" ht="65" customHeight="1">
      <x:c r="A512" s="61" t="n">
        <x:v>45627</x:v>
      </x:c>
      <x:c r="B512" s="32" t="str">
        <x:v>Extracción de minerales</x:v>
      </x:c>
      <x:c r="C512" s="32" t="str">
        <x:v>Petróleos y minerales</x:v>
      </x:c>
      <x:c r="D512" s="62" t="n">
        <x:v>31</x:v>
      </x:c>
      <x:c r="E512" s="2" t="str">
        <x:v>Completo</x:v>
      </x:c>
      <x:c r="F512" s="56" t="n">
        <x:v>24.296728494623654</x:v>
      </x:c>
      <x:c r="G512" s="56" t="n">
        <x:f>F344</x:f>
        <x:v>20.7108185483871</x:v>
      </x:c>
      <x:c r="H512" s="57" t="n">
        <x:f>IF(ISNUMBER(G512),IF(G512=0,"n.a.",F512/G512-1),"n.a.")</x:f>
        <x:v>0.17314187451638974</x:v>
      </x:c>
      <x:c r="I512" s="58" t="n">
        <x:f>F512/J512</x:f>
        <x:v>0.1411328690058831</x:v>
      </x:c>
      <x:c r="J512" s="56" t="n">
        <x:v>172.15499596774194</x:v>
      </x:c>
    </x:row>
    <x:row r="513" ht="65" customHeight="1">
      <x:c r="A513" s="61" t="n">
        <x:v>45627</x:v>
      </x:c>
      <x:c r="B513" s="32" t="str">
        <x:v>Extracción de petróleo</x:v>
      </x:c>
      <x:c r="C513" s="32" t="str">
        <x:v>Petróleos y minerales</x:v>
      </x:c>
      <x:c r="D513" s="62" t="n">
        <x:v>31</x:v>
      </x:c>
      <x:c r="E513" s="2" t="str">
        <x:v>Completo</x:v>
      </x:c>
      <x:c r="F513" s="56" t="n">
        <x:v>147.85826747311827</x:v>
      </x:c>
      <x:c r="G513" s="56" t="n">
        <x:f>F345</x:f>
        <x:v>138.14910215053766</x:v>
      </x:c>
      <x:c r="H513" s="57" t="n">
        <x:f>IF(ISNUMBER(G513),IF(G513=0,"n.a.",F513/G513-1),"n.a.")</x:f>
        <x:v>0.07028033603867212</x:v>
      </x:c>
      <x:c r="I513" s="58" t="n">
        <x:f>F513/J513</x:f>
        <x:v>0.8588671309941168</x:v>
      </x:c>
      <x:c r="J513" s="56" t="n">
        <x:v>172.15499596774194</x:v>
      </x:c>
    </x:row>
    <x:row r="514" ht="65" customHeight="1">
      <x:c r="A514" s="61" t="n">
        <x:v>45658</x:v>
      </x:c>
      <x:c r="B514" s="32" t="str">
        <x:v>Cargas y puertos</x:v>
      </x:c>
      <x:c r="C514" s="32" t="str">
        <x:v>Alimentación, comercios y servicios</x:v>
      </x:c>
      <x:c r="D514" s="62" t="n">
        <x:v>31</x:v>
      </x:c>
      <x:c r="E514" s="2" t="str">
        <x:v>Completo</x:v>
      </x:c>
      <x:c r="F514" s="56" t="n">
        <x:v>11.843099462365592</x:v>
      </x:c>
      <x:c r="G514" s="56" t="n">
        <x:f>F346</x:f>
        <x:v>12.258646505376344</x:v>
      </x:c>
      <x:c r="H514" s="57" t="n">
        <x:f>IF(ISNUMBER(G514),IF(G514=0,"n.a.",F514/G514-1),"n.a.")</x:f>
        <x:v>-0.03389828092591651</x:v>
      </x:c>
      <x:c r="I514" s="58" t="n">
        <x:f>F514/J514</x:f>
        <x:v>0.0287781124210605</x:v>
      </x:c>
      <x:c r="J514" s="56" t="n">
        <x:v>411.53148924731187</x:v>
      </x:c>
    </x:row>
    <x:row r="515" ht="65" customHeight="1">
      <x:c r="A515" s="61" t="n">
        <x:v>45658</x:v>
      </x:c>
      <x:c r="B515" s="32" t="str">
        <x:v>Comercio y servicios: principalmente supermercados y centros comerciales</x:v>
      </x:c>
      <x:c r="C515" s="32" t="str">
        <x:v>Alimentación, comercios y servicios</x:v>
      </x:c>
      <x:c r="D515" s="62" t="n">
        <x:v>31</x:v>
      </x:c>
      <x:c r="E515" s="2" t="str">
        <x:v>Completo</x:v>
      </x:c>
      <x:c r="F515" s="56" t="n">
        <x:v>55.509069892473114</x:v>
      </x:c>
      <x:c r="G515" s="56" t="n">
        <x:f>F347</x:f>
        <x:v>42.51775403225807</x:v>
      </x:c>
      <x:c r="H515" s="57" t="n">
        <x:f>IF(ISNUMBER(G515),IF(G515=0,"n.a.",F515/G515-1),"n.a.")</x:f>
        <x:v>0.3055503790336287</x:v>
      </x:c>
      <x:c r="I515" s="58" t="n">
        <x:f>F515/J515</x:f>
        <x:v>0.13488413728436383</x:v>
      </x:c>
      <x:c r="J515" s="56" t="n">
        <x:v>411.53148924731187</x:v>
      </x:c>
    </x:row>
    <x:row r="516" ht="65" customHeight="1">
      <x:c r="A516" s="61" t="n">
        <x:v>45658</x:v>
      </x:c>
      <x:c r="B516" s="32" t="str">
        <x:v>Alimentación y artículos de consumo masivo</x:v>
      </x:c>
      <x:c r="C516" s="32" t="str">
        <x:v>Alimentación, comercios y servicios</x:v>
      </x:c>
      <x:c r="D516" s="62" t="n">
        <x:v>31</x:v>
      </x:c>
      <x:c r="E516" s="2" t="str">
        <x:v>Completo</x:v>
      </x:c>
      <x:c r="F516" s="56" t="n">
        <x:v>268.5709946236559</x:v>
      </x:c>
      <x:c r="G516" s="56" t="n">
        <x:f>F348</x:f>
        <x:v>257.9740793010753</x:v>
      </x:c>
      <x:c r="H516" s="57" t="n">
        <x:f>IF(ISNUMBER(G516),IF(G516=0,"n.a.",F516/G516-1),"n.a.")</x:f>
        <x:v>0.04107744216508369</x:v>
      </x:c>
      <x:c r="I516" s="58" t="n">
        <x:f>F516/J516</x:f>
        <x:v>0.6526134734303572</x:v>
      </x:c>
      <x:c r="J516" s="56" t="n">
        <x:v>411.53148924731187</x:v>
      </x:c>
    </x:row>
    <x:row r="517" ht="65" customHeight="1">
      <x:c r="A517" s="61" t="n">
        <x:v>45658</x:v>
      </x:c>
      <x:c r="B517" s="32" t="str">
        <x:v>Servicios públicos y transporte: agua y transporte en GBA</x:v>
      </x:c>
      <x:c r="C517" s="32" t="str">
        <x:v>Alimentación, comercios y servicios</x:v>
      </x:c>
      <x:c r="D517" s="62" t="n">
        <x:v>31</x:v>
      </x:c>
      <x:c r="E517" s="2" t="str">
        <x:v>Completo</x:v>
      </x:c>
      <x:c r="F517" s="56" t="n">
        <x:v>75.60832526881721</x:v>
      </x:c>
      <x:c r="G517" s="56" t="n">
        <x:f>F349</x:f>
        <x:v>87.43953360215055</x:v>
      </x:c>
      <x:c r="H517" s="57" t="n">
        <x:f>IF(ISNUMBER(G517),IF(G517=0,"n.a.",F517/G517-1),"n.a.")</x:f>
        <x:v>-0.13530731290454123</x:v>
      </x:c>
      <x:c r="I517" s="58" t="n">
        <x:f>F517/J517</x:f>
        <x:v>0.18372427686421833</x:v>
      </x:c>
      <x:c r="J517" s="56" t="n">
        <x:v>411.53148924731187</x:v>
      </x:c>
    </x:row>
    <x:row r="518" ht="65" customHeight="1">
      <x:c r="A518" s="61" t="n">
        <x:v>45658</x:v>
      </x:c>
      <x:c r="B518" s="32" t="str">
        <x:v>Industria automotriz</x:v>
      </x:c>
      <x:c r="C518" s="32" t="str">
        <x:v>Industrias sin Aluar</x:v>
      </x:c>
      <x:c r="D518" s="62" t="n">
        <x:v>31</x:v>
      </x:c>
      <x:c r="E518" s="2" t="str">
        <x:v>Completo</x:v>
      </x:c>
      <x:c r="F518" s="56" t="n">
        <x:v>34.79801344086021</x:v>
      </x:c>
      <x:c r="G518" s="56" t="n">
        <x:f>F350</x:f>
        <x:v>31.595293010752687</x:v>
      </x:c>
      <x:c r="H518" s="57" t="n">
        <x:f>IF(ISNUMBER(G518),IF(G518=0,"n.a.",F518/G518-1),"n.a.")</x:f>
        <x:v>0.10136701150445271</x:v>
      </x:c>
      <x:c r="I518" s="58" t="n">
        <x:f>F518/J518</x:f>
        <x:v>0.03371606935238909</x:v>
      </x:c>
      <x:c r="J518" s="56" t="n">
        <x:v>1032.0898642473119</x:v>
      </x:c>
    </x:row>
    <x:row r="519" ht="65" customHeight="1">
      <x:c r="A519" s="61" t="n">
        <x:v>45658</x:v>
      </x:c>
      <x:c r="B519" s="32" t="str">
        <x:v>Derivados de petróleo</x:v>
      </x:c>
      <x:c r="C519" s="32" t="str">
        <x:v>Industrias sin Aluar</x:v>
      </x:c>
      <x:c r="D519" s="62" t="n">
        <x:v>31</x:v>
      </x:c>
      <x:c r="E519" s="2" t="str">
        <x:v>Completo</x:v>
      </x:c>
      <x:c r="F519" s="56" t="n">
        <x:v>158.24590456989247</x:v>
      </x:c>
      <x:c r="G519" s="56" t="n">
        <x:f>F351</x:f>
        <x:v>155.5409502688172</x:v>
      </x:c>
      <x:c r="H519" s="57" t="n">
        <x:f>IF(ISNUMBER(G519),IF(G519=0,"n.a.",F519/G519-1),"n.a.")</x:f>
        <x:v>0.01739062476087727</x:v>
      </x:c>
      <x:c r="I519" s="58" t="n">
        <x:f>F519/J519</x:f>
        <x:v>0.15332570355712088</x:v>
      </x:c>
      <x:c r="J519" s="56" t="n">
        <x:v>1032.0898642473119</x:v>
      </x:c>
    </x:row>
    <x:row r="520" ht="65" customHeight="1">
      <x:c r="A520" s="61" t="n">
        <x:v>45658</x:v>
      </x:c>
      <x:c r="B520" s="32" t="str">
        <x:v>Construcción: elaboración de cemento y canteras</x:v>
      </x:c>
      <x:c r="C520" s="32" t="str">
        <x:v>Industrias sin Aluar</x:v>
      </x:c>
      <x:c r="D520" s="62" t="n">
        <x:v>31</x:v>
      </x:c>
      <x:c r="E520" s="2" t="str">
        <x:v>Completo</x:v>
      </x:c>
      <x:c r="F520" s="56" t="n">
        <x:v>145.85207123655914</x:v>
      </x:c>
      <x:c r="G520" s="56" t="n">
        <x:f>F352</x:f>
        <x:v>133.46189112903227</x:v>
      </x:c>
      <x:c r="H520" s="57" t="n">
        <x:f>IF(ISNUMBER(G520),IF(G520=0,"n.a.",F520/G520-1),"n.a.")</x:f>
        <x:v>0.09283683906103146</x:v>
      </x:c>
      <x:c r="I520" s="58" t="n">
        <x:f>F520/J520</x:f>
        <x:v>0.14131722080511558</x:v>
      </x:c>
      <x:c r="J520" s="56" t="n">
        <x:v>1032.0898642473119</x:v>
      </x:c>
    </x:row>
    <x:row r="521" ht="65" customHeight="1">
      <x:c r="A521" s="61" t="n">
        <x:v>45658</x:v>
      </x:c>
      <x:c r="B521" s="32" t="str">
        <x:v>Madera y papel</x:v>
      </x:c>
      <x:c r="C521" s="32" t="str">
        <x:v>Industrias sin Aluar</x:v>
      </x:c>
      <x:c r="D521" s="62" t="n">
        <x:v>31</x:v>
      </x:c>
      <x:c r="E521" s="2" t="str">
        <x:v>Completo</x:v>
      </x:c>
      <x:c r="F521" s="56" t="n">
        <x:v>92.00697983870968</x:v>
      </x:c>
      <x:c r="G521" s="56" t="n">
        <x:f>F353</x:f>
        <x:v>105.33960752688172</x:v>
      </x:c>
      <x:c r="H521" s="57" t="n">
        <x:f>IF(ISNUMBER(G521),IF(G521=0,"n.a.",F521/G521-1),"n.a.")</x:f>
        <x:v>-0.12656804027649027</x:v>
      </x:c>
      <x:c r="I521" s="58" t="n">
        <x:f>F521/J521</x:f>
        <x:v>0.0891462875723608</x:v>
      </x:c>
      <x:c r="J521" s="56" t="n">
        <x:v>1032.0898642473119</x:v>
      </x:c>
    </x:row>
    <x:row r="522" ht="65" customHeight="1">
      <x:c r="A522" s="61" t="n">
        <x:v>45658</x:v>
      </x:c>
      <x:c r="B522" s="32" t="str">
        <x:v>Productos metálicos no automotores</x:v>
      </x:c>
      <x:c r="C522" s="32" t="str">
        <x:v>Industrias sin Aluar</x:v>
      </x:c>
      <x:c r="D522" s="62" t="n">
        <x:v>31</x:v>
      </x:c>
      <x:c r="E522" s="2" t="str">
        <x:v>Completo</x:v>
      </x:c>
      <x:c r="F522" s="56" t="n">
        <x:v>40.152334677419354</x:v>
      </x:c>
      <x:c r="G522" s="56" t="n">
        <x:f>F354</x:f>
        <x:v>39.070408602150536</x:v>
      </x:c>
      <x:c r="H522" s="57" t="n">
        <x:f>IF(ISNUMBER(G522),IF(G522=0,"n.a.",F522/G522-1),"n.a.")</x:f>
        <x:v>0.027691701059130214</x:v>
      </x:c>
      <x:c r="I522" s="58" t="n">
        <x:f>F522/J522</x:f>
        <x:v>0.03890391337841678</x:v>
      </x:c>
      <x:c r="J522" s="56" t="n">
        <x:v>1032.0898642473119</x:v>
      </x:c>
    </x:row>
    <x:row r="523" ht="65" customHeight="1">
      <x:c r="A523" s="61" t="n">
        <x:v>45658</x:v>
      </x:c>
      <x:c r="B523" s="32" t="str">
        <x:v>Gran siderurgia</x:v>
      </x:c>
      <x:c r="C523" s="32" t="str">
        <x:v>Industrias sin Aluar</x:v>
      </x:c>
      <x:c r="D523" s="62" t="n">
        <x:v>31</x:v>
      </x:c>
      <x:c r="E523" s="2" t="str">
        <x:v>Completo</x:v>
      </x:c>
      <x:c r="F523" s="56" t="n">
        <x:v>229.55411693548388</x:v>
      </x:c>
      <x:c r="G523" s="56" t="n">
        <x:f>F355</x:f>
        <x:v>327.53325403225807</x:v>
      </x:c>
      <x:c r="H523" s="57" t="n">
        <x:f>IF(ISNUMBER(G523),IF(G523=0,"n.a.",F523/G523-1),"n.a.")</x:f>
        <x:v>-0.29914256305445075</x:v>
      </x:c>
      <x:c r="I523" s="58" t="n">
        <x:f>F523/J523</x:f>
        <x:v>0.22241679226536573</x:v>
      </x:c>
      <x:c r="J523" s="56" t="n">
        <x:v>1032.0898642473119</x:v>
      </x:c>
    </x:row>
    <x:row r="524" ht="65" customHeight="1">
      <x:c r="A524" s="61" t="n">
        <x:v>45658</x:v>
      </x:c>
      <x:c r="B524" s="32" t="str">
        <x:v>Industria textil</x:v>
      </x:c>
      <x:c r="C524" s="32" t="str">
        <x:v>Industrias sin Aluar</x:v>
      </x:c>
      <x:c r="D524" s="62" t="n">
        <x:v>31</x:v>
      </x:c>
      <x:c r="E524" s="2" t="str">
        <x:v>Completo</x:v>
      </x:c>
      <x:c r="F524" s="56" t="n">
        <x:v>33.99053494623656</x:v>
      </x:c>
      <x:c r="G524" s="56" t="n">
        <x:f>F356</x:f>
        <x:v>36.94760752688172</x:v>
      </x:c>
      <x:c r="H524" s="57" t="n">
        <x:f>IF(ISNUMBER(G524),IF(G524=0,"n.a.",F524/G524-1),"n.a.")</x:f>
        <x:v>-0.08003421002276545</x:v>
      </x:c>
      <x:c r="I524" s="58" t="n">
        <x:f>F524/J524</x:f>
        <x:v>0.03293369707784637</x:v>
      </x:c>
      <x:c r="J524" s="56" t="n">
        <x:v>1032.0898642473119</x:v>
      </x:c>
    </x:row>
    <x:row r="525" ht="65" customHeight="1">
      <x:c r="A525" s="61" t="n">
        <x:v>45658</x:v>
      </x:c>
      <x:c r="B525" s="32" t="str">
        <x:v>Químicas, caucho, plástico y otros minerales no metálicos</x:v>
      </x:c>
      <x:c r="C525" s="32" t="str">
        <x:v>Industrias sin Aluar</x:v>
      </x:c>
      <x:c r="D525" s="62" t="n">
        <x:v>31</x:v>
      </x:c>
      <x:c r="E525" s="2" t="str">
        <x:v>Completo</x:v>
      </x:c>
      <x:c r="F525" s="56" t="n">
        <x:v>297.48990860215054</x:v>
      </x:c>
      <x:c r="G525" s="56" t="n">
        <x:f>F357</x:f>
        <x:v>291.01295161290324</x:v>
      </x:c>
      <x:c r="H525" s="57" t="n">
        <x:f>IF(ISNUMBER(G525),IF(G525=0,"n.a.",F525/G525-1),"n.a.")</x:f>
        <x:v>0.022256593575473493</x:v>
      </x:c>
      <x:c r="I525" s="58" t="n">
        <x:f>F525/J525</x:f>
        <x:v>0.2882403159913847</x:v>
      </x:c>
      <x:c r="J525" s="56" t="n">
        <x:v>1032.0898642473119</x:v>
      </x:c>
    </x:row>
    <x:row r="526" ht="65" customHeight="1">
      <x:c r="A526" s="61" t="n">
        <x:v>45658</x:v>
      </x:c>
      <x:c r="B526" s="32" t="str">
        <x:v>Extracción de minerales</x:v>
      </x:c>
      <x:c r="C526" s="32" t="str">
        <x:v>Petróleos y minerales</x:v>
      </x:c>
      <x:c r="D526" s="62" t="n">
        <x:v>31</x:v>
      </x:c>
      <x:c r="E526" s="2" t="str">
        <x:v>Completo</x:v>
      </x:c>
      <x:c r="F526" s="56" t="n">
        <x:v>23.10956451612903</x:v>
      </x:c>
      <x:c r="G526" s="56" t="n">
        <x:f>F358</x:f>
        <x:v>20.743166666666667</x:v>
      </x:c>
      <x:c r="H526" s="57" t="n">
        <x:f>IF(ISNUMBER(G526),IF(G526=0,"n.a.",F526/G526-1),"n.a.")</x:f>
        <x:v>0.11408083864384388</x:v>
      </x:c>
      <x:c r="I526" s="58" t="n">
        <x:f>F526/J526</x:f>
        <x:v>0.13890552389191368</x:v>
      </x:c>
      <x:c r="J526" s="56" t="n">
        <x:v>166.36893817204302</x:v>
      </x:c>
    </x:row>
    <x:row r="527" ht="65" customHeight="1">
      <x:c r="A527" s="61" t="n">
        <x:v>45658</x:v>
      </x:c>
      <x:c r="B527" s="32" t="str">
        <x:v>Extracción de petróleo</x:v>
      </x:c>
      <x:c r="C527" s="32" t="str">
        <x:v>Petróleos y minerales</x:v>
      </x:c>
      <x:c r="D527" s="62" t="n">
        <x:v>31</x:v>
      </x:c>
      <x:c r="E527" s="2" t="str">
        <x:v>Completo</x:v>
      </x:c>
      <x:c r="F527" s="56" t="n">
        <x:v>143.25937365591398</x:v>
      </x:c>
      <x:c r="G527" s="56" t="n">
        <x:f>F359</x:f>
        <x:v>140.07120833333335</x:v>
      </x:c>
      <x:c r="H527" s="57" t="n">
        <x:f>IF(ISNUMBER(G527),IF(G527=0,"n.a.",F527/G527-1),"n.a.")</x:f>
        <x:v>0.022761032481376287</x:v>
      </x:c>
      <x:c r="I527" s="58" t="n">
        <x:f>F527/J527</x:f>
        <x:v>0.8610944761080863</x:v>
      </x:c>
      <x:c r="J527" s="56" t="n">
        <x:v>166.36893817204302</x:v>
      </x:c>
    </x:row>
    <x:row r="528" ht="65" customHeight="1">
      <x:c r="A528" s="61" t="n">
        <x:v>45689</x:v>
      </x:c>
      <x:c r="B528" s="32" t="str">
        <x:v>Cargas y puertos</x:v>
      </x:c>
      <x:c r="C528" s="32" t="str">
        <x:v>Alimentación, comercios y servicios</x:v>
      </x:c>
      <x:c r="D528" s="62" t="n">
        <x:v>28</x:v>
      </x:c>
      <x:c r="E528" s="2" t="str">
        <x:v>Completo</x:v>
      </x:c>
      <x:c r="F528" s="56" t="n">
        <x:v>12.233723214285714</x:v>
      </x:c>
      <x:c r="G528" s="56" t="n">
        <x:f>F360</x:f>
        <x:v>12.43189511494253</x:v>
      </x:c>
      <x:c r="H528" s="57" t="n">
        <x:f>IF(ISNUMBER(G528),IF(G528=0,"n.a.",F528/G528-1),"n.a.")</x:f>
        <x:v>-0.01594060268563735</x:v>
      </x:c>
      <x:c r="I528" s="58" t="n">
        <x:f>F528/J528</x:f>
        <x:v>0.0275135593870396</x:v>
      </x:c>
      <x:c r="J528" s="56" t="n">
        <x:v>444.6434226190476</x:v>
      </x:c>
    </x:row>
    <x:row r="529" ht="65" customHeight="1">
      <x:c r="A529" s="61" t="n">
        <x:v>45689</x:v>
      </x:c>
      <x:c r="B529" s="32" t="str">
        <x:v>Comercio y servicios: principalmente supermercados y centros comerciales</x:v>
      </x:c>
      <x:c r="C529" s="32" t="str">
        <x:v>Alimentación, comercios y servicios</x:v>
      </x:c>
      <x:c r="D529" s="62" t="n">
        <x:v>28</x:v>
      </x:c>
      <x:c r="E529" s="2" t="str">
        <x:v>Completo</x:v>
      </x:c>
      <x:c r="F529" s="56" t="n">
        <x:v>56.55740029761905</x:v>
      </x:c>
      <x:c r="G529" s="56" t="n">
        <x:f>F361</x:f>
        <x:v>43.13083045977011</x:v>
      </x:c>
      <x:c r="H529" s="57" t="n">
        <x:f>IF(ISNUMBER(G529),IF(G529=0,"n.a.",F529/G529-1),"n.a.")</x:f>
        <x:v>0.3112986625743839</x:v>
      </x:c>
      <x:c r="I529" s="58" t="n">
        <x:f>F529/J529</x:f>
        <x:v>0.1271972043676785</x:v>
      </x:c>
      <x:c r="J529" s="56" t="n">
        <x:v>444.6434226190476</x:v>
      </x:c>
    </x:row>
    <x:row r="530" ht="65" customHeight="1">
      <x:c r="A530" s="61" t="n">
        <x:v>45689</x:v>
      </x:c>
      <x:c r="B530" s="32" t="str">
        <x:v>Alimentación y artículos de consumo masivo</x:v>
      </x:c>
      <x:c r="C530" s="32" t="str">
        <x:v>Alimentación, comercios y servicios</x:v>
      </x:c>
      <x:c r="D530" s="62" t="n">
        <x:v>28</x:v>
      </x:c>
      <x:c r="E530" s="2" t="str">
        <x:v>Completo</x:v>
      </x:c>
      <x:c r="F530" s="56" t="n">
        <x:v>298.95351488095235</x:v>
      </x:c>
      <x:c r="G530" s="56" t="n">
        <x:f>F362</x:f>
        <x:v>276.799716954023</x:v>
      </x:c>
      <x:c r="H530" s="57" t="n">
        <x:f>IF(ISNUMBER(G530),IF(G530=0,"n.a.",F530/G530-1),"n.a.")</x:f>
        <x:v>0.08003547897633578</x:v>
      </x:c>
      <x:c r="I530" s="58" t="n">
        <x:f>F530/J530</x:f>
        <x:v>0.6723443992942713</x:v>
      </x:c>
      <x:c r="J530" s="56" t="n">
        <x:v>444.6434226190476</x:v>
      </x:c>
    </x:row>
    <x:row r="531" ht="65" customHeight="1">
      <x:c r="A531" s="61" t="n">
        <x:v>45689</x:v>
      </x:c>
      <x:c r="B531" s="32" t="str">
        <x:v>Servicios públicos y transporte: agua y transporte en GBA</x:v>
      </x:c>
      <x:c r="C531" s="32" t="str">
        <x:v>Alimentación, comercios y servicios</x:v>
      </x:c>
      <x:c r="D531" s="62" t="n">
        <x:v>28</x:v>
      </x:c>
      <x:c r="E531" s="2" t="str">
        <x:v>Completo</x:v>
      </x:c>
      <x:c r="F531" s="56" t="n">
        <x:v>76.89878422619049</x:v>
      </x:c>
      <x:c r="G531" s="56" t="n">
        <x:f>F363</x:f>
        <x:v>87.10254310344828</x:v>
      </x:c>
      <x:c r="H531" s="57" t="n">
        <x:f>IF(ISNUMBER(G531),IF(G531=0,"n.a.",F531/G531-1),"n.a.")</x:f>
        <x:v>-0.11714650931763493</x:v>
      </x:c>
      <x:c r="I531" s="58" t="n">
        <x:f>F531/J531</x:f>
        <x:v>0.1729448369510106</x:v>
      </x:c>
      <x:c r="J531" s="56" t="n">
        <x:v>444.6434226190476</x:v>
      </x:c>
    </x:row>
    <x:row r="532" ht="65" customHeight="1">
      <x:c r="A532" s="61" t="n">
        <x:v>45689</x:v>
      </x:c>
      <x:c r="B532" s="32" t="str">
        <x:v>Industria automotriz</x:v>
      </x:c>
      <x:c r="C532" s="32" t="str">
        <x:v>Industrias sin Aluar</x:v>
      </x:c>
      <x:c r="D532" s="62" t="n">
        <x:v>28</x:v>
      </x:c>
      <x:c r="E532" s="2" t="str">
        <x:v>Completo</x:v>
      </x:c>
      <x:c r="F532" s="56" t="n">
        <x:v>47.1398556547619</x:v>
      </x:c>
      <x:c r="G532" s="56" t="n">
        <x:f>F364</x:f>
        <x:v>43.718198275862065</x:v>
      </x:c>
      <x:c r="H532" s="57" t="n">
        <x:f>IF(ISNUMBER(G532),IF(G532=0,"n.a.",F532/G532-1),"n.a.")</x:f>
        <x:v>0.07826620295075193</x:v>
      </x:c>
      <x:c r="I532" s="58" t="n">
        <x:f>F532/J532</x:f>
        <x:v>0.04063808821704709</x:v>
      </x:c>
      <x:c r="J532" s="56" t="n">
        <x:v>1159.9919613095237</x:v>
      </x:c>
    </x:row>
    <x:row r="533" ht="65" customHeight="1">
      <x:c r="A533" s="61" t="n">
        <x:v>45689</x:v>
      </x:c>
      <x:c r="B533" s="32" t="str">
        <x:v>Derivados de petróleo</x:v>
      </x:c>
      <x:c r="C533" s="32" t="str">
        <x:v>Industrias sin Aluar</x:v>
      </x:c>
      <x:c r="D533" s="62" t="n">
        <x:v>28</x:v>
      </x:c>
      <x:c r="E533" s="2" t="str">
        <x:v>Completo</x:v>
      </x:c>
      <x:c r="F533" s="56" t="n">
        <x:v>149.34415773809522</x:v>
      </x:c>
      <x:c r="G533" s="56" t="n">
        <x:f>F365</x:f>
        <x:v>151.13160344827585</x:v>
      </x:c>
      <x:c r="H533" s="57" t="n">
        <x:f>IF(ISNUMBER(G533),IF(G533=0,"n.a.",F533/G533-1),"n.a.")</x:f>
        <x:v>-0.011827080963859316</x:v>
      </x:c>
      <x:c r="I533" s="58" t="n">
        <x:f>F533/J533</x:f>
        <x:v>0.12874585576394812</x:v>
      </x:c>
      <x:c r="J533" s="56" t="n">
        <x:v>1159.9919613095237</x:v>
      </x:c>
    </x:row>
    <x:row r="534" ht="65" customHeight="1">
      <x:c r="A534" s="61" t="n">
        <x:v>45689</x:v>
      </x:c>
      <x:c r="B534" s="32" t="str">
        <x:v>Construcción: elaboración de cemento y canteras</x:v>
      </x:c>
      <x:c r="C534" s="32" t="str">
        <x:v>Industrias sin Aluar</x:v>
      </x:c>
      <x:c r="D534" s="62" t="n">
        <x:v>28</x:v>
      </x:c>
      <x:c r="E534" s="2" t="str">
        <x:v>Completo</x:v>
      </x:c>
      <x:c r="F534" s="56" t="n">
        <x:v>160.91916964285716</x:v>
      </x:c>
      <x:c r="G534" s="56" t="n">
        <x:f>F366</x:f>
        <x:v>151.32458333333335</x:v>
      </x:c>
      <x:c r="H534" s="57" t="n">
        <x:f>IF(ISNUMBER(G534),IF(G534=0,"n.a.",F534/G534-1),"n.a.")</x:f>
        <x:v>0.06340401604403656</x:v>
      </x:c>
      <x:c r="I534" s="58" t="n">
        <x:f>F534/J534</x:f>
        <x:v>0.13872438345279073</x:v>
      </x:c>
      <x:c r="J534" s="56" t="n">
        <x:v>1159.9919613095237</x:v>
      </x:c>
    </x:row>
    <x:row r="535" ht="65" customHeight="1">
      <x:c r="A535" s="61" t="n">
        <x:v>45689</x:v>
      </x:c>
      <x:c r="B535" s="32" t="str">
        <x:v>Madera y papel</x:v>
      </x:c>
      <x:c r="C535" s="32" t="str">
        <x:v>Industrias sin Aluar</x:v>
      </x:c>
      <x:c r="D535" s="62" t="n">
        <x:v>28</x:v>
      </x:c>
      <x:c r="E535" s="2" t="str">
        <x:v>Completo</x:v>
      </x:c>
      <x:c r="F535" s="56" t="n">
        <x:v>103.7036398809524</x:v>
      </x:c>
      <x:c r="G535" s="56" t="n">
        <x:f>F367</x:f>
        <x:v>105.27016522988505</x:v>
      </x:c>
      <x:c r="H535" s="57" t="n">
        <x:f>IF(ISNUMBER(G535),IF(G535=0,"n.a.",F535/G535-1),"n.a.")</x:f>
        <x:v>-0.014881000191381277</x:v>
      </x:c>
      <x:c r="I535" s="58" t="n">
        <x:f>F535/J535</x:f>
        <x:v>0.08940030908824624</x:v>
      </x:c>
      <x:c r="J535" s="56" t="n">
        <x:v>1159.9919613095237</x:v>
      </x:c>
    </x:row>
    <x:row r="536" ht="65" customHeight="1">
      <x:c r="A536" s="61" t="n">
        <x:v>45689</x:v>
      </x:c>
      <x:c r="B536" s="32" t="str">
        <x:v>Productos metálicos no automotores</x:v>
      </x:c>
      <x:c r="C536" s="32" t="str">
        <x:v>Industrias sin Aluar</x:v>
      </x:c>
      <x:c r="D536" s="62" t="n">
        <x:v>28</x:v>
      </x:c>
      <x:c r="E536" s="2" t="str">
        <x:v>Completo</x:v>
      </x:c>
      <x:c r="F536" s="56" t="n">
        <x:v>42.02423363095238</x:v>
      </x:c>
      <x:c r="G536" s="56" t="n">
        <x:f>F368</x:f>
        <x:v>41.61290373563218</x:v>
      </x:c>
      <x:c r="H536" s="57" t="n">
        <x:f>IF(ISNUMBER(G536),IF(G536=0,"n.a.",F536/G536-1),"n.a.")</x:f>
        <x:v>0.009884671781940302</x:v>
      </x:c>
      <x:c r="I536" s="58" t="n">
        <x:f>F536/J536</x:f>
        <x:v>0.036228038669777425</x:v>
      </x:c>
      <x:c r="J536" s="56" t="n">
        <x:v>1159.9919613095237</x:v>
      </x:c>
    </x:row>
    <x:row r="537" ht="65" customHeight="1">
      <x:c r="A537" s="61" t="n">
        <x:v>45689</x:v>
      </x:c>
      <x:c r="B537" s="32" t="str">
        <x:v>Gran siderurgia</x:v>
      </x:c>
      <x:c r="C537" s="32" t="str">
        <x:v>Industrias sin Aluar</x:v>
      </x:c>
      <x:c r="D537" s="62" t="n">
        <x:v>28</x:v>
      </x:c>
      <x:c r="E537" s="2" t="str">
        <x:v>Completo</x:v>
      </x:c>
      <x:c r="F537" s="56" t="n">
        <x:v>260.64379761904763</x:v>
      </x:c>
      <x:c r="G537" s="56" t="n">
        <x:f>F369</x:f>
        <x:v>244.07468390804598</x:v>
      </x:c>
      <x:c r="H537" s="57" t="n">
        <x:f>IF(ISNUMBER(G537),IF(G537=0,"n.a.",F537/G537-1),"n.a.")</x:f>
        <x:v>0.06788542525468966</x:v>
      </x:c>
      <x:c r="I537" s="58" t="n">
        <x:f>F537/J537</x:f>
        <x:v>0.22469448609351125</x:v>
      </x:c>
      <x:c r="J537" s="56" t="n">
        <x:v>1159.9919613095237</x:v>
      </x:c>
    </x:row>
    <x:row r="538" ht="65" customHeight="1">
      <x:c r="A538" s="61" t="n">
        <x:v>45689</x:v>
      </x:c>
      <x:c r="B538" s="32" t="str">
        <x:v>Industria textil</x:v>
      </x:c>
      <x:c r="C538" s="32" t="str">
        <x:v>Industrias sin Aluar</x:v>
      </x:c>
      <x:c r="D538" s="62" t="n">
        <x:v>28</x:v>
      </x:c>
      <x:c r="E538" s="2" t="str">
        <x:v>Completo</x:v>
      </x:c>
      <x:c r="F538" s="56" t="n">
        <x:v>59.01992857142857</x:v>
      </x:c>
      <x:c r="G538" s="56" t="n">
        <x:f>F370</x:f>
        <x:v>61.237347701149424</x:v>
      </x:c>
      <x:c r="H538" s="57" t="n">
        <x:f>IF(ISNUMBER(G538),IF(G538=0,"n.a.",F538/G538-1),"n.a.")</x:f>
        <x:v>-0.03621024118389815</x:v>
      </x:c>
      <x:c r="I538" s="58" t="n">
        <x:f>F538/J538</x:f>
        <x:v>0.05087960135930643</x:v>
      </x:c>
      <x:c r="J538" s="56" t="n">
        <x:v>1159.9919613095237</x:v>
      </x:c>
    </x:row>
    <x:row r="539" ht="65" customHeight="1">
      <x:c r="A539" s="61" t="n">
        <x:v>45689</x:v>
      </x:c>
      <x:c r="B539" s="32" t="str">
        <x:v>Químicas, caucho, plástico y otros minerales no metálicos</x:v>
      </x:c>
      <x:c r="C539" s="32" t="str">
        <x:v>Industrias sin Aluar</x:v>
      </x:c>
      <x:c r="D539" s="62" t="n">
        <x:v>28</x:v>
      </x:c>
      <x:c r="E539" s="2" t="str">
        <x:v>Completo</x:v>
      </x:c>
      <x:c r="F539" s="56" t="n">
        <x:v>337.19717857142854</x:v>
      </x:c>
      <x:c r="G539" s="56" t="n">
        <x:f>F371</x:f>
        <x:v>340.6984310344827</x:v>
      </x:c>
      <x:c r="H539" s="57" t="n">
        <x:f>IF(ISNUMBER(G539),IF(G539=0,"n.a.",F539/G539-1),"n.a.")</x:f>
        <x:v>-0.010276690891775297</x:v>
      </x:c>
      <x:c r="I539" s="58" t="n">
        <x:f>F539/J539</x:f>
        <x:v>0.2906892373553728</x:v>
      </x:c>
      <x:c r="J539" s="56" t="n">
        <x:v>1159.9919613095237</x:v>
      </x:c>
    </x:row>
    <x:row r="540" ht="65" customHeight="1">
      <x:c r="A540" s="61" t="n">
        <x:v>45689</x:v>
      </x:c>
      <x:c r="B540" s="32" t="str">
        <x:v>Extracción de minerales</x:v>
      </x:c>
      <x:c r="C540" s="32" t="str">
        <x:v>Petróleos y minerales</x:v>
      </x:c>
      <x:c r="D540" s="62" t="n">
        <x:v>28</x:v>
      </x:c>
      <x:c r="E540" s="2" t="str">
        <x:v>Completo</x:v>
      </x:c>
      <x:c r="F540" s="56" t="n">
        <x:v>21.88229910714286</x:v>
      </x:c>
      <x:c r="G540" s="56" t="n">
        <x:f>F372</x:f>
        <x:v>19.159854885057474</x:v>
      </x:c>
      <x:c r="H540" s="57" t="n">
        <x:f>IF(ISNUMBER(G540),IF(G540=0,"n.a.",F540/G540-1),"n.a.")</x:f>
        <x:v>0.14209106689052153</x:v>
      </x:c>
      <x:c r="I540" s="58" t="n">
        <x:f>F540/J540</x:f>
        <x:v>0.13606682824101599</x:v>
      </x:c>
      <x:c r="J540" s="56" t="n">
        <x:v>160.82023363095237</x:v>
      </x:c>
    </x:row>
    <x:row r="541" ht="65" customHeight="1">
      <x:c r="A541" s="61" t="n">
        <x:v>45689</x:v>
      </x:c>
      <x:c r="B541" s="32" t="str">
        <x:v>Extracción de petróleo</x:v>
      </x:c>
      <x:c r="C541" s="32" t="str">
        <x:v>Petróleos y minerales</x:v>
      </x:c>
      <x:c r="D541" s="62" t="n">
        <x:v>28</x:v>
      </x:c>
      <x:c r="E541" s="2" t="str">
        <x:v>Completo</x:v>
      </x:c>
      <x:c r="F541" s="56" t="n">
        <x:v>138.9379345238095</x:v>
      </x:c>
      <x:c r="G541" s="56" t="n">
        <x:f>F373</x:f>
        <x:v>139.10344540229886</x:v>
      </x:c>
      <x:c r="H541" s="57" t="n">
        <x:f>IF(ISNUMBER(G541),IF(G541=0,"n.a.",F541/G541-1),"n.a.")</x:f>
        <x:v>-0.001189840251696772</x:v>
      </x:c>
      <x:c r="I541" s="58" t="n">
        <x:f>F541/J541</x:f>
        <x:v>0.863933171758984</x:v>
      </x:c>
      <x:c r="J541" s="56" t="n">
        <x:v>160.82023363095237</x:v>
      </x:c>
    </x:row>
    <x:row r="542" ht="65" customHeight="1">
      <x:c r="A542" s="61" t="n">
        <x:v>45717</x:v>
      </x:c>
      <x:c r="B542" s="32" t="str">
        <x:v>Cargas y puertos</x:v>
      </x:c>
      <x:c r="C542" s="32" t="str">
        <x:v>Alimentación, comercios y servicios</x:v>
      </x:c>
      <x:c r="D542" s="62" t="n">
        <x:v>31</x:v>
      </x:c>
      <x:c r="E542" s="2" t="str">
        <x:v>Completo</x:v>
      </x:c>
      <x:c r="F542" s="56" t="n">
        <x:v>11.341123655913979</x:v>
      </x:c>
      <x:c r="G542" s="56" t="n">
        <x:f>F374</x:f>
        <x:v>11.240396505376344</x:v>
      </x:c>
      <x:c r="H542" s="57" t="n">
        <x:f>IF(ISNUMBER(G542),IF(G542=0,"n.a.",F542/G542-1),"n.a.")</x:f>
        <x:v>0.008961174144475725</x:v>
      </x:c>
      <x:c r="I542" s="58" t="n">
        <x:f>F542/J542</x:f>
        <x:v>0.02679966056669243</x:v>
      </x:c>
      <x:c r="J542" s="56" t="n">
        <x:v>423.1816155913979</x:v>
      </x:c>
    </x:row>
    <x:row r="543" ht="65" customHeight="1">
      <x:c r="A543" s="61" t="n">
        <x:v>45717</x:v>
      </x:c>
      <x:c r="B543" s="32" t="str">
        <x:v>Comercio y servicios: principalmente supermercados y centros comerciales</x:v>
      </x:c>
      <x:c r="C543" s="32" t="str">
        <x:v>Alimentación, comercios y servicios</x:v>
      </x:c>
      <x:c r="D543" s="62" t="n">
        <x:v>31</x:v>
      </x:c>
      <x:c r="E543" s="2" t="str">
        <x:v>Completo</x:v>
      </x:c>
      <x:c r="F543" s="56" t="n">
        <x:v>50.88724193548387</x:v>
      </x:c>
      <x:c r="G543" s="56" t="n">
        <x:f>F375</x:f>
        <x:v>39.4878938172043</x:v>
      </x:c>
      <x:c r="H543" s="57" t="n">
        <x:f>IF(ISNUMBER(G543),IF(G543=0,"n.a.",F543/G543-1),"n.a.")</x:f>
        <x:v>0.2886795677442042</x:v>
      </x:c>
      <x:c r="I543" s="58" t="n">
        <x:f>F543/J543</x:f>
        <x:v>0.1202491792191132</x:v>
      </x:c>
      <x:c r="J543" s="56" t="n">
        <x:v>423.1816155913979</x:v>
      </x:c>
    </x:row>
    <x:row r="544" ht="65" customHeight="1">
      <x:c r="A544" s="61" t="n">
        <x:v>45717</x:v>
      </x:c>
      <x:c r="B544" s="32" t="str">
        <x:v>Alimentación y artículos de consumo masivo</x:v>
      </x:c>
      <x:c r="C544" s="32" t="str">
        <x:v>Alimentación, comercios y servicios</x:v>
      </x:c>
      <x:c r="D544" s="62" t="n">
        <x:v>31</x:v>
      </x:c>
      <x:c r="E544" s="2" t="str">
        <x:v>Completo</x:v>
      </x:c>
      <x:c r="F544" s="56" t="n">
        <x:v>285.7554690860215</x:v>
      </x:c>
      <x:c r="G544" s="56" t="n">
        <x:f>F376</x:f>
        <x:v>285.97380510752686</x:v>
      </x:c>
      <x:c r="H544" s="57" t="n">
        <x:f>IF(ISNUMBER(G544),IF(G544=0,"n.a.",F544/G544-1),"n.a.")</x:f>
        <x:v>-0.0007634825903836129</x:v>
      </x:c>
      <x:c r="I544" s="58" t="n">
        <x:f>F544/J544</x:f>
        <x:v>0.6752549226097102</x:v>
      </x:c>
      <x:c r="J544" s="56" t="n">
        <x:v>423.1816155913979</x:v>
      </x:c>
    </x:row>
    <x:row r="545" ht="65" customHeight="1">
      <x:c r="A545" s="61" t="n">
        <x:v>45717</x:v>
      </x:c>
      <x:c r="B545" s="32" t="str">
        <x:v>Servicios públicos y transporte: agua y transporte en GBA</x:v>
      </x:c>
      <x:c r="C545" s="32" t="str">
        <x:v>Alimentación, comercios y servicios</x:v>
      </x:c>
      <x:c r="D545" s="62" t="n">
        <x:v>31</x:v>
      </x:c>
      <x:c r="E545" s="2" t="str">
        <x:v>Completo</x:v>
      </x:c>
      <x:c r="F545" s="56" t="n">
        <x:v>75.19778091397849</x:v>
      </x:c>
      <x:c r="G545" s="56" t="n">
        <x:f>F377</x:f>
        <x:v>85.4129744623656</x:v>
      </x:c>
      <x:c r="H545" s="57" t="n">
        <x:f>IF(ISNUMBER(G545),IF(G545=0,"n.a.",F545/G545-1),"n.a.")</x:f>
        <x:v>-0.11959767954092371</x:v>
      </x:c>
      <x:c r="I545" s="58" t="n">
        <x:f>F545/J545</x:f>
        <x:v>0.1776962376044841</x:v>
      </x:c>
      <x:c r="J545" s="56" t="n">
        <x:v>423.1816155913979</x:v>
      </x:c>
    </x:row>
    <x:row r="546" ht="65" customHeight="1">
      <x:c r="A546" s="61" t="n">
        <x:v>45717</x:v>
      </x:c>
      <x:c r="B546" s="32" t="str">
        <x:v>Industria automotriz</x:v>
      </x:c>
      <x:c r="C546" s="32" t="str">
        <x:v>Industrias sin Aluar</x:v>
      </x:c>
      <x:c r="D546" s="62" t="n">
        <x:v>31</x:v>
      </x:c>
      <x:c r="E546" s="2" t="str">
        <x:v>Completo</x:v>
      </x:c>
      <x:c r="F546" s="56" t="n">
        <x:v>42.55074596774193</x:v>
      </x:c>
      <x:c r="G546" s="56" t="n">
        <x:f>F378</x:f>
        <x:v>43.381592741935485</x:v>
      </x:c>
      <x:c r="H546" s="57" t="n">
        <x:f>IF(ISNUMBER(G546),IF(G546=0,"n.a.",F546/G546-1),"n.a.")</x:f>
        <x:v>-0.019152057858641047</x:v>
      </x:c>
      <x:c r="I546" s="58" t="n">
        <x:f>F546/J546</x:f>
        <x:v>0.039256856620882484</x:v>
      </x:c>
      <x:c r="J546" s="56" t="n">
        <x:v>1083.9060900537636</x:v>
      </x:c>
    </x:row>
    <x:row r="547" ht="65" customHeight="1">
      <x:c r="A547" s="61" t="n">
        <x:v>45717</x:v>
      </x:c>
      <x:c r="B547" s="32" t="str">
        <x:v>Derivados de petróleo</x:v>
      </x:c>
      <x:c r="C547" s="32" t="str">
        <x:v>Industrias sin Aluar</x:v>
      </x:c>
      <x:c r="D547" s="62" t="n">
        <x:v>31</x:v>
      </x:c>
      <x:c r="E547" s="2" t="str">
        <x:v>Completo</x:v>
      </x:c>
      <x:c r="F547" s="56" t="n">
        <x:v>149.64575806451614</x:v>
      </x:c>
      <x:c r="G547" s="56" t="n">
        <x:f>F379</x:f>
        <x:v>148.64953494623657</x:v>
      </x:c>
      <x:c r="H547" s="57" t="n">
        <x:f>IF(ISNUMBER(G547),IF(G547=0,"n.a.",F547/G547-1),"n.a.")</x:f>
        <x:v>0.006701824655152011</x:v>
      </x:c>
      <x:c r="I547" s="58" t="n">
        <x:f>F547/J547</x:f>
        <x:v>0.1380615529682036</x:v>
      </x:c>
      <x:c r="J547" s="56" t="n">
        <x:v>1083.9060900537636</x:v>
      </x:c>
    </x:row>
    <x:row r="548" ht="65" customHeight="1">
      <x:c r="A548" s="61" t="n">
        <x:v>45717</x:v>
      </x:c>
      <x:c r="B548" s="32" t="str">
        <x:v>Construcción: elaboración de cemento y canteras</x:v>
      </x:c>
      <x:c r="C548" s="32" t="str">
        <x:v>Industrias sin Aluar</x:v>
      </x:c>
      <x:c r="D548" s="62" t="n">
        <x:v>31</x:v>
      </x:c>
      <x:c r="E548" s="2" t="str">
        <x:v>Completo</x:v>
      </x:c>
      <x:c r="F548" s="56" t="n">
        <x:v>142.41225403225806</x:v>
      </x:c>
      <x:c r="G548" s="56" t="n">
        <x:f>F380</x:f>
        <x:v>131.9065887096774</x:v>
      </x:c>
      <x:c r="H548" s="57" t="n">
        <x:f>IF(ISNUMBER(G548),IF(G548=0,"n.a.",F548/G548-1),"n.a.")</x:f>
        <x:v>0.07964473515195913</x:v>
      </x:c>
      <x:c r="I548" s="58" t="n">
        <x:f>F548/J548</x:f>
        <x:v>0.13138800062023287</x:v>
      </x:c>
      <x:c r="J548" s="56" t="n">
        <x:v>1083.9060900537636</x:v>
      </x:c>
    </x:row>
    <x:row r="549" ht="65" customHeight="1">
      <x:c r="A549" s="61" t="n">
        <x:v>45717</x:v>
      </x:c>
      <x:c r="B549" s="32" t="str">
        <x:v>Madera y papel</x:v>
      </x:c>
      <x:c r="C549" s="32" t="str">
        <x:v>Industrias sin Aluar</x:v>
      </x:c>
      <x:c r="D549" s="62" t="n">
        <x:v>31</x:v>
      </x:c>
      <x:c r="E549" s="2" t="str">
        <x:v>Completo</x:v>
      </x:c>
      <x:c r="F549" s="56" t="n">
        <x:v>98.3025497311828</x:v>
      </x:c>
      <x:c r="G549" s="56" t="n">
        <x:f>F381</x:f>
        <x:v>101.02791263440861</x:v>
      </x:c>
      <x:c r="H549" s="57" t="n">
        <x:f>IF(ISNUMBER(G549),IF(G549=0,"n.a.",F549/G549-1),"n.a.")</x:f>
        <x:v>-0.026976335867574863</x:v>
      </x:c>
      <x:c r="I549" s="58" t="n">
        <x:f>F549/J549</x:f>
        <x:v>0.09069286595327351</x:v>
      </x:c>
      <x:c r="J549" s="56" t="n">
        <x:v>1083.9060900537636</x:v>
      </x:c>
    </x:row>
    <x:row r="550" ht="65" customHeight="1">
      <x:c r="A550" s="61" t="n">
        <x:v>45717</x:v>
      </x:c>
      <x:c r="B550" s="32" t="str">
        <x:v>Productos metálicos no automotores</x:v>
      </x:c>
      <x:c r="C550" s="32" t="str">
        <x:v>Industrias sin Aluar</x:v>
      </x:c>
      <x:c r="D550" s="62" t="n">
        <x:v>31</x:v>
      </x:c>
      <x:c r="E550" s="2" t="str">
        <x:v>Completo</x:v>
      </x:c>
      <x:c r="F550" s="56" t="n">
        <x:v>28.755403225806454</x:v>
      </x:c>
      <x:c r="G550" s="56" t="n">
        <x:f>F382</x:f>
        <x:v>43.05391666666667</x:v>
      </x:c>
      <x:c r="H550" s="57" t="n">
        <x:f>IF(ISNUMBER(G550),IF(G550=0,"n.a.",F550/G550-1),"n.a.")</x:f>
        <x:v>-0.33210714722106704</x:v>
      </x:c>
      <x:c r="I550" s="58" t="n">
        <x:f>F550/J550</x:f>
        <x:v>0.026529423065037062</x:v>
      </x:c>
      <x:c r="J550" s="56" t="n">
        <x:v>1083.9060900537636</x:v>
      </x:c>
    </x:row>
    <x:row r="551" ht="65" customHeight="1">
      <x:c r="A551" s="61" t="n">
        <x:v>45717</x:v>
      </x:c>
      <x:c r="B551" s="32" t="str">
        <x:v>Gran siderurgia</x:v>
      </x:c>
      <x:c r="C551" s="32" t="str">
        <x:v>Industrias sin Aluar</x:v>
      </x:c>
      <x:c r="D551" s="62" t="n">
        <x:v>31</x:v>
      </x:c>
      <x:c r="E551" s="2" t="str">
        <x:v>Completo</x:v>
      </x:c>
      <x:c r="F551" s="56" t="n">
        <x:v>247.3586586021505</x:v>
      </x:c>
      <x:c r="G551" s="56" t="n">
        <x:f>F383</x:f>
        <x:v>211.54222177419354</x:v>
      </x:c>
      <x:c r="H551" s="57" t="n">
        <x:f>IF(ISNUMBER(G551),IF(G551=0,"n.a.",F551/G551-1),"n.a.")</x:f>
        <x:v>0.16931105538916258</x:v>
      </x:c>
      <x:c r="I551" s="58" t="n">
        <x:f>F551/J551</x:f>
        <x:v>0.22821041497227965</x:v>
      </x:c>
      <x:c r="J551" s="56" t="n">
        <x:v>1083.9060900537636</x:v>
      </x:c>
    </x:row>
    <x:row r="552" ht="65" customHeight="1">
      <x:c r="A552" s="61" t="n">
        <x:v>45717</x:v>
      </x:c>
      <x:c r="B552" s="32" t="str">
        <x:v>Industria textil</x:v>
      </x:c>
      <x:c r="C552" s="32" t="str">
        <x:v>Industrias sin Aluar</x:v>
      </x:c>
      <x:c r="D552" s="62" t="n">
        <x:v>31</x:v>
      </x:c>
      <x:c r="E552" s="2" t="str">
        <x:v>Completo</x:v>
      </x:c>
      <x:c r="F552" s="56" t="n">
        <x:v>55.125762096774196</x:v>
      </x:c>
      <x:c r="G552" s="56" t="n">
        <x:f>F384</x:f>
        <x:v>55.346901881720434</x:v>
      </x:c>
      <x:c r="H552" s="57" t="n">
        <x:f>IF(ISNUMBER(G552),IF(G552=0,"n.a.",F552/G552-1),"n.a.")</x:f>
        <x:v>-0.0039955223766422465</x:v>
      </x:c>
      <x:c r="I552" s="58" t="n">
        <x:f>F552/J552</x:f>
        <x:v>0.05085843008229603</x:v>
      </x:c>
      <x:c r="J552" s="56" t="n">
        <x:v>1083.9060900537636</x:v>
      </x:c>
    </x:row>
    <x:row r="553" ht="65" customHeight="1">
      <x:c r="A553" s="61" t="n">
        <x:v>45717</x:v>
      </x:c>
      <x:c r="B553" s="32" t="str">
        <x:v>Químicas, caucho, plástico y otros minerales no metálicos</x:v>
      </x:c>
      <x:c r="C553" s="32" t="str">
        <x:v>Industrias sin Aluar</x:v>
      </x:c>
      <x:c r="D553" s="62" t="n">
        <x:v>31</x:v>
      </x:c>
      <x:c r="E553" s="2" t="str">
        <x:v>Completo</x:v>
      </x:c>
      <x:c r="F553" s="56" t="n">
        <x:v>319.7549583333333</x:v>
      </x:c>
      <x:c r="G553" s="56" t="n">
        <x:f>F385</x:f>
        <x:v>326.7653938172043</x:v>
      </x:c>
      <x:c r="H553" s="57" t="n">
        <x:f>IF(ISNUMBER(G553),IF(G553=0,"n.a.",F553/G553-1),"n.a.")</x:f>
        <x:v>-0.02145403282145808</x:v>
      </x:c>
      <x:c r="I553" s="58" t="n">
        <x:f>F553/J553</x:f>
        <x:v>0.29500245571779465</x:v>
      </x:c>
      <x:c r="J553" s="56" t="n">
        <x:v>1083.9060900537636</x:v>
      </x:c>
    </x:row>
    <x:row r="554" ht="65" customHeight="1">
      <x:c r="A554" s="61" t="n">
        <x:v>45717</x:v>
      </x:c>
      <x:c r="B554" s="32" t="str">
        <x:v>Extracción de minerales</x:v>
      </x:c>
      <x:c r="C554" s="32" t="str">
        <x:v>Petróleos y minerales</x:v>
      </x:c>
      <x:c r="D554" s="62" t="n">
        <x:v>31</x:v>
      </x:c>
      <x:c r="E554" s="2" t="str">
        <x:v>Completo</x:v>
      </x:c>
      <x:c r="F554" s="56" t="n">
        <x:v>22.25468548387097</x:v>
      </x:c>
      <x:c r="G554" s="56" t="n">
        <x:f>F386</x:f>
        <x:v>21.984283602150537</x:v>
      </x:c>
      <x:c r="H554" s="57" t="n">
        <x:f>IF(ISNUMBER(G554),IF(G554=0,"n.a.",F554/G554-1),"n.a.")</x:f>
        <x:v>0.01229978136262666</x:v>
      </x:c>
      <x:c r="I554" s="58" t="n">
        <x:f>F554/J554</x:f>
        <x:v>0.1326771898858476</x:v>
      </x:c>
      <x:c r="J554" s="56" t="n">
        <x:v>167.7355806451613</x:v>
      </x:c>
    </x:row>
    <x:row r="555" ht="65" customHeight="1">
      <x:c r="A555" s="61" t="n">
        <x:v>45717</x:v>
      </x:c>
      <x:c r="B555" s="32" t="str">
        <x:v>Extracción de petróleo</x:v>
      </x:c>
      <x:c r="C555" s="32" t="str">
        <x:v>Petróleos y minerales</x:v>
      </x:c>
      <x:c r="D555" s="62" t="n">
        <x:v>31</x:v>
      </x:c>
      <x:c r="E555" s="2" t="str">
        <x:v>Completo</x:v>
      </x:c>
      <x:c r="F555" s="56" t="n">
        <x:v>145.48089516129033</x:v>
      </x:c>
      <x:c r="G555" s="56" t="n">
        <x:f>F387</x:f>
        <x:v>153.65880241935486</x:v>
      </x:c>
      <x:c r="H555" s="57" t="n">
        <x:f>IF(ISNUMBER(G555),IF(G555=0,"n.a.",F555/G555-1),"n.a.")</x:f>
        <x:v>-0.05322120912895023</x:v>
      </x:c>
      <x:c r="I555" s="58" t="n">
        <x:f>F555/J555</x:f>
        <x:v>0.8673228101141525</x:v>
      </x:c>
      <x:c r="J555" s="56" t="n">
        <x:v>167.7355806451613</x:v>
      </x:c>
    </x:row>
    <x:row r="556" ht="65" customHeight="1">
      <x:c r="A556" s="61" t="n">
        <x:v>45748</x:v>
      </x:c>
      <x:c r="B556" s="32" t="str">
        <x:v>Cargas y puertos</x:v>
      </x:c>
      <x:c r="C556" s="32" t="str">
        <x:v>Alimentación, comercios y servicios</x:v>
      </x:c>
      <x:c r="D556" s="62" t="n">
        <x:v>30</x:v>
      </x:c>
      <x:c r="E556" s="2" t="str">
        <x:v>Completo</x:v>
      </x:c>
      <x:c r="F556" s="56" t="n">
        <x:v>9.5680125</x:v>
      </x:c>
      <x:c r="G556" s="56" t="n">
        <x:f>F388</x:f>
        <x:v>9.19405</x:v>
      </x:c>
      <x:c r="H556" s="57" t="n">
        <x:f>IF(ISNUMBER(G556),IF(G556=0,"n.a.",F556/G556-1),"n.a.")</x:f>
        <x:v>0.040674403554472605</x:v>
      </x:c>
      <x:c r="I556" s="58" t="n">
        <x:f>F556/J556</x:f>
        <x:v>0.023550143698229064</x:v>
      </x:c>
      <x:c r="J556" s="56" t="n">
        <x:v>406.28255277777777</x:v>
      </x:c>
    </x:row>
    <x:row r="557" ht="65" customHeight="1">
      <x:c r="A557" s="61" t="n">
        <x:v>45748</x:v>
      </x:c>
      <x:c r="B557" s="32" t="str">
        <x:v>Comercio y servicios: principalmente supermercados y centros comerciales</x:v>
      </x:c>
      <x:c r="C557" s="32" t="str">
        <x:v>Alimentación, comercios y servicios</x:v>
      </x:c>
      <x:c r="D557" s="62" t="n">
        <x:v>30</x:v>
      </x:c>
      <x:c r="E557" s="2" t="str">
        <x:v>Completo</x:v>
      </x:c>
      <x:c r="F557" s="56" t="n">
        <x:v>45.60965138888889</x:v>
      </x:c>
      <x:c r="G557" s="56" t="n">
        <x:f>F389</x:f>
        <x:v>35.878061111111116</x:v>
      </x:c>
      <x:c r="H557" s="57" t="n">
        <x:f>IF(ISNUMBER(G557),IF(G557=0,"n.a.",F557/G557-1),"n.a.")</x:f>
        <x:v>0.27124069630295566</x:v>
      </x:c>
      <x:c r="I557" s="58" t="n">
        <x:f>F557/J557</x:f>
        <x:v>0.11226091565353476</x:v>
      </x:c>
      <x:c r="J557" s="56" t="n">
        <x:v>406.28255277777777</x:v>
      </x:c>
    </x:row>
    <x:row r="558" ht="65" customHeight="1">
      <x:c r="A558" s="61" t="n">
        <x:v>45748</x:v>
      </x:c>
      <x:c r="B558" s="32" t="str">
        <x:v>Alimentación y artículos de consumo masivo</x:v>
      </x:c>
      <x:c r="C558" s="32" t="str">
        <x:v>Alimentación, comercios y servicios</x:v>
      </x:c>
      <x:c r="D558" s="62" t="n">
        <x:v>30</x:v>
      </x:c>
      <x:c r="E558" s="2" t="str">
        <x:v>Completo</x:v>
      </x:c>
      <x:c r="F558" s="56" t="n">
        <x:v>275.5870055555555</x:v>
      </x:c>
      <x:c r="G558" s="56" t="n">
        <x:f>F390</x:f>
        <x:v>288.5058208333333</x:v>
      </x:c>
      <x:c r="H558" s="57" t="n">
        <x:f>IF(ISNUMBER(G558),IF(G558=0,"n.a.",F558/G558-1),"n.a.")</x:f>
        <x:v>-0.04477835227193172</x:v>
      </x:c>
      <x:c r="I558" s="58" t="n">
        <x:f>F558/J558</x:f>
        <x:v>0.6783136604595764</x:v>
      </x:c>
      <x:c r="J558" s="56" t="n">
        <x:v>406.28255277777777</x:v>
      </x:c>
    </x:row>
    <x:row r="559" ht="65" customHeight="1">
      <x:c r="A559" s="61" t="n">
        <x:v>45748</x:v>
      </x:c>
      <x:c r="B559" s="32" t="str">
        <x:v>Servicios públicos y transporte: agua y transporte en GBA</x:v>
      </x:c>
      <x:c r="C559" s="32" t="str">
        <x:v>Alimentación, comercios y servicios</x:v>
      </x:c>
      <x:c r="D559" s="62" t="n">
        <x:v>30</x:v>
      </x:c>
      <x:c r="E559" s="2" t="str">
        <x:v>Completo</x:v>
      </x:c>
      <x:c r="F559" s="56" t="n">
        <x:v>75.51788333333334</x:v>
      </x:c>
      <x:c r="G559" s="56" t="n">
        <x:f>F391</x:f>
        <x:v>84.10488194444444</x:v>
      </x:c>
      <x:c r="H559" s="57" t="n">
        <x:f>IF(ISNUMBER(G559),IF(G559=0,"n.a.",F559/G559-1),"n.a.")</x:f>
        <x:v>-0.10209869406609773</x:v>
      </x:c>
      <x:c r="I559" s="58" t="n">
        <x:f>F559/J559</x:f>
        <x:v>0.18587528018865965</x:v>
      </x:c>
      <x:c r="J559" s="56" t="n">
        <x:v>406.28255277777777</x:v>
      </x:c>
    </x:row>
    <x:row r="560" ht="65" customHeight="1">
      <x:c r="A560" s="61" t="n">
        <x:v>45748</x:v>
      </x:c>
      <x:c r="B560" s="32" t="str">
        <x:v>Industria automotriz</x:v>
      </x:c>
      <x:c r="C560" s="32" t="str">
        <x:v>Industrias sin Aluar</x:v>
      </x:c>
      <x:c r="D560" s="62" t="n">
        <x:v>30</x:v>
      </x:c>
      <x:c r="E560" s="2" t="str">
        <x:v>Completo</x:v>
      </x:c>
      <x:c r="F560" s="56" t="n">
        <x:v>41.18686388888889</x:v>
      </x:c>
      <x:c r="G560" s="56" t="n">
        <x:f>F392</x:f>
        <x:v>40.914975000000005</x:v>
      </x:c>
      <x:c r="H560" s="57" t="n">
        <x:f>IF(ISNUMBER(G560),IF(G560=0,"n.a.",F560/G560-1),"n.a.")</x:f>
        <x:v>0.006645217035788908</x:v>
      </x:c>
      <x:c r="I560" s="58" t="n">
        <x:f>F560/J560</x:f>
        <x:v>0.0374173342677898</x:v>
      </x:c>
      <x:c r="J560" s="56" t="n">
        <x:v>1100.7428694444445</x:v>
      </x:c>
    </x:row>
    <x:row r="561" ht="65" customHeight="1">
      <x:c r="A561" s="61" t="n">
        <x:v>45748</x:v>
      </x:c>
      <x:c r="B561" s="32" t="str">
        <x:v>Derivados de petróleo</x:v>
      </x:c>
      <x:c r="C561" s="32" t="str">
        <x:v>Industrias sin Aluar</x:v>
      </x:c>
      <x:c r="D561" s="62" t="n">
        <x:v>30</x:v>
      </x:c>
      <x:c r="E561" s="2" t="str">
        <x:v>Completo</x:v>
      </x:c>
      <x:c r="F561" s="56" t="n">
        <x:v>153.31479305555555</x:v>
      </x:c>
      <x:c r="G561" s="56" t="n">
        <x:f>F393</x:f>
        <x:v>147.35657638888887</x:v>
      </x:c>
      <x:c r="H561" s="57" t="n">
        <x:f>IF(ISNUMBER(G561),IF(G561=0,"n.a.",F561/G561-1),"n.a.")</x:f>
        <x:v>0.04043400581554191</x:v>
      </x:c>
      <x:c r="I561" s="58" t="n">
        <x:f>F561/J561</x:f>
        <x:v>0.13928302177686147</x:v>
      </x:c>
      <x:c r="J561" s="56" t="n">
        <x:v>1100.7428694444445</x:v>
      </x:c>
    </x:row>
    <x:row r="562" ht="65" customHeight="1">
      <x:c r="A562" s="61" t="n">
        <x:v>45748</x:v>
      </x:c>
      <x:c r="B562" s="32" t="str">
        <x:v>Construcción: elaboración de cemento y canteras</x:v>
      </x:c>
      <x:c r="C562" s="32" t="str">
        <x:v>Industrias sin Aluar</x:v>
      </x:c>
      <x:c r="D562" s="62" t="n">
        <x:v>30</x:v>
      </x:c>
      <x:c r="E562" s="2" t="str">
        <x:v>Completo</x:v>
      </x:c>
      <x:c r="F562" s="56" t="n">
        <x:v>149.36918888888889</x:v>
      </x:c>
      <x:c r="G562" s="56" t="n">
        <x:f>F394</x:f>
        <x:v>141.21971805555555</x:v>
      </x:c>
      <x:c r="H562" s="57" t="n">
        <x:f>IF(ISNUMBER(G562),IF(G562=0,"n.a.",F562/G562-1),"n.a.")</x:f>
        <x:v>0.05770774043131399</x:v>
      </x:c>
      <x:c r="I562" s="58" t="n">
        <x:f>F562/J562</x:f>
        <x:v>0.13569852963415238</x:v>
      </x:c>
      <x:c r="J562" s="56" t="n">
        <x:v>1100.7428694444445</x:v>
      </x:c>
    </x:row>
    <x:row r="563" ht="65" customHeight="1">
      <x:c r="A563" s="61" t="n">
        <x:v>45748</x:v>
      </x:c>
      <x:c r="B563" s="32" t="str">
        <x:v>Madera y papel</x:v>
      </x:c>
      <x:c r="C563" s="32" t="str">
        <x:v>Industrias sin Aluar</x:v>
      </x:c>
      <x:c r="D563" s="62" t="n">
        <x:v>30</x:v>
      </x:c>
      <x:c r="E563" s="2" t="str">
        <x:v>Completo</x:v>
      </x:c>
      <x:c r="F563" s="56" t="n">
        <x:v>100.82068472222223</x:v>
      </x:c>
      <x:c r="G563" s="56" t="n">
        <x:f>F395</x:f>
        <x:v>103.92362638888888</x:v>
      </x:c>
      <x:c r="H563" s="57" t="n">
        <x:f>IF(ISNUMBER(G563),IF(G563=0,"n.a.",F563/G563-1),"n.a.")</x:f>
        <x:v>-0.02985790406365585</x:v>
      </x:c>
      <x:c r="I563" s="58" t="n">
        <x:f>F563/J563</x:f>
        <x:v>0.09159331168150778</x:v>
      </x:c>
      <x:c r="J563" s="56" t="n">
        <x:v>1100.7428694444445</x:v>
      </x:c>
    </x:row>
    <x:row r="564" ht="65" customHeight="1">
      <x:c r="A564" s="61" t="n">
        <x:v>45748</x:v>
      </x:c>
      <x:c r="B564" s="32" t="str">
        <x:v>Productos metálicos no automotores</x:v>
      </x:c>
      <x:c r="C564" s="32" t="str">
        <x:v>Industrias sin Aluar</x:v>
      </x:c>
      <x:c r="D564" s="62" t="n">
        <x:v>30</x:v>
      </x:c>
      <x:c r="E564" s="2" t="str">
        <x:v>Completo</x:v>
      </x:c>
      <x:c r="F564" s="56" t="n">
        <x:v>31.430494444444445</x:v>
      </x:c>
      <x:c r="G564" s="56" t="n">
        <x:f>F396</x:f>
        <x:v>41.50441111111111</x:v>
      </x:c>
      <x:c r="H564" s="57" t="n">
        <x:f>IF(ISNUMBER(G564),IF(G564=0,"n.a.",F564/G564-1),"n.a.")</x:f>
        <x:v>-0.2427191808527982</x:v>
      </x:c>
      <x:c r="I564" s="58" t="n">
        <x:f>F564/J564</x:f>
        <x:v>0.02855389329962929</x:v>
      </x:c>
      <x:c r="J564" s="56" t="n">
        <x:v>1100.7428694444445</x:v>
      </x:c>
    </x:row>
    <x:row r="565" ht="65" customHeight="1">
      <x:c r="A565" s="61" t="n">
        <x:v>45748</x:v>
      </x:c>
      <x:c r="B565" s="32" t="str">
        <x:v>Gran siderurgia</x:v>
      </x:c>
      <x:c r="C565" s="32" t="str">
        <x:v>Industrias sin Aluar</x:v>
      </x:c>
      <x:c r="D565" s="62" t="n">
        <x:v>30</x:v>
      </x:c>
      <x:c r="E565" s="2" t="str">
        <x:v>Completo</x:v>
      </x:c>
      <x:c r="F565" s="56" t="n">
        <x:v>247.63442222222224</x:v>
      </x:c>
      <x:c r="G565" s="56" t="n">
        <x:f>F397</x:f>
        <x:v>256.65835555555554</x:v>
      </x:c>
      <x:c r="H565" s="57" t="n">
        <x:f>IF(ISNUMBER(G565),IF(G565=0,"n.a.",F565/G565-1),"n.a.")</x:f>
        <x:v>-0.03515932031045843</x:v>
      </x:c>
      <x:c r="I565" s="58" t="n">
        <x:f>F565/J565</x:f>
        <x:v>0.22497027152872287</x:v>
      </x:c>
      <x:c r="J565" s="56" t="n">
        <x:v>1100.7428694444445</x:v>
      </x:c>
    </x:row>
    <x:row r="566" ht="65" customHeight="1">
      <x:c r="A566" s="61" t="n">
        <x:v>45748</x:v>
      </x:c>
      <x:c r="B566" s="32" t="str">
        <x:v>Industria textil</x:v>
      </x:c>
      <x:c r="C566" s="32" t="str">
        <x:v>Industrias sin Aluar</x:v>
      </x:c>
      <x:c r="D566" s="62" t="n">
        <x:v>30</x:v>
      </x:c>
      <x:c r="E566" s="2" t="str">
        <x:v>Completo</x:v>
      </x:c>
      <x:c r="F566" s="56" t="n">
        <x:v>50.211259722222216</x:v>
      </x:c>
      <x:c r="G566" s="56" t="n">
        <x:f>F398</x:f>
        <x:v>49.75077361111111</x:v>
      </x:c>
      <x:c r="H566" s="57" t="n">
        <x:f>IF(ISNUMBER(G566),IF(G566=0,"n.a.",F566/G566-1),"n.a.")</x:f>
        <x:v>0.009255858305050824</x:v>
      </x:c>
      <x:c r="I566" s="58" t="n">
        <x:f>F566/J566</x:f>
        <x:v>0.04561579376622655</x:v>
      </x:c>
      <x:c r="J566" s="56" t="n">
        <x:v>1100.7428694444445</x:v>
      </x:c>
    </x:row>
    <x:row r="567" ht="65" customHeight="1">
      <x:c r="A567" s="61" t="n">
        <x:v>45748</x:v>
      </x:c>
      <x:c r="B567" s="32" t="str">
        <x:v>Químicas, caucho, plástico y otros minerales no metálicos</x:v>
      </x:c>
      <x:c r="C567" s="32" t="str">
        <x:v>Industrias sin Aluar</x:v>
      </x:c>
      <x:c r="D567" s="62" t="n">
        <x:v>30</x:v>
      </x:c>
      <x:c r="E567" s="2" t="str">
        <x:v>Completo</x:v>
      </x:c>
      <x:c r="F567" s="56" t="n">
        <x:v>326.77516249999996</x:v>
      </x:c>
      <x:c r="G567" s="56" t="n">
        <x:f>F399</x:f>
        <x:v>322.79945416666664</x:v>
      </x:c>
      <x:c r="H567" s="57" t="n">
        <x:f>IF(ISNUMBER(G567),IF(G567=0,"n.a.",F567/G567-1),"n.a.")</x:f>
        <x:v>0.012316341561347866</x:v>
      </x:c>
      <x:c r="I567" s="58" t="n">
        <x:f>F567/J567</x:f>
        <x:v>0.29686784404510974</x:v>
      </x:c>
      <x:c r="J567" s="56" t="n">
        <x:v>1100.7428694444445</x:v>
      </x:c>
    </x:row>
    <x:row r="568" ht="65" customHeight="1">
      <x:c r="A568" s="61" t="n">
        <x:v>45748</x:v>
      </x:c>
      <x:c r="B568" s="32" t="str">
        <x:v>Extracción de minerales</x:v>
      </x:c>
      <x:c r="C568" s="32" t="str">
        <x:v>Petróleos y minerales</x:v>
      </x:c>
      <x:c r="D568" s="62" t="n">
        <x:v>30</x:v>
      </x:c>
      <x:c r="E568" s="2" t="str">
        <x:v>Completo</x:v>
      </x:c>
      <x:c r="F568" s="56" t="n">
        <x:v>24.467341666666666</x:v>
      </x:c>
      <x:c r="G568" s="56" t="n">
        <x:f>F400</x:f>
        <x:v>21.144481944444447</x:v>
      </x:c>
      <x:c r="H568" s="57" t="n">
        <x:f>IF(ISNUMBER(G568),IF(G568=0,"n.a.",F568/G568-1),"n.a.")</x:f>
        <x:v>0.15715020736629004</x:v>
      </x:c>
      <x:c r="I568" s="58" t="n">
        <x:f>F568/J568</x:f>
        <x:v>0.14704208663124152</x:v>
      </x:c>
      <x:c r="J568" s="56" t="n">
        <x:v>166.39686111111112</x:v>
      </x:c>
    </x:row>
    <x:row r="569" ht="65" customHeight="1">
      <x:c r="A569" s="61" t="n">
        <x:v>45748</x:v>
      </x:c>
      <x:c r="B569" s="32" t="str">
        <x:v>Extracción de petróleo</x:v>
      </x:c>
      <x:c r="C569" s="32" t="str">
        <x:v>Petróleos y minerales</x:v>
      </x:c>
      <x:c r="D569" s="62" t="n">
        <x:v>30</x:v>
      </x:c>
      <x:c r="E569" s="2" t="str">
        <x:v>Completo</x:v>
      </x:c>
      <x:c r="F569" s="56" t="n">
        <x:v>141.92951944444445</x:v>
      </x:c>
      <x:c r="G569" s="56" t="n">
        <x:f>F401</x:f>
        <x:v>152.8361875</x:v>
      </x:c>
      <x:c r="H569" s="57" t="n">
        <x:f>IF(ISNUMBER(G569),IF(G569=0,"n.a.",F569/G569-1),"n.a.")</x:f>
        <x:v>-0.07136181707984268</x:v>
      </x:c>
      <x:c r="I569" s="58" t="n">
        <x:f>F569/J569</x:f>
        <x:v>0.8529579133687585</x:v>
      </x:c>
      <x:c r="J569" s="56" t="n">
        <x:v>166.39686111111112</x:v>
      </x:c>
    </x:row>
    <x:row r="570" ht="65" customHeight="1">
      <x:c r="A570" s="61" t="n">
        <x:v>45778</x:v>
      </x:c>
      <x:c r="B570" s="32" t="str">
        <x:v>Cargas y puertos</x:v>
      </x:c>
      <x:c r="C570" s="32" t="str">
        <x:v>Alimentación, comercios y servicios</x:v>
      </x:c>
      <x:c r="D570" s="62" t="n">
        <x:v>31</x:v>
      </x:c>
      <x:c r="E570" s="2" t="str">
        <x:v>Completo</x:v>
      </x:c>
      <x:c r="F570" s="56" t="n">
        <x:v>9.245549731182795</x:v>
      </x:c>
      <x:c r="G570" s="56" t="n">
        <x:f>F402</x:f>
        <x:v>9.037594086021505</x:v>
      </x:c>
      <x:c r="H570" s="57" t="n">
        <x:f>IF(ISNUMBER(G570),IF(G570=0,"n.a.",F570/G570-1),"n.a.")</x:f>
        <x:v>0.023010066969364695</x:v>
      </x:c>
      <x:c r="I570" s="58" t="n">
        <x:f>F570/J570</x:f>
        <x:v>0.022983248924574044</x:v>
      </x:c>
      <x:c r="J570" s="56" t="n">
        <x:v>402.2734018817205</x:v>
      </x:c>
    </x:row>
    <x:row r="571" ht="65" customHeight="1">
      <x:c r="A571" s="61" t="n">
        <x:v>45778</x:v>
      </x:c>
      <x:c r="B571" s="32" t="str">
        <x:v>Comercio y servicios: principalmente supermercados y centros comerciales</x:v>
      </x:c>
      <x:c r="C571" s="32" t="str">
        <x:v>Alimentación, comercios y servicios</x:v>
      </x:c>
      <x:c r="D571" s="62" t="n">
        <x:v>31</x:v>
      </x:c>
      <x:c r="E571" s="2" t="str">
        <x:v>Completo</x:v>
      </x:c>
      <x:c r="F571" s="56" t="n">
        <x:v>44.32232123655914</x:v>
      </x:c>
      <x:c r="G571" s="56" t="n">
        <x:f>F403</x:f>
        <x:v>31.103408602150537</x:v>
      </x:c>
      <x:c r="H571" s="57" t="n">
        <x:f>IF(ISNUMBER(G571),IF(G571=0,"n.a.",F571/G571-1),"n.a.")</x:f>
        <x:v>0.42499884187917036</x:v>
      </x:c>
      <x:c r="I571" s="58" t="n">
        <x:f>F571/J571</x:f>
        <x:v>0.11017959683447112</x:v>
      </x:c>
      <x:c r="J571" s="56" t="n">
        <x:v>402.2734018817205</x:v>
      </x:c>
    </x:row>
    <x:row r="572" ht="65" customHeight="1">
      <x:c r="A572" s="61" t="n">
        <x:v>45778</x:v>
      </x:c>
      <x:c r="B572" s="32" t="str">
        <x:v>Alimentación y artículos de consumo masivo</x:v>
      </x:c>
      <x:c r="C572" s="32" t="str">
        <x:v>Alimentación, comercios y servicios</x:v>
      </x:c>
      <x:c r="D572" s="62" t="n">
        <x:v>31</x:v>
      </x:c>
      <x:c r="E572" s="2" t="str">
        <x:v>Completo</x:v>
      </x:c>
      <x:c r="F572" s="56" t="n">
        <x:v>277.0284045698925</x:v>
      </x:c>
      <x:c r="G572" s="56" t="n">
        <x:f>F404</x:f>
        <x:v>275.74411290322575</x:v>
      </x:c>
      <x:c r="H572" s="57" t="n">
        <x:f>IF(ISNUMBER(G572),IF(G572=0,"n.a.",F572/G572-1),"n.a.")</x:f>
        <x:v>0.004657548816345614</x:v>
      </x:c>
      <x:c r="I572" s="58" t="n">
        <x:f>F572/J572</x:f>
        <x:v>0.6886570259779355</x:v>
      </x:c>
      <x:c r="J572" s="56" t="n">
        <x:v>402.2734018817205</x:v>
      </x:c>
    </x:row>
    <x:row r="573" ht="65" customHeight="1">
      <x:c r="A573" s="61" t="n">
        <x:v>45778</x:v>
      </x:c>
      <x:c r="B573" s="32" t="str">
        <x:v>Servicios públicos y transporte: agua y transporte en GBA</x:v>
      </x:c>
      <x:c r="C573" s="32" t="str">
        <x:v>Alimentación, comercios y servicios</x:v>
      </x:c>
      <x:c r="D573" s="62" t="n">
        <x:v>31</x:v>
      </x:c>
      <x:c r="E573" s="2" t="str">
        <x:v>Completo</x:v>
      </x:c>
      <x:c r="F573" s="56" t="n">
        <x:v>71.67712634408602</x:v>
      </x:c>
      <x:c r="G573" s="56" t="n">
        <x:f>F405</x:f>
        <x:v>85.51842741935484</x:v>
      </x:c>
      <x:c r="H573" s="57" t="n">
        <x:f>IF(ISNUMBER(G573),IF(G573=0,"n.a.",F573/G573-1),"n.a.")</x:f>
        <x:v>-0.16185167914039778</x:v>
      </x:c>
      <x:c r="I573" s="58" t="n">
        <x:f>F573/J573</x:f>
        <x:v>0.17818012826301918</x:v>
      </x:c>
      <x:c r="J573" s="56" t="n">
        <x:v>402.2734018817205</x:v>
      </x:c>
    </x:row>
    <x:row r="574" ht="65" customHeight="1">
      <x:c r="A574" s="61" t="n">
        <x:v>45778</x:v>
      </x:c>
      <x:c r="B574" s="32" t="str">
        <x:v>Industria automotriz</x:v>
      </x:c>
      <x:c r="C574" s="32" t="str">
        <x:v>Industrias sin Aluar</x:v>
      </x:c>
      <x:c r="D574" s="62" t="n">
        <x:v>31</x:v>
      </x:c>
      <x:c r="E574" s="2" t="str">
        <x:v>Completo</x:v>
      </x:c>
      <x:c r="F574" s="56" t="n">
        <x:v>43.09435887096774</x:v>
      </x:c>
      <x:c r="G574" s="56" t="n">
        <x:f>F406</x:f>
        <x:v>38.929057795698924</x:v>
      </x:c>
      <x:c r="H574" s="57" t="n">
        <x:f>IF(ISNUMBER(G574),IF(G574=0,"n.a.",F574/G574-1),"n.a.")</x:f>
        <x:v>0.10699722292608427</x:v>
      </x:c>
      <x:c r="I574" s="58" t="n">
        <x:f>F574/J574</x:f>
        <x:v>0.038966740048863094</x:v>
      </x:c>
      <x:c r="J574" s="56" t="n">
        <x:v>1105.9267163978495</x:v>
      </x:c>
    </x:row>
    <x:row r="575" ht="65" customHeight="1">
      <x:c r="A575" s="61" t="n">
        <x:v>45778</x:v>
      </x:c>
      <x:c r="B575" s="32" t="str">
        <x:v>Derivados de petróleo</x:v>
      </x:c>
      <x:c r="C575" s="32" t="str">
        <x:v>Industrias sin Aluar</x:v>
      </x:c>
      <x:c r="D575" s="62" t="n">
        <x:v>31</x:v>
      </x:c>
      <x:c r="E575" s="2" t="str">
        <x:v>Completo</x:v>
      </x:c>
      <x:c r="F575" s="56" t="n">
        <x:v>144.58043548387099</x:v>
      </x:c>
      <x:c r="G575" s="56" t="n">
        <x:f>F407</x:f>
        <x:v>154.64159677419354</x:v>
      </x:c>
      <x:c r="H575" s="57" t="n">
        <x:f>IF(ISNUMBER(G575),IF(G575=0,"n.a.",F575/G575-1),"n.a.")</x:f>
        <x:v>-0.06506115754232533</x:v>
      </x:c>
      <x:c r="I575" s="58" t="n">
        <x:f>F575/J575</x:f>
        <x:v>0.13073238338503</x:v>
      </x:c>
      <x:c r="J575" s="56" t="n">
        <x:v>1105.9267163978495</x:v>
      </x:c>
    </x:row>
    <x:row r="576" ht="65" customHeight="1">
      <x:c r="A576" s="61" t="n">
        <x:v>45778</x:v>
      </x:c>
      <x:c r="B576" s="32" t="str">
        <x:v>Construcción: elaboración de cemento y canteras</x:v>
      </x:c>
      <x:c r="C576" s="32" t="str">
        <x:v>Industrias sin Aluar</x:v>
      </x:c>
      <x:c r="D576" s="62" t="n">
        <x:v>31</x:v>
      </x:c>
      <x:c r="E576" s="2" t="str">
        <x:v>Completo</x:v>
      </x:c>
      <x:c r="F576" s="56" t="n">
        <x:v>109.74640591397849</x:v>
      </x:c>
      <x:c r="G576" s="56" t="n">
        <x:f>F408</x:f>
        <x:v>105.73363978494623</x:v>
      </x:c>
      <x:c r="H576" s="57" t="n">
        <x:f>IF(ISNUMBER(G576),IF(G576=0,"n.a.",F576/G576-1),"n.a.")</x:f>
        <x:v>0.03795165036589965</x:v>
      </x:c>
      <x:c r="I576" s="58" t="n">
        <x:f>F576/J576</x:f>
        <x:v>0.09923479041309097</x:v>
      </x:c>
      <x:c r="J576" s="56" t="n">
        <x:v>1105.9267163978495</x:v>
      </x:c>
    </x:row>
    <x:row r="577" ht="65" customHeight="1">
      <x:c r="A577" s="61" t="n">
        <x:v>45778</x:v>
      </x:c>
      <x:c r="B577" s="32" t="str">
        <x:v>Madera y papel</x:v>
      </x:c>
      <x:c r="C577" s="32" t="str">
        <x:v>Industrias sin Aluar</x:v>
      </x:c>
      <x:c r="D577" s="62" t="n">
        <x:v>31</x:v>
      </x:c>
      <x:c r="E577" s="2" t="str">
        <x:v>Completo</x:v>
      </x:c>
      <x:c r="F577" s="56" t="n">
        <x:v>102.44226612903226</x:v>
      </x:c>
      <x:c r="G577" s="56" t="n">
        <x:f>F409</x:f>
        <x:v>92.04283064516129</x:v>
      </x:c>
      <x:c r="H577" s="57" t="n">
        <x:f>IF(ISNUMBER(G577),IF(G577=0,"n.a.",F577/G577-1),"n.a.")</x:f>
        <x:v>0.11298474211383547</x:v>
      </x:c>
      <x:c r="I577" s="58" t="n">
        <x:f>F577/J577</x:f>
        <x:v>0.09263024810784963</x:v>
      </x:c>
      <x:c r="J577" s="56" t="n">
        <x:v>1105.9267163978495</x:v>
      </x:c>
    </x:row>
    <x:row r="578" ht="65" customHeight="1">
      <x:c r="A578" s="61" t="n">
        <x:v>45778</x:v>
      </x:c>
      <x:c r="B578" s="32" t="str">
        <x:v>Productos metálicos no automotores</x:v>
      </x:c>
      <x:c r="C578" s="32" t="str">
        <x:v>Industrias sin Aluar</x:v>
      </x:c>
      <x:c r="D578" s="62" t="n">
        <x:v>31</x:v>
      </x:c>
      <x:c r="E578" s="2" t="str">
        <x:v>Completo</x:v>
      </x:c>
      <x:c r="F578" s="56" t="n">
        <x:v>30.53157258064516</x:v>
      </x:c>
      <x:c r="G578" s="56" t="n">
        <x:f>F410</x:f>
        <x:v>37.319522849462366</x:v>
      </x:c>
      <x:c r="H578" s="57" t="n">
        <x:f>IF(ISNUMBER(G578),IF(G578=0,"n.a.",F578/G578-1),"n.a.")</x:f>
        <x:v>-0.18188738093458756</x:v>
      </x:c>
      <x:c r="I578" s="58" t="n">
        <x:f>F578/J578</x:f>
        <x:v>0.027607229419405434</x:v>
      </x:c>
      <x:c r="J578" s="56" t="n">
        <x:v>1105.9267163978495</x:v>
      </x:c>
    </x:row>
    <x:row r="579" ht="65" customHeight="1">
      <x:c r="A579" s="61" t="n">
        <x:v>45778</x:v>
      </x:c>
      <x:c r="B579" s="32" t="str">
        <x:v>Gran siderurgia</x:v>
      </x:c>
      <x:c r="C579" s="32" t="str">
        <x:v>Industrias sin Aluar</x:v>
      </x:c>
      <x:c r="D579" s="62" t="n">
        <x:v>31</x:v>
      </x:c>
      <x:c r="E579" s="2" t="str">
        <x:v>Completo</x:v>
      </x:c>
      <x:c r="F579" s="56" t="n">
        <x:v>287.72241935483873</x:v>
      </x:c>
      <x:c r="G579" s="56" t="n">
        <x:f>F411</x:f>
        <x:v>273.3228051075269</x:v>
      </x:c>
      <x:c r="H579" s="57" t="n">
        <x:f>IF(ISNUMBER(G579),IF(G579=0,"n.a.",F579/G579-1),"n.a.")</x:f>
        <x:v>0.052683544798418636</x:v>
      </x:c>
      <x:c r="I579" s="58" t="n">
        <x:f>F579/J579</x:f>
        <x:v>0.26016409142550506</x:v>
      </x:c>
      <x:c r="J579" s="56" t="n">
        <x:v>1105.9267163978495</x:v>
      </x:c>
    </x:row>
    <x:row r="580" ht="65" customHeight="1">
      <x:c r="A580" s="61" t="n">
        <x:v>45778</x:v>
      </x:c>
      <x:c r="B580" s="32" t="str">
        <x:v>Industria textil</x:v>
      </x:c>
      <x:c r="C580" s="32" t="str">
        <x:v>Industrias sin Aluar</x:v>
      </x:c>
      <x:c r="D580" s="62" t="n">
        <x:v>31</x:v>
      </x:c>
      <x:c r="E580" s="2" t="str">
        <x:v>Completo</x:v>
      </x:c>
      <x:c r="F580" s="56" t="n">
        <x:v>55.273020161290326</x:v>
      </x:c>
      <x:c r="G580" s="56" t="n">
        <x:f>F412</x:f>
        <x:v>50.00282392473118</x:v>
      </x:c>
      <x:c r="H580" s="57" t="n">
        <x:f>IF(ISNUMBER(G580),IF(G580=0,"n.a.",F580/G580-1),"n.a.")</x:f>
        <x:v>0.10539797201238721</x:v>
      </x:c>
      <x:c r="I580" s="58" t="n">
        <x:f>F580/J580</x:f>
        <x:v>0.049978917537431326</x:v>
      </x:c>
      <x:c r="J580" s="56" t="n">
        <x:v>1105.9267163978495</x:v>
      </x:c>
    </x:row>
    <x:row r="581" ht="65" customHeight="1">
      <x:c r="A581" s="61" t="n">
        <x:v>45778</x:v>
      </x:c>
      <x:c r="B581" s="32" t="str">
        <x:v>Químicas, caucho, plástico y otros minerales no metálicos</x:v>
      </x:c>
      <x:c r="C581" s="32" t="str">
        <x:v>Industrias sin Aluar</x:v>
      </x:c>
      <x:c r="D581" s="62" t="n">
        <x:v>31</x:v>
      </x:c>
      <x:c r="E581" s="2" t="str">
        <x:v>Completo</x:v>
      </x:c>
      <x:c r="F581" s="56" t="n">
        <x:v>332.53623790322575</x:v>
      </x:c>
      <x:c r="G581" s="56" t="n">
        <x:f>F413</x:f>
        <x:v>345.5366155913979</x:v>
      </x:c>
      <x:c r="H581" s="57" t="n">
        <x:f>IF(ISNUMBER(G581),IF(G581=0,"n.a.",F581/G581-1),"n.a.")</x:f>
        <x:v>-0.03762373393025664</x:v>
      </x:c>
      <x:c r="I581" s="58" t="n">
        <x:f>F581/J581</x:f>
        <x:v>0.30068559966282443</x:v>
      </x:c>
      <x:c r="J581" s="56" t="n">
        <x:v>1105.9267163978495</x:v>
      </x:c>
    </x:row>
    <x:row r="582" ht="65" customHeight="1">
      <x:c r="A582" s="61" t="n">
        <x:v>45778</x:v>
      </x:c>
      <x:c r="B582" s="32" t="str">
        <x:v>Extracción de minerales</x:v>
      </x:c>
      <x:c r="C582" s="32" t="str">
        <x:v>Petróleos y minerales</x:v>
      </x:c>
      <x:c r="D582" s="62" t="n">
        <x:v>31</x:v>
      </x:c>
      <x:c r="E582" s="2" t="str">
        <x:v>Completo</x:v>
      </x:c>
      <x:c r="F582" s="56" t="n">
        <x:v>24.52288306451613</x:v>
      </x:c>
      <x:c r="G582" s="56" t="n">
        <x:f>F414</x:f>
        <x:v>23.108010752688173</x:v>
      </x:c>
      <x:c r="H582" s="57" t="n">
        <x:f>IF(ISNUMBER(G582),IF(G582=0,"n.a.",F582/G582-1),"n.a.")</x:f>
        <x:v>0.06122865040052661</x:v>
      </x:c>
      <x:c r="I582" s="58" t="n">
        <x:f>F582/J582</x:f>
        <x:v>0.13613193090303338</x:v>
      </x:c>
      <x:c r="J582" s="56" t="n">
        <x:v>180.14056586021505</x:v>
      </x:c>
    </x:row>
    <x:row r="583" ht="65" customHeight="1">
      <x:c r="A583" s="61" t="n">
        <x:v>45778</x:v>
      </x:c>
      <x:c r="B583" s="32" t="str">
        <x:v>Extracción de petróleo</x:v>
      </x:c>
      <x:c r="C583" s="32" t="str">
        <x:v>Petróleos y minerales</x:v>
      </x:c>
      <x:c r="D583" s="62" t="n">
        <x:v>31</x:v>
      </x:c>
      <x:c r="E583" s="2" t="str">
        <x:v>Completo</x:v>
      </x:c>
      <x:c r="F583" s="56" t="n">
        <x:v>155.61768279569893</x:v>
      </x:c>
      <x:c r="G583" s="56" t="n">
        <x:f>F415</x:f>
        <x:v>148.03862903225806</x:v>
      </x:c>
      <x:c r="H583" s="57" t="n">
        <x:f>IF(ISNUMBER(G583),IF(G583=0,"n.a.",F583/G583-1),"n.a.")</x:f>
        <x:v>0.05119646009278678</x:v>
      </x:c>
      <x:c r="I583" s="58" t="n">
        <x:f>F583/J583</x:f>
        <x:v>0.8638680690969667</x:v>
      </x:c>
      <x:c r="J583" s="56" t="n">
        <x:v>180.14056586021505</x:v>
      </x:c>
    </x:row>
    <x:row r="584" ht="65" customHeight="1">
      <x:c r="A584" s="61" t="n">
        <x:v>45809</x:v>
      </x:c>
      <x:c r="B584" s="32" t="str">
        <x:v>Cargas y puertos</x:v>
      </x:c>
      <x:c r="C584" s="32" t="str">
        <x:v>Alimentación, comercios y servicios</x:v>
      </x:c>
      <x:c r="D584" s="62" t="n">
        <x:v>30</x:v>
      </x:c>
      <x:c r="E584" s="2" t="str">
        <x:v>Completo</x:v>
      </x:c>
      <x:c r="F584" s="56" t="n">
        <x:v>9.643102777777779</x:v>
      </x:c>
      <x:c r="G584" s="56" t="n">
        <x:f>F416</x:f>
        <x:v>9.327354166666668</x:v>
      </x:c>
      <x:c r="H584" s="57" t="n">
        <x:f>IF(ISNUMBER(G584),IF(G584=0,"n.a.",F584/G584-1),"n.a.")</x:f>
        <x:v>0.03385189470337768</x:v>
      </x:c>
      <x:c r="I584" s="58" t="n">
        <x:f>F584/J584</x:f>
        <x:v>0.023705663051677168</x:v>
      </x:c>
      <x:c r="J584" s="56" t="n">
        <x:v>406.7847736111111</x:v>
      </x:c>
    </x:row>
    <x:row r="585" ht="65" customHeight="1">
      <x:c r="A585" s="61" t="n">
        <x:v>45809</x:v>
      </x:c>
      <x:c r="B585" s="32" t="str">
        <x:v>Comercio y servicios: principalmente supermercados y centros comerciales</x:v>
      </x:c>
      <x:c r="C585" s="32" t="str">
        <x:v>Alimentación, comercios y servicios</x:v>
      </x:c>
      <x:c r="D585" s="62" t="n">
        <x:v>30</x:v>
      </x:c>
      <x:c r="E585" s="2" t="str">
        <x:v>Completo</x:v>
      </x:c>
      <x:c r="F585" s="56" t="n">
        <x:v>44.043680555555554</x:v>
      </x:c>
      <x:c r="G585" s="56" t="n">
        <x:f>F417</x:f>
        <x:v>29.116030555555554</x:v>
      </x:c>
      <x:c r="H585" s="57" t="n">
        <x:f>IF(ISNUMBER(G585),IF(G585=0,"n.a.",F585/G585-1),"n.a.")</x:f>
        <x:v>0.5126952306055914</x:v>
      </x:c>
      <x:c r="I585" s="58" t="n">
        <x:f>F585/J585</x:f>
        <x:v>0.10827268721139892</x:v>
      </x:c>
      <x:c r="J585" s="56" t="n">
        <x:v>406.7847736111111</x:v>
      </x:c>
    </x:row>
    <x:row r="586" ht="65" customHeight="1">
      <x:c r="A586" s="61" t="n">
        <x:v>45809</x:v>
      </x:c>
      <x:c r="B586" s="32" t="str">
        <x:v>Alimentación y artículos de consumo masivo</x:v>
      </x:c>
      <x:c r="C586" s="32" t="str">
        <x:v>Alimentación, comercios y servicios</x:v>
      </x:c>
      <x:c r="D586" s="62" t="n">
        <x:v>30</x:v>
      </x:c>
      <x:c r="E586" s="2" t="str">
        <x:v>Completo</x:v>
      </x:c>
      <x:c r="F586" s="56" t="n">
        <x:v>279.086475</x:v>
      </x:c>
      <x:c r="G586" s="56" t="n">
        <x:f>F418</x:f>
        <x:v>265.35000694444443</x:v>
      </x:c>
      <x:c r="H586" s="57" t="n">
        <x:f>IF(ISNUMBER(G586),IF(G586=0,"n.a.",F586/G586-1),"n.a.")</x:f>
        <x:v>0.051767355176408625</x:v>
      </x:c>
      <x:c r="I586" s="58" t="n">
        <x:f>F586/J586</x:f>
        <x:v>0.6860789614185719</x:v>
      </x:c>
      <x:c r="J586" s="56" t="n">
        <x:v>406.7847736111111</x:v>
      </x:c>
    </x:row>
    <x:row r="587" ht="65" customHeight="1">
      <x:c r="A587" s="61" t="n">
        <x:v>45809</x:v>
      </x:c>
      <x:c r="B587" s="32" t="str">
        <x:v>Servicios públicos y transporte: agua y transporte en GBA</x:v>
      </x:c>
      <x:c r="C587" s="32" t="str">
        <x:v>Alimentación, comercios y servicios</x:v>
      </x:c>
      <x:c r="D587" s="62" t="n">
        <x:v>30</x:v>
      </x:c>
      <x:c r="E587" s="2" t="str">
        <x:v>Completo</x:v>
      </x:c>
      <x:c r="F587" s="56" t="n">
        <x:v>74.01151527777778</x:v>
      </x:c>
      <x:c r="G587" s="56" t="n">
        <x:f>F419</x:f>
        <x:v>85.11647500000001</x:v>
      </x:c>
      <x:c r="H587" s="57" t="n">
        <x:f>IF(ISNUMBER(G587),IF(G587=0,"n.a.",F587/G587-1),"n.a.")</x:f>
        <x:v>-0.13046780570062644</x:v>
      </x:c>
      <x:c r="I587" s="58" t="n">
        <x:f>F587/J587</x:f>
        <x:v>0.181942688318352</x:v>
      </x:c>
      <x:c r="J587" s="56" t="n">
        <x:v>406.7847736111111</x:v>
      </x:c>
    </x:row>
    <x:row r="588" ht="65" customHeight="1">
      <x:c r="A588" s="61" t="n">
        <x:v>45809</x:v>
      </x:c>
      <x:c r="B588" s="32" t="str">
        <x:v>Industria automotriz</x:v>
      </x:c>
      <x:c r="C588" s="32" t="str">
        <x:v>Industrias sin Aluar</x:v>
      </x:c>
      <x:c r="D588" s="62" t="n">
        <x:v>30</x:v>
      </x:c>
      <x:c r="E588" s="2" t="str">
        <x:v>Completo</x:v>
      </x:c>
      <x:c r="F588" s="56" t="n">
        <x:v>42.16368333333333</x:v>
      </x:c>
      <x:c r="G588" s="56" t="n">
        <x:f>F420</x:f>
        <x:v>36.91479861111111</x:v>
      </x:c>
      <x:c r="H588" s="57" t="n">
        <x:f>IF(ISNUMBER(G588),IF(G588=0,"n.a.",F588/G588-1),"n.a.")</x:f>
        <x:v>0.1421891739819039</x:v>
      </x:c>
      <x:c r="I588" s="58" t="n">
        <x:f>F588/J588</x:f>
        <x:v>0.038976097722856415</x:v>
      </x:c>
      <x:c r="J588" s="56" t="n">
        <x:v>1081.7830875</x:v>
      </x:c>
    </x:row>
    <x:row r="589" ht="65" customHeight="1">
      <x:c r="A589" s="61" t="n">
        <x:v>45809</x:v>
      </x:c>
      <x:c r="B589" s="32" t="str">
        <x:v>Derivados de petróleo</x:v>
      </x:c>
      <x:c r="C589" s="32" t="str">
        <x:v>Industrias sin Aluar</x:v>
      </x:c>
      <x:c r="D589" s="62" t="n">
        <x:v>30</x:v>
      </x:c>
      <x:c r="E589" s="2" t="str">
        <x:v>Completo</x:v>
      </x:c>
      <x:c r="F589" s="56" t="n">
        <x:v>151.43318055555557</x:v>
      </x:c>
      <x:c r="G589" s="56" t="n">
        <x:f>F421</x:f>
        <x:v>148.24127638888888</x:v>
      </x:c>
      <x:c r="H589" s="57" t="n">
        <x:f>IF(ISNUMBER(G589),IF(G589=0,"n.a.",F589/G589-1),"n.a.")</x:f>
        <x:v>0.021531817887841198</x:v>
      </x:c>
      <x:c r="I589" s="58" t="n">
        <x:f>F589/J589</x:f>
        <x:v>0.13998479205800635</x:v>
      </x:c>
      <x:c r="J589" s="56" t="n">
        <x:v>1081.7830875</x:v>
      </x:c>
    </x:row>
    <x:row r="590" ht="65" customHeight="1">
      <x:c r="A590" s="61" t="n">
        <x:v>45809</x:v>
      </x:c>
      <x:c r="B590" s="32" t="str">
        <x:v>Construcción: elaboración de cemento y canteras</x:v>
      </x:c>
      <x:c r="C590" s="32" t="str">
        <x:v>Industrias sin Aluar</x:v>
      </x:c>
      <x:c r="D590" s="62" t="n">
        <x:v>30</x:v>
      </x:c>
      <x:c r="E590" s="2" t="str">
        <x:v>Completo</x:v>
      </x:c>
      <x:c r="F590" s="56" t="n">
        <x:v>111.61258055555555</x:v>
      </x:c>
      <x:c r="G590" s="56" t="n">
        <x:f>F422</x:f>
        <x:v>98.02053055555555</x:v>
      </x:c>
      <x:c r="H590" s="57" t="n">
        <x:f>IF(ISNUMBER(G590),IF(G590=0,"n.a.",F590/G590-1),"n.a.")</x:f>
        <x:v>0.13866533799565972</x:v>
      </x:c>
      <x:c r="I590" s="58" t="n">
        <x:f>F590/J590</x:f>
        <x:v>0.10317463994883869</x:v>
      </x:c>
      <x:c r="J590" s="56" t="n">
        <x:v>1081.7830875</x:v>
      </x:c>
    </x:row>
    <x:row r="591" ht="65" customHeight="1">
      <x:c r="A591" s="61" t="n">
        <x:v>45809</x:v>
      </x:c>
      <x:c r="B591" s="32" t="str">
        <x:v>Madera y papel</x:v>
      </x:c>
      <x:c r="C591" s="32" t="str">
        <x:v>Industrias sin Aluar</x:v>
      </x:c>
      <x:c r="D591" s="62" t="n">
        <x:v>30</x:v>
      </x:c>
      <x:c r="E591" s="2" t="str">
        <x:v>Completo</x:v>
      </x:c>
      <x:c r="F591" s="56" t="n">
        <x:v>100.88241666666666</x:v>
      </x:c>
      <x:c r="G591" s="56" t="n">
        <x:f>F423</x:f>
        <x:v>86.17488333333334</x:v>
      </x:c>
      <x:c r="H591" s="57" t="n">
        <x:f>IF(ISNUMBER(G591),IF(G591=0,"n.a.",F591/G591-1),"n.a.")</x:f>
        <x:v>0.17067076582445795</x:v>
      </x:c>
      <x:c r="I591" s="58" t="n">
        <x:f>F591/J591</x:f>
        <x:v>0.09325567928761565</x:v>
      </x:c>
      <x:c r="J591" s="56" t="n">
        <x:v>1081.7830875</x:v>
      </x:c>
    </x:row>
    <x:row r="592" ht="65" customHeight="1">
      <x:c r="A592" s="61" t="n">
        <x:v>45809</x:v>
      </x:c>
      <x:c r="B592" s="32" t="str">
        <x:v>Productos metálicos no automotores</x:v>
      </x:c>
      <x:c r="C592" s="32" t="str">
        <x:v>Industrias sin Aluar</x:v>
      </x:c>
      <x:c r="D592" s="62" t="n">
        <x:v>30</x:v>
      </x:c>
      <x:c r="E592" s="2" t="str">
        <x:v>Completo</x:v>
      </x:c>
      <x:c r="F592" s="56" t="n">
        <x:v>38.19257777777777</x:v>
      </x:c>
      <x:c r="G592" s="56" t="n">
        <x:f>F424</x:f>
        <x:v>37.63717777777777</x:v>
      </x:c>
      <x:c r="H592" s="57" t="n">
        <x:f>IF(ISNUMBER(G592),IF(G592=0,"n.a.",F592/G592-1),"n.a.")</x:f>
        <x:v>0.014756685617589582</x:v>
      </x:c>
      <x:c r="I592" s="58" t="n">
        <x:f>F592/J592</x:f>
        <x:v>0.035305208797487116</x:v>
      </x:c>
      <x:c r="J592" s="56" t="n">
        <x:v>1081.7830875</x:v>
      </x:c>
    </x:row>
    <x:row r="593" ht="65" customHeight="1">
      <x:c r="A593" s="61" t="n">
        <x:v>45809</x:v>
      </x:c>
      <x:c r="B593" s="32" t="str">
        <x:v>Gran siderurgia</x:v>
      </x:c>
      <x:c r="C593" s="32" t="str">
        <x:v>Industrias sin Aluar</x:v>
      </x:c>
      <x:c r="D593" s="62" t="n">
        <x:v>30</x:v>
      </x:c>
      <x:c r="E593" s="2" t="str">
        <x:v>Completo</x:v>
      </x:c>
      <x:c r="F593" s="56" t="n">
        <x:v>266.9037902777778</x:v>
      </x:c>
      <x:c r="G593" s="56" t="n">
        <x:f>F425</x:f>
        <x:v>251.9359513888889</x:v>
      </x:c>
      <x:c r="H593" s="57" t="n">
        <x:f>IF(ISNUMBER(G593),IF(G593=0,"n.a.",F593/G593-1),"n.a.")</x:f>
        <x:v>0.059411286108128625</x:v>
      </x:c>
      <x:c r="I593" s="58" t="n">
        <x:f>F593/J593</x:f>
        <x:v>0.24672579314822926</x:v>
      </x:c>
      <x:c r="J593" s="56" t="n">
        <x:v>1081.7830875</x:v>
      </x:c>
    </x:row>
    <x:row r="594" ht="65" customHeight="1">
      <x:c r="A594" s="61" t="n">
        <x:v>45809</x:v>
      </x:c>
      <x:c r="B594" s="32" t="str">
        <x:v>Industria textil</x:v>
      </x:c>
      <x:c r="C594" s="32" t="str">
        <x:v>Industrias sin Aluar</x:v>
      </x:c>
      <x:c r="D594" s="62" t="n">
        <x:v>30</x:v>
      </x:c>
      <x:c r="E594" s="2" t="str">
        <x:v>Completo</x:v>
      </x:c>
      <x:c r="F594" s="56" t="n">
        <x:v>53.01022777777778</x:v>
      </x:c>
      <x:c r="G594" s="56" t="n">
        <x:f>F426</x:f>
        <x:v>45.67310416666667</x:v>
      </x:c>
      <x:c r="H594" s="57" t="n">
        <x:f>IF(ISNUMBER(G594),IF(G594=0,"n.a.",F594/G594-1),"n.a.")</x:f>
        <x:v>0.16064429482036213</x:v>
      </x:c>
      <x:c r="I594" s="58" t="n">
        <x:f>F594/J594</x:f>
        <x:v>0.04900264053885736</x:v>
      </x:c>
      <x:c r="J594" s="56" t="n">
        <x:v>1081.7830875</x:v>
      </x:c>
    </x:row>
    <x:row r="595" ht="65" customHeight="1">
      <x:c r="A595" s="61" t="n">
        <x:v>45809</x:v>
      </x:c>
      <x:c r="B595" s="32" t="str">
        <x:v>Químicas, caucho, plástico y otros minerales no metálicos</x:v>
      </x:c>
      <x:c r="C595" s="32" t="str">
        <x:v>Industrias sin Aluar</x:v>
      </x:c>
      <x:c r="D595" s="62" t="n">
        <x:v>30</x:v>
      </x:c>
      <x:c r="E595" s="2" t="str">
        <x:v>Completo</x:v>
      </x:c>
      <x:c r="F595" s="56" t="n">
        <x:v>317.5846305555555</x:v>
      </x:c>
      <x:c r="G595" s="56" t="n">
        <x:f>F427</x:f>
        <x:v>336.83566527777776</x:v>
      </x:c>
      <x:c r="H595" s="57" t="n">
        <x:f>IF(ISNUMBER(G595),IF(G595=0,"n.a.",F595/G595-1),"n.a.")</x:f>
        <x:v>-0.05715260201542649</x:v>
      </x:c>
      <x:c r="I595" s="58" t="n">
        <x:f>F595/J595</x:f>
        <x:v>0.2935751484981092</x:v>
      </x:c>
      <x:c r="J595" s="56" t="n">
        <x:v>1081.7830875</x:v>
      </x:c>
    </x:row>
    <x:row r="596" ht="65" customHeight="1">
      <x:c r="A596" s="61" t="n">
        <x:v>45809</x:v>
      </x:c>
      <x:c r="B596" s="32" t="str">
        <x:v>Extracción de minerales</x:v>
      </x:c>
      <x:c r="C596" s="32" t="str">
        <x:v>Petróleos y minerales</x:v>
      </x:c>
      <x:c r="D596" s="62" t="n">
        <x:v>30</x:v>
      </x:c>
      <x:c r="E596" s="2" t="str">
        <x:v>Completo</x:v>
      </x:c>
      <x:c r="F596" s="56" t="n">
        <x:v>25.42856388888889</x:v>
      </x:c>
      <x:c r="G596" s="56" t="n">
        <x:f>F428</x:f>
        <x:v>22.59985972222222</x:v>
      </x:c>
      <x:c r="H596" s="57" t="n">
        <x:f>IF(ISNUMBER(G596),IF(G596=0,"n.a.",F596/G596-1),"n.a.")</x:f>
        <x:v>0.1251646780747595</x:v>
      </x:c>
      <x:c r="I596" s="58" t="n">
        <x:f>F596/J596</x:f>
        <x:v>0.1434593454284388</x:v>
      </x:c>
      <x:c r="J596" s="56" t="n">
        <x:v>177.25275277777777</x:v>
      </x:c>
    </x:row>
    <x:row r="597" ht="65" customHeight="1">
      <x:c r="A597" s="61" t="n">
        <x:v>45809</x:v>
      </x:c>
      <x:c r="B597" s="32" t="str">
        <x:v>Extracción de petróleo</x:v>
      </x:c>
      <x:c r="C597" s="32" t="str">
        <x:v>Petróleos y minerales</x:v>
      </x:c>
      <x:c r="D597" s="62" t="n">
        <x:v>30</x:v>
      </x:c>
      <x:c r="E597" s="2" t="str">
        <x:v>Completo</x:v>
      </x:c>
      <x:c r="F597" s="56" t="n">
        <x:v>151.82418888888887</x:v>
      </x:c>
      <x:c r="G597" s="56" t="n">
        <x:f>F429</x:f>
        <x:v>146.11640138888887</x:v>
      </x:c>
      <x:c r="H597" s="57" t="n">
        <x:f>IF(ISNUMBER(G597),IF(G597=0,"n.a.",F597/G597-1),"n.a.")</x:f>
        <x:v>0.03906329094985517</x:v>
      </x:c>
      <x:c r="I597" s="58" t="n">
        <x:f>F597/J597</x:f>
        <x:v>0.8565406545715611</x:v>
      </x:c>
      <x:c r="J597" s="56" t="n">
        <x:v>177.25275277777777</x:v>
      </x:c>
    </x:row>
    <x:row r="598" ht="65" customHeight="1">
      <x:c r="A598" s="61" t="n">
        <x:v>45839</x:v>
      </x:c>
      <x:c r="B598" s="32" t="str">
        <x:v>Cargas y puertos</x:v>
      </x:c>
      <x:c r="C598" s="32" t="str">
        <x:v>Alimentación, comercios y servicios</x:v>
      </x:c>
      <x:c r="D598" s="62" t="n">
        <x:v>31</x:v>
      </x:c>
      <x:c r="E598" s="2" t="str">
        <x:v>Completo</x:v>
      </x:c>
      <x:c r="F598" s="56" t="n">
        <x:v>9.712587365591398</x:v>
      </x:c>
      <x:c r="G598" s="56" t="n">
        <x:f>F430</x:f>
        <x:v>10.083543010752688</x:v>
      </x:c>
      <x:c r="H598" s="57" t="n">
        <x:f>IF(ISNUMBER(G598),IF(G598=0,"n.a.",F598/G598-1),"n.a.")</x:f>
        <x:v>-0.036788224611698284</x:v>
      </x:c>
      <x:c r="I598" s="58" t="n">
        <x:f>F598/J598</x:f>
        <x:v>0.023388281799108682</x:v>
      </x:c>
      <x:c r="J598" s="56" t="n">
        <x:v>415.2757970430107</x:v>
      </x:c>
    </x:row>
    <x:row r="599" ht="65" customHeight="1">
      <x:c r="A599" s="61" t="n">
        <x:v>45839</x:v>
      </x:c>
      <x:c r="B599" s="32" t="str">
        <x:v>Comercio y servicios: principalmente supermercados y centros comerciales</x:v>
      </x:c>
      <x:c r="C599" s="32" t="str">
        <x:v>Alimentación, comercios y servicios</x:v>
      </x:c>
      <x:c r="D599" s="62" t="n">
        <x:v>31</x:v>
      </x:c>
      <x:c r="E599" s="2" t="str">
        <x:v>Completo</x:v>
      </x:c>
      <x:c r="F599" s="56" t="n">
        <x:v>43.9786935483871</x:v>
      </x:c>
      <x:c r="G599" s="56" t="n">
        <x:f>F431</x:f>
        <x:v>29.510850806451614</x:v>
      </x:c>
      <x:c r="H599" s="57" t="n">
        <x:f>IF(ISNUMBER(G599),IF(G599=0,"n.a.",F599/G599-1),"n.a.")</x:f>
        <x:v>0.4902550196476392</x:v>
      </x:c>
      <x:c r="I599" s="58" t="n">
        <x:f>F599/J599</x:f>
        <x:v>0.10590237587054023</x:v>
      </x:c>
      <x:c r="J599" s="56" t="n">
        <x:v>415.2757970430107</x:v>
      </x:c>
    </x:row>
    <x:row r="600" ht="65" customHeight="1">
      <x:c r="A600" s="61" t="n">
        <x:v>45839</x:v>
      </x:c>
      <x:c r="B600" s="32" t="str">
        <x:v>Alimentación y artículos de consumo masivo</x:v>
      </x:c>
      <x:c r="C600" s="32" t="str">
        <x:v>Alimentación, comercios y servicios</x:v>
      </x:c>
      <x:c r="D600" s="62" t="n">
        <x:v>31</x:v>
      </x:c>
      <x:c r="E600" s="2" t="str">
        <x:v>Completo</x:v>
      </x:c>
      <x:c r="F600" s="56" t="n">
        <x:v>288.0569758064516</x:v>
      </x:c>
      <x:c r="G600" s="56" t="n">
        <x:f>F432</x:f>
        <x:v>283.7487849462365</x:v>
      </x:c>
      <x:c r="H600" s="57" t="n">
        <x:f>IF(ISNUMBER(G600),IF(G600=0,"n.a.",F600/G600-1),"n.a.")</x:f>
        <x:v>0.015183116505790073</x:v>
      </x:c>
      <x:c r="I600" s="58" t="n">
        <x:f>F600/J600</x:f>
        <x:v>0.6936522134388129</x:v>
      </x:c>
      <x:c r="J600" s="56" t="n">
        <x:v>415.2757970430107</x:v>
      </x:c>
    </x:row>
    <x:row r="601" ht="65" customHeight="1">
      <x:c r="A601" s="61" t="n">
        <x:v>45839</x:v>
      </x:c>
      <x:c r="B601" s="32" t="str">
        <x:v>Servicios públicos y transporte: agua y transporte en GBA</x:v>
      </x:c>
      <x:c r="C601" s="32" t="str">
        <x:v>Alimentación, comercios y servicios</x:v>
      </x:c>
      <x:c r="D601" s="62" t="n">
        <x:v>31</x:v>
      </x:c>
      <x:c r="E601" s="2" t="str">
        <x:v>Completo</x:v>
      </x:c>
      <x:c r="F601" s="56" t="n">
        <x:v>73.52754032258065</x:v>
      </x:c>
      <x:c r="G601" s="56" t="n">
        <x:f>F433</x:f>
        <x:v>87.6144247311828</x:v>
      </x:c>
      <x:c r="H601" s="57" t="n">
        <x:f>IF(ISNUMBER(G601),IF(G601=0,"n.a.",F601/G601-1),"n.a.")</x:f>
        <x:v>-0.1607827073204361</x:v>
      </x:c>
      <x:c r="I601" s="58" t="n">
        <x:f>F601/J601</x:f>
        <x:v>0.1770571288915383</x:v>
      </x:c>
      <x:c r="J601" s="56" t="n">
        <x:v>415.2757970430107</x:v>
      </x:c>
    </x:row>
    <x:row r="602" ht="65" customHeight="1">
      <x:c r="A602" s="61" t="n">
        <x:v>45839</x:v>
      </x:c>
      <x:c r="B602" s="32" t="str">
        <x:v>Industria automotriz</x:v>
      </x:c>
      <x:c r="C602" s="32" t="str">
        <x:v>Industrias sin Aluar</x:v>
      </x:c>
      <x:c r="D602" s="62" t="n">
        <x:v>31</x:v>
      </x:c>
      <x:c r="E602" s="2" t="str">
        <x:v>Completo</x:v>
      </x:c>
      <x:c r="F602" s="56" t="n">
        <x:v>38.95674059139785</x:v>
      </x:c>
      <x:c r="G602" s="56" t="n">
        <x:f>F434</x:f>
        <x:v>42.255794354838706</x:v>
      </x:c>
      <x:c r="H602" s="57" t="n">
        <x:f>IF(ISNUMBER(G602),IF(G602=0,"n.a.",F602/G602-1),"n.a.")</x:f>
        <x:v>-0.0780734054065435</x:v>
      </x:c>
      <x:c r="I602" s="58" t="n">
        <x:f>F602/J602</x:f>
        <x:v>0.03524491639452764</x:v>
      </x:c>
      <x:c r="J602" s="56" t="n">
        <x:v>1105.3151653225807</x:v>
      </x:c>
    </x:row>
    <x:row r="603" ht="65" customHeight="1">
      <x:c r="A603" s="61" t="n">
        <x:v>45839</x:v>
      </x:c>
      <x:c r="B603" s="32" t="str">
        <x:v>Derivados de petróleo</x:v>
      </x:c>
      <x:c r="C603" s="32" t="str">
        <x:v>Industrias sin Aluar</x:v>
      </x:c>
      <x:c r="D603" s="62" t="n">
        <x:v>31</x:v>
      </x:c>
      <x:c r="E603" s="2" t="str">
        <x:v>Completo</x:v>
      </x:c>
      <x:c r="F603" s="56" t="n">
        <x:v>173.21219220430106</x:v>
      </x:c>
      <x:c r="G603" s="56" t="n">
        <x:f>F435</x:f>
        <x:v>144.62603494623656</x:v>
      </x:c>
      <x:c r="H603" s="57" t="n">
        <x:f>IF(ISNUMBER(G603),IF(G603=0,"n.a.",F603/G603-1),"n.a.")</x:f>
        <x:v>0.19765567982757148</x:v>
      </x:c>
      <x:c r="I603" s="58" t="n">
        <x:f>F603/J603</x:f>
        <x:v>0.15670841913559555</x:v>
      </x:c>
      <x:c r="J603" s="56" t="n">
        <x:v>1105.3151653225807</x:v>
      </x:c>
    </x:row>
    <x:row r="604" ht="65" customHeight="1">
      <x:c r="A604" s="61" t="n">
        <x:v>45839</x:v>
      </x:c>
      <x:c r="B604" s="32" t="str">
        <x:v>Construcción: elaboración de cemento y canteras</x:v>
      </x:c>
      <x:c r="C604" s="32" t="str">
        <x:v>Industrias sin Aluar</x:v>
      </x:c>
      <x:c r="D604" s="62" t="n">
        <x:v>31</x:v>
      </x:c>
      <x:c r="E604" s="2" t="str">
        <x:v>Completo</x:v>
      </x:c>
      <x:c r="F604" s="56" t="n">
        <x:v>122.29569086021505</x:v>
      </x:c>
      <x:c r="G604" s="56" t="n">
        <x:f>F436</x:f>
        <x:v>127.71007930107527</x:v>
      </x:c>
      <x:c r="H604" s="57" t="n">
        <x:f>IF(ISNUMBER(G604),IF(G604=0,"n.a.",F604/G604-1),"n.a.")</x:f>
        <x:v>-0.04239593672239328</x:v>
      </x:c>
      <x:c r="I604" s="58" t="n">
        <x:f>F604/J604</x:f>
        <x:v>0.11064327596059324</x:v>
      </x:c>
      <x:c r="J604" s="56" t="n">
        <x:v>1105.3151653225807</x:v>
      </x:c>
    </x:row>
    <x:row r="605" ht="65" customHeight="1">
      <x:c r="A605" s="61" t="n">
        <x:v>45839</x:v>
      </x:c>
      <x:c r="B605" s="32" t="str">
        <x:v>Madera y papel</x:v>
      </x:c>
      <x:c r="C605" s="32" t="str">
        <x:v>Industrias sin Aluar</x:v>
      </x:c>
      <x:c r="D605" s="62" t="n">
        <x:v>31</x:v>
      </x:c>
      <x:c r="E605" s="2" t="str">
        <x:v>Completo</x:v>
      </x:c>
      <x:c r="F605" s="56" t="n">
        <x:v>99.60840456989249</x:v>
      </x:c>
      <x:c r="G605" s="56" t="n">
        <x:f>F437</x:f>
        <x:v>92.99674865591398</x:v>
      </x:c>
      <x:c r="H605" s="57" t="n">
        <x:f>IF(ISNUMBER(G605),IF(G605=0,"n.a.",F605/G605-1),"n.a.")</x:f>
        <x:v>0.07109555989362049</x:v>
      </x:c>
      <x:c r="I605" s="58" t="n">
        <x:f>F605/J605</x:f>
        <x:v>0.09011764942248147</x:v>
      </x:c>
      <x:c r="J605" s="56" t="n">
        <x:v>1105.3151653225807</x:v>
      </x:c>
    </x:row>
    <x:row r="606" ht="65" customHeight="1">
      <x:c r="A606" s="61" t="n">
        <x:v>45839</x:v>
      </x:c>
      <x:c r="B606" s="32" t="str">
        <x:v>Productos metálicos no automotores</x:v>
      </x:c>
      <x:c r="C606" s="32" t="str">
        <x:v>Industrias sin Aluar</x:v>
      </x:c>
      <x:c r="D606" s="62" t="n">
        <x:v>31</x:v>
      </x:c>
      <x:c r="E606" s="2" t="str">
        <x:v>Completo</x:v>
      </x:c>
      <x:c r="F606" s="56" t="n">
        <x:v>43.541455645161285</x:v>
      </x:c>
      <x:c r="G606" s="56" t="n">
        <x:f>F438</x:f>
        <x:v>39.46702284946237</x:v>
      </x:c>
      <x:c r="H606" s="57" t="n">
        <x:f>IF(ISNUMBER(G606),IF(G606=0,"n.a.",F606/G606-1),"n.a.")</x:f>
        <x:v>0.10323638576033156</x:v>
      </x:c>
      <x:c r="I606" s="58" t="n">
        <x:f>F606/J606</x:f>
        <x:v>0.03939279674359116</x:v>
      </x:c>
      <x:c r="J606" s="56" t="n">
        <x:v>1105.3151653225807</x:v>
      </x:c>
    </x:row>
    <x:row r="607" ht="65" customHeight="1">
      <x:c r="A607" s="61" t="n">
        <x:v>45839</x:v>
      </x:c>
      <x:c r="B607" s="32" t="str">
        <x:v>Gran siderurgia</x:v>
      </x:c>
      <x:c r="C607" s="32" t="str">
        <x:v>Industrias sin Aluar</x:v>
      </x:c>
      <x:c r="D607" s="62" t="n">
        <x:v>31</x:v>
      </x:c>
      <x:c r="E607" s="2" t="str">
        <x:v>Completo</x:v>
      </x:c>
      <x:c r="F607" s="56" t="n">
        <x:v>261.25713440860216</x:v>
      </x:c>
      <x:c r="G607" s="56" t="n">
        <x:f>F439</x:f>
        <x:v>229.298561827957</x:v>
      </x:c>
      <x:c r="H607" s="57" t="n">
        <x:f>IF(ISNUMBER(G607),IF(G607=0,"n.a.",F607/G607-1),"n.a.")</x:f>
        <x:v>0.13937537298914116</x:v>
      </x:c>
      <x:c r="I607" s="58" t="n">
        <x:f>F607/J607</x:f>
        <x:v>0.2363643805903591</x:v>
      </x:c>
      <x:c r="J607" s="56" t="n">
        <x:v>1105.3151653225807</x:v>
      </x:c>
    </x:row>
    <x:row r="608" ht="65" customHeight="1">
      <x:c r="A608" s="61" t="n">
        <x:v>45839</x:v>
      </x:c>
      <x:c r="B608" s="32" t="str">
        <x:v>Industria textil</x:v>
      </x:c>
      <x:c r="C608" s="32" t="str">
        <x:v>Industrias sin Aluar</x:v>
      </x:c>
      <x:c r="D608" s="62" t="n">
        <x:v>31</x:v>
      </x:c>
      <x:c r="E608" s="2" t="str">
        <x:v>Completo</x:v>
      </x:c>
      <x:c r="F608" s="56" t="n">
        <x:v>49.99107795698925</x:v>
      </x:c>
      <x:c r="G608" s="56" t="n">
        <x:f>F440</x:f>
        <x:v>53.51257258064516</x:v>
      </x:c>
      <x:c r="H608" s="57" t="n">
        <x:f>IF(ISNUMBER(G608),IF(G608=0,"n.a.",F608/G608-1),"n.a.")</x:f>
        <x:v>-0.06580686470172792</x:v>
      </x:c>
      <x:c r="I608" s="58" t="n">
        <x:f>F608/J608</x:f>
        <x:v>0.04522789474475328</x:v>
      </x:c>
      <x:c r="J608" s="56" t="n">
        <x:v>1105.3151653225807</x:v>
      </x:c>
    </x:row>
    <x:row r="609" ht="65" customHeight="1">
      <x:c r="A609" s="61" t="n">
        <x:v>45839</x:v>
      </x:c>
      <x:c r="B609" s="32" t="str">
        <x:v>Químicas, caucho, plástico y otros minerales no metálicos</x:v>
      </x:c>
      <x:c r="C609" s="32" t="str">
        <x:v>Industrias sin Aluar</x:v>
      </x:c>
      <x:c r="D609" s="62" t="n">
        <x:v>31</x:v>
      </x:c>
      <x:c r="E609" s="2" t="str">
        <x:v>Completo</x:v>
      </x:c>
      <x:c r="F609" s="56" t="n">
        <x:v>316.4524690860215</x:v>
      </x:c>
      <x:c r="G609" s="56" t="n">
        <x:f>F441</x:f>
        <x:v>342.4649758064516</x:v>
      </x:c>
      <x:c r="H609" s="57" t="n">
        <x:f>IF(ISNUMBER(G609),IF(G609=0,"n.a.",F609/G609-1),"n.a.")</x:f>
        <x:v>-0.0759566920943513</x:v>
      </x:c>
      <x:c r="I609" s="58" t="n">
        <x:f>F609/J609</x:f>
        <x:v>0.2863006670080985</x:v>
      </x:c>
      <x:c r="J609" s="56" t="n">
        <x:v>1105.3151653225807</x:v>
      </x:c>
    </x:row>
    <x:row r="610" ht="65" customHeight="1">
      <x:c r="A610" s="61" t="n">
        <x:v>45839</x:v>
      </x:c>
      <x:c r="B610" s="32" t="str">
        <x:v>Extracción de minerales</x:v>
      </x:c>
      <x:c r="C610" s="32" t="str">
        <x:v>Petróleos y minerales</x:v>
      </x:c>
      <x:c r="D610" s="62" t="n">
        <x:v>31</x:v>
      </x:c>
      <x:c r="E610" s="2" t="str">
        <x:v>Completo</x:v>
      </x:c>
      <x:c r="F610" s="56" t="n">
        <x:v>25.554833333333335</x:v>
      </x:c>
      <x:c r="G610" s="56" t="n">
        <x:f>F442</x:f>
        <x:v>22.565686827956988</x:v>
      </x:c>
      <x:c r="H610" s="57" t="n">
        <x:f>IF(ISNUMBER(G610),IF(G610=0,"n.a.",F610/G610-1),"n.a.")</x:f>
        <x:v>0.13246423776798344</x:v>
      </x:c>
      <x:c r="I610" s="58" t="n">
        <x:f>F610/J610</x:f>
        <x:v>0.14908913933209028</x:v>
      </x:c>
      <x:c r="J610" s="56" t="n">
        <x:v>171.40640456989246</x:v>
      </x:c>
    </x:row>
    <x:row r="611" ht="65" customHeight="1">
      <x:c r="A611" s="61" t="n">
        <x:v>45839</x:v>
      </x:c>
      <x:c r="B611" s="32" t="str">
        <x:v>Extracción de petróleo</x:v>
      </x:c>
      <x:c r="C611" s="32" t="str">
        <x:v>Petróleos y minerales</x:v>
      </x:c>
      <x:c r="D611" s="62" t="n">
        <x:v>31</x:v>
      </x:c>
      <x:c r="E611" s="2" t="str">
        <x:v>Completo</x:v>
      </x:c>
      <x:c r="F611" s="56" t="n">
        <x:v>145.85157123655912</x:v>
      </x:c>
      <x:c r="G611" s="56" t="n">
        <x:f>F443</x:f>
        <x:v>145.65702688172044</x:v>
      </x:c>
      <x:c r="H611" s="57" t="n">
        <x:f>IF(ISNUMBER(G611),IF(G611=0,"n.a.",F611/G611-1),"n.a.")</x:f>
        <x:v>0.0013356331582730085</x:v>
      </x:c>
      <x:c r="I611" s="58" t="n">
        <x:f>F611/J611</x:f>
        <x:v>0.8509108606679097</x:v>
      </x:c>
      <x:c r="J611" s="56" t="n">
        <x:v>171.40640456989246</x:v>
      </x:c>
    </x:row>
    <x:row r="612" ht="65" customHeight="1">
      <x:c r="A612" s="61" t="n">
        <x:v>45870</x:v>
      </x:c>
      <x:c r="B612" s="32" t="str">
        <x:v>Cargas y puertos</x:v>
      </x:c>
      <x:c r="C612" s="32" t="str">
        <x:v>Alimentación, comercios y servicios</x:v>
      </x:c>
      <x:c r="D612" s="62" t="n">
        <x:v>31</x:v>
      </x:c>
      <x:c r="E612" s="2" t="str">
        <x:v>Completo</x:v>
      </x:c>
      <x:c r="F612" s="56" t="n">
        <x:v>9.285111559139786</x:v>
      </x:c>
      <x:c r="G612" s="56" t="n">
        <x:f>F444</x:f>
        <x:v>9.959030913978495</x:v>
      </x:c>
      <x:c r="H612" s="57" t="n">
        <x:f>IF(ISNUMBER(G612),IF(G612=0,"n.a.",F612/G612-1),"n.a.")</x:f>
        <x:v>-0.0676691698880858</x:v>
      </x:c>
      <x:c r="I612" s="58" t="n">
        <x:f>F612/J612</x:f>
        <x:v>0.02248897011020047</x:v>
      </x:c>
      <x:c r="J612" s="56" t="n">
        <x:v>412.8740228494624</x:v>
      </x:c>
    </x:row>
    <x:row r="613" ht="65" customHeight="1">
      <x:c r="A613" s="61" t="n">
        <x:v>45870</x:v>
      </x:c>
      <x:c r="B613" s="32" t="str">
        <x:v>Comercio y servicios: principalmente supermercados y centros comerciales</x:v>
      </x:c>
      <x:c r="C613" s="32" t="str">
        <x:v>Alimentación, comercios y servicios</x:v>
      </x:c>
      <x:c r="D613" s="62" t="n">
        <x:v>31</x:v>
      </x:c>
      <x:c r="E613" s="2" t="str">
        <x:v>Completo</x:v>
      </x:c>
      <x:c r="F613" s="56" t="n">
        <x:v>45.42779838709677</x:v>
      </x:c>
      <x:c r="G613" s="56" t="n">
        <x:f>F445</x:f>
        <x:v>32.436723118279566</x:v>
      </x:c>
      <x:c r="H613" s="57" t="n">
        <x:f>IF(ISNUMBER(G613),IF(G613=0,"n.a.",F613/G613-1),"n.a.")</x:f>
        <x:v>0.4005051688311927</x:v>
      </x:c>
      <x:c r="I613" s="58" t="n">
        <x:f>F613/J613</x:f>
        <x:v>0.11002823106567826</x:v>
      </x:c>
      <x:c r="J613" s="56" t="n">
        <x:v>412.8740228494624</x:v>
      </x:c>
    </x:row>
    <x:row r="614" ht="65" customHeight="1">
      <x:c r="A614" s="61" t="n">
        <x:v>45870</x:v>
      </x:c>
      <x:c r="B614" s="32" t="str">
        <x:v>Alimentación y artículos de consumo masivo</x:v>
      </x:c>
      <x:c r="C614" s="32" t="str">
        <x:v>Alimentación, comercios y servicios</x:v>
      </x:c>
      <x:c r="D614" s="62" t="n">
        <x:v>31</x:v>
      </x:c>
      <x:c r="E614" s="2" t="str">
        <x:v>Completo</x:v>
      </x:c>
      <x:c r="F614" s="56" t="n">
        <x:v>285.3702419354838</x:v>
      </x:c>
      <x:c r="G614" s="56" t="n">
        <x:f>F446</x:f>
        <x:v>270.41067607526884</x:v>
      </x:c>
      <x:c r="H614" s="57" t="n">
        <x:f>IF(ISNUMBER(G614),IF(G614=0,"n.a.",F614/G614-1),"n.a.")</x:f>
        <x:v>0.05532165400174871</x:v>
      </x:c>
      <x:c r="I614" s="58" t="n">
        <x:f>F614/J614</x:f>
        <x:v>0.6911799390186686</x:v>
      </x:c>
      <x:c r="J614" s="56" t="n">
        <x:v>412.8740228494624</x:v>
      </x:c>
    </x:row>
    <x:row r="615" ht="65" customHeight="1">
      <x:c r="A615" s="61" t="n">
        <x:v>45870</x:v>
      </x:c>
      <x:c r="B615" s="32" t="str">
        <x:v>Servicios públicos y transporte: agua y transporte en GBA</x:v>
      </x:c>
      <x:c r="C615" s="32" t="str">
        <x:v>Alimentación, comercios y servicios</x:v>
      </x:c>
      <x:c r="D615" s="62" t="n">
        <x:v>31</x:v>
      </x:c>
      <x:c r="E615" s="2" t="str">
        <x:v>Completo</x:v>
      </x:c>
      <x:c r="F615" s="56" t="n">
        <x:v>72.79087096774194</x:v>
      </x:c>
      <x:c r="G615" s="56" t="n">
        <x:f>F447</x:f>
        <x:v>85.22431989247312</x:v>
      </x:c>
      <x:c r="H615" s="57" t="n">
        <x:f>IF(ISNUMBER(G615),IF(G615=0,"n.a.",F615/G615-1),"n.a.")</x:f>
        <x:v>-0.14589085533822232</x:v>
      </x:c>
      <x:c r="I615" s="58" t="n">
        <x:f>F615/J615</x:f>
        <x:v>0.17630285980545243</x:v>
      </x:c>
      <x:c r="J615" s="56" t="n">
        <x:v>412.8740228494624</x:v>
      </x:c>
    </x:row>
    <x:row r="616" ht="65" customHeight="1">
      <x:c r="A616" s="61" t="n">
        <x:v>45870</x:v>
      </x:c>
      <x:c r="B616" s="32" t="str">
        <x:v>Industria automotriz</x:v>
      </x:c>
      <x:c r="C616" s="32" t="str">
        <x:v>Industrias sin Aluar</x:v>
      </x:c>
      <x:c r="D616" s="62" t="n">
        <x:v>31</x:v>
      </x:c>
      <x:c r="E616" s="2" t="str">
        <x:v>Completo</x:v>
      </x:c>
      <x:c r="F616" s="56" t="n">
        <x:v>40.71383198924732</x:v>
      </x:c>
      <x:c r="G616" s="56" t="n">
        <x:f>F448</x:f>
        <x:v>42.96219623655914</x:v>
      </x:c>
      <x:c r="H616" s="57" t="n">
        <x:f>IF(ISNUMBER(G616),IF(G616=0,"n.a.",F616/G616-1),"n.a.")</x:f>
        <x:v>-0.052333550057167444</x:v>
      </x:c>
      <x:c r="I616" s="58" t="n">
        <x:f>F616/J616</x:f>
        <x:v>0.03690975052823183</x:v>
      </x:c>
      <x:c r="J616" s="56" t="n">
        <x:v>1103.0644045698925</x:v>
      </x:c>
    </x:row>
    <x:row r="617" ht="65" customHeight="1">
      <x:c r="A617" s="61" t="n">
        <x:v>45870</x:v>
      </x:c>
      <x:c r="B617" s="32" t="str">
        <x:v>Derivados de petróleo</x:v>
      </x:c>
      <x:c r="C617" s="32" t="str">
        <x:v>Industrias sin Aluar</x:v>
      </x:c>
      <x:c r="D617" s="62" t="n">
        <x:v>31</x:v>
      </x:c>
      <x:c r="E617" s="2" t="str">
        <x:v>Completo</x:v>
      </x:c>
      <x:c r="F617" s="56" t="n">
        <x:v>144.79486559139784</x:v>
      </x:c>
      <x:c r="G617" s="56" t="n">
        <x:f>F449</x:f>
        <x:v>154.567001344086</x:v>
      </x:c>
      <x:c r="H617" s="57" t="n">
        <x:f>IF(ISNUMBER(G617),IF(G617=0,"n.a.",F617/G617-1),"n.a.")</x:f>
        <x:v>-0.06322265210369282</x:v>
      </x:c>
      <x:c r="I617" s="58" t="n">
        <x:f>F617/J617</x:f>
        <x:v>0.1312660122033911</x:v>
      </x:c>
      <x:c r="J617" s="56" t="n">
        <x:v>1103.0644045698925</x:v>
      </x:c>
    </x:row>
    <x:row r="618" ht="65" customHeight="1">
      <x:c r="A618" s="61" t="n">
        <x:v>45870</x:v>
      </x:c>
      <x:c r="B618" s="32" t="str">
        <x:v>Construcción: elaboración de cemento y canteras</x:v>
      </x:c>
      <x:c r="C618" s="32" t="str">
        <x:v>Industrias sin Aluar</x:v>
      </x:c>
      <x:c r="D618" s="62" t="n">
        <x:v>31</x:v>
      </x:c>
      <x:c r="E618" s="2" t="str">
        <x:v>Completo</x:v>
      </x:c>
      <x:c r="F618" s="56" t="n">
        <x:v>122.58155241935485</x:v>
      </x:c>
      <x:c r="G618" s="56" t="n">
        <x:f>F450</x:f>
        <x:v>133.24863978494622</x:v>
      </x:c>
      <x:c r="H618" s="57" t="n">
        <x:f>IF(ISNUMBER(G618),IF(G618=0,"n.a.",F618/G618-1),"n.a.")</x:f>
        <x:v>-0.08005400567545973</x:v>
      </x:c>
      <x:c r="I618" s="58" t="n">
        <x:f>F618/J618</x:f>
        <x:v>0.11112819152853719</x:v>
      </x:c>
      <x:c r="J618" s="56" t="n">
        <x:v>1103.0644045698925</x:v>
      </x:c>
    </x:row>
    <x:row r="619" ht="65" customHeight="1">
      <x:c r="A619" s="61" t="n">
        <x:v>45870</x:v>
      </x:c>
      <x:c r="B619" s="32" t="str">
        <x:v>Madera y papel</x:v>
      </x:c>
      <x:c r="C619" s="32" t="str">
        <x:v>Industrias sin Aluar</x:v>
      </x:c>
      <x:c r="D619" s="62" t="n">
        <x:v>31</x:v>
      </x:c>
      <x:c r="E619" s="2" t="str">
        <x:v>Completo</x:v>
      </x:c>
      <x:c r="F619" s="56" t="n">
        <x:v>104.69448521505376</x:v>
      </x:c>
      <x:c r="G619" s="56" t="n">
        <x:f>F451</x:f>
        <x:v>96.62161962365592</x:v>
      </x:c>
      <x:c r="H619" s="57" t="n">
        <x:f>IF(ISNUMBER(G619),IF(G619=0,"n.a.",F619/G619-1),"n.a.")</x:f>
        <x:v>0.08355133791838609</x:v>
      </x:c>
      <x:c r="I619" s="58" t="n">
        <x:f>F619/J619</x:f>
        <x:v>0.09491239566911444</x:v>
      </x:c>
      <x:c r="J619" s="56" t="n">
        <x:v>1103.0644045698925</x:v>
      </x:c>
    </x:row>
    <x:row r="620" ht="65" customHeight="1">
      <x:c r="A620" s="61" t="n">
        <x:v>45870</x:v>
      </x:c>
      <x:c r="B620" s="32" t="str">
        <x:v>Productos metálicos no automotores</x:v>
      </x:c>
      <x:c r="C620" s="32" t="str">
        <x:v>Industrias sin Aluar</x:v>
      </x:c>
      <x:c r="D620" s="62" t="n">
        <x:v>31</x:v>
      </x:c>
      <x:c r="E620" s="2" t="str">
        <x:v>Completo</x:v>
      </x:c>
      <x:c r="F620" s="56" t="n">
        <x:v>47.62105241935484</x:v>
      </x:c>
      <x:c r="G620" s="56" t="n">
        <x:f>F452</x:f>
        <x:v>41.913873655913974</x:v>
      </x:c>
      <x:c r="H620" s="57" t="n">
        <x:f>IF(ISNUMBER(G620),IF(G620=0,"n.a.",F620/G620-1),"n.a.")</x:f>
        <x:v>0.13616443114499854</x:v>
      </x:c>
      <x:c r="I620" s="58" t="n">
        <x:f>F620/J620</x:f>
        <x:v>0.04317159743534945</x:v>
      </x:c>
      <x:c r="J620" s="56" t="n">
        <x:v>1103.0644045698925</x:v>
      </x:c>
    </x:row>
    <x:row r="621" ht="65" customHeight="1">
      <x:c r="A621" s="61" t="n">
        <x:v>45870</x:v>
      </x:c>
      <x:c r="B621" s="32" t="str">
        <x:v>Gran siderurgia</x:v>
      </x:c>
      <x:c r="C621" s="32" t="str">
        <x:v>Industrias sin Aluar</x:v>
      </x:c>
      <x:c r="D621" s="62" t="n">
        <x:v>31</x:v>
      </x:c>
      <x:c r="E621" s="2" t="str">
        <x:v>Completo</x:v>
      </x:c>
      <x:c r="F621" s="56" t="n">
        <x:v>274.7639919354839</x:v>
      </x:c>
      <x:c r="G621" s="56" t="n">
        <x:f>F453</x:f>
        <x:v>254.93140725806452</x:v>
      </x:c>
      <x:c r="H621" s="57" t="n">
        <x:f>IF(ISNUMBER(G621),IF(G621=0,"n.a.",F621/G621-1),"n.a.")</x:f>
        <x:v>0.07779576824499701</x:v>
      </x:c>
      <x:c r="I621" s="58" t="n">
        <x:f>F621/J621</x:f>
        <x:v>0.2490915224869576</x:v>
      </x:c>
      <x:c r="J621" s="56" t="n">
        <x:v>1103.0644045698925</x:v>
      </x:c>
    </x:row>
    <x:row r="622" ht="65" customHeight="1">
      <x:c r="A622" s="61" t="n">
        <x:v>45870</x:v>
      </x:c>
      <x:c r="B622" s="32" t="str">
        <x:v>Industria textil</x:v>
      </x:c>
      <x:c r="C622" s="32" t="str">
        <x:v>Industrias sin Aluar</x:v>
      </x:c>
      <x:c r="D622" s="62" t="n">
        <x:v>31</x:v>
      </x:c>
      <x:c r="E622" s="2" t="str">
        <x:v>Completo</x:v>
      </x:c>
      <x:c r="F622" s="56" t="n">
        <x:v>50.04054166666667</x:v>
      </x:c>
      <x:c r="G622" s="56" t="n">
        <x:f>F454</x:f>
        <x:v>54.60349731182796</x:v>
      </x:c>
      <x:c r="H622" s="57" t="n">
        <x:f>IF(ISNUMBER(G622),IF(G622=0,"n.a.",F622/G622-1),"n.a.")</x:f>
        <x:v>-0.0835652635783255</x:v>
      </x:c>
      <x:c r="I622" s="58" t="n">
        <x:f>F622/J622</x:f>
        <x:v>0.04536502262184637</x:v>
      </x:c>
      <x:c r="J622" s="56" t="n">
        <x:v>1103.0644045698925</x:v>
      </x:c>
    </x:row>
    <x:row r="623" ht="65" customHeight="1">
      <x:c r="A623" s="61" t="n">
        <x:v>45870</x:v>
      </x:c>
      <x:c r="B623" s="32" t="str">
        <x:v>Químicas, caucho, plástico y otros minerales no metálicos</x:v>
      </x:c>
      <x:c r="C623" s="32" t="str">
        <x:v>Industrias sin Aluar</x:v>
      </x:c>
      <x:c r="D623" s="62" t="n">
        <x:v>31</x:v>
      </x:c>
      <x:c r="E623" s="2" t="str">
        <x:v>Completo</x:v>
      </x:c>
      <x:c r="F623" s="56" t="n">
        <x:v>317.85408333333334</x:v>
      </x:c>
      <x:c r="G623" s="56" t="n">
        <x:f>F455</x:f>
        <x:v>305.7559193548387</x:v>
      </x:c>
      <x:c r="H623" s="57" t="n">
        <x:f>IF(ISNUMBER(G623),IF(G623=0,"n.a.",F623/G623-1),"n.a.")</x:f>
        <x:v>0.03956804500799982</x:v>
      </x:c>
      <x:c r="I623" s="58" t="n">
        <x:f>F623/J623</x:f>
        <x:v>0.288155507526572</x:v>
      </x:c>
      <x:c r="J623" s="56" t="n">
        <x:v>1103.0644045698925</x:v>
      </x:c>
    </x:row>
    <x:row r="624" ht="65" customHeight="1">
      <x:c r="A624" s="61" t="n">
        <x:v>45870</x:v>
      </x:c>
      <x:c r="B624" s="32" t="str">
        <x:v>Extracción de minerales</x:v>
      </x:c>
      <x:c r="C624" s="32" t="str">
        <x:v>Petróleos y minerales</x:v>
      </x:c>
      <x:c r="D624" s="62" t="n">
        <x:v>31</x:v>
      </x:c>
      <x:c r="E624" s="2" t="str">
        <x:v>Completo</x:v>
      </x:c>
      <x:c r="F624" s="56" t="n">
        <x:v>25.329064516129034</x:v>
      </x:c>
      <x:c r="G624" s="56" t="n">
        <x:f>F456</x:f>
        <x:v>22.694216397849463</x:v>
      </x:c>
      <x:c r="H624" s="57" t="n">
        <x:f>IF(ISNUMBER(G624),IF(G624=0,"n.a.",F624/G624-1),"n.a.")</x:f>
        <x:v>0.11610218533605132</x:v>
      </x:c>
      <x:c r="I624" s="58" t="n">
        <x:f>F624/J624</x:f>
        <x:v>0.14867670187892973</x:v>
      </x:c>
      <x:c r="J624" s="56" t="n">
        <x:v>170.363373655914</x:v>
      </x:c>
    </x:row>
    <x:row r="625" ht="65" customHeight="1">
      <x:c r="A625" s="61" t="n">
        <x:v>45870</x:v>
      </x:c>
      <x:c r="B625" s="32" t="str">
        <x:v>Extracción de petróleo</x:v>
      </x:c>
      <x:c r="C625" s="32" t="str">
        <x:v>Petróleos y minerales</x:v>
      </x:c>
      <x:c r="D625" s="62" t="n">
        <x:v>31</x:v>
      </x:c>
      <x:c r="E625" s="2" t="str">
        <x:v>Completo</x:v>
      </x:c>
      <x:c r="F625" s="56" t="n">
        <x:v>145.03430913978497</x:v>
      </x:c>
      <x:c r="G625" s="56" t="n">
        <x:f>F457</x:f>
        <x:v>147.00640456989248</x:v>
      </x:c>
      <x:c r="H625" s="57" t="n">
        <x:f>IF(ISNUMBER(G625),IF(G625=0,"n.a.",F625/G625-1),"n.a.")</x:f>
        <x:v>-0.013415030697998653</x:v>
      </x:c>
      <x:c r="I625" s="58" t="n">
        <x:f>F625/J625</x:f>
        <x:v>0.8513232981210703</x:v>
      </x:c>
      <x:c r="J625" s="56" t="n">
        <x:v>170.363373655914</x:v>
      </x:c>
    </x:row>
    <x:row r="626" ht="65" customHeight="1">
      <x:c r="A626" s="61" t="n">
        <x:v>45901</x:v>
      </x:c>
      <x:c r="B626" s="32" t="str">
        <x:v>Cargas y puertos</x:v>
      </x:c>
      <x:c r="C626" s="32" t="str">
        <x:v>Alimentación, comercios y servicios</x:v>
      </x:c>
      <x:c r="D626" s="62" t="n">
        <x:v>30</x:v>
      </x:c>
      <x:c r="E626" s="2" t="str">
        <x:v>Completo</x:v>
      </x:c>
      <x:c r="F626" s="56" t="n">
        <x:v>9.291180555555554</x:v>
      </x:c>
      <x:c r="G626" s="56" t="n">
        <x:f>F458</x:f>
        <x:v>9.502590277777777</x:v>
      </x:c>
      <x:c r="H626" s="57" t="n">
        <x:f>IF(ISNUMBER(G626),IF(G626=0,"n.a.",F626/G626-1),"n.a.")</x:f>
        <x:v>-0.0222475889249496</x:v>
      </x:c>
      <x:c r="I626" s="58" t="n">
        <x:f>F626/J626</x:f>
        <x:v>0.022204350859844575</x:v>
      </x:c>
      <x:c r="J626" s="56" t="n">
        <x:v>418.4396388888889</x:v>
      </x:c>
    </x:row>
    <x:row r="627" ht="65" customHeight="1">
      <x:c r="A627" s="61" t="n">
        <x:v>45901</x:v>
      </x:c>
      <x:c r="B627" s="32" t="str">
        <x:v>Comercio y servicios: principalmente supermercados y centros comerciales</x:v>
      </x:c>
      <x:c r="C627" s="32" t="str">
        <x:v>Alimentación, comercios y servicios</x:v>
      </x:c>
      <x:c r="D627" s="62" t="n">
        <x:v>30</x:v>
      </x:c>
      <x:c r="E627" s="2" t="str">
        <x:v>Completo</x:v>
      </x:c>
      <x:c r="F627" s="56" t="n">
        <x:v>45.520700000000005</x:v>
      </x:c>
      <x:c r="G627" s="56" t="n">
        <x:f>F459</x:f>
        <x:v>31.98450972222222</x:v>
      </x:c>
      <x:c r="H627" s="57" t="n">
        <x:f>IF(ISNUMBER(G627),IF(G627=0,"n.a.",F627/G627-1),"n.a.")</x:f>
        <x:v>0.4232108103371395</x:v>
      </x:c>
      <x:c r="I627" s="58" t="n">
        <x:f>F627/J627</x:f>
        <x:v>0.1087867777557456</x:v>
      </x:c>
      <x:c r="J627" s="56" t="n">
        <x:v>418.4396388888889</x:v>
      </x:c>
    </x:row>
    <x:row r="628" ht="65" customHeight="1">
      <x:c r="A628" s="61" t="n">
        <x:v>45901</x:v>
      </x:c>
      <x:c r="B628" s="32" t="str">
        <x:v>Alimentación y artículos de consumo masivo</x:v>
      </x:c>
      <x:c r="C628" s="32" t="str">
        <x:v>Alimentación, comercios y servicios</x:v>
      </x:c>
      <x:c r="D628" s="62" t="n">
        <x:v>30</x:v>
      </x:c>
      <x:c r="E628" s="2" t="str">
        <x:v>Completo</x:v>
      </x:c>
      <x:c r="F628" s="56" t="n">
        <x:v>290.5302805555556</x:v>
      </x:c>
      <x:c r="G628" s="56" t="n">
        <x:f>F460</x:f>
        <x:v>291.8013208333333</x:v>
      </x:c>
      <x:c r="H628" s="57" t="n">
        <x:f>IF(ISNUMBER(G628),IF(G628=0,"n.a.",F628/G628-1),"n.a.")</x:f>
        <x:v>-0.004355841413424266</x:v>
      </x:c>
      <x:c r="I628" s="58" t="n">
        <x:f>F628/J628</x:f>
        <x:v>0.6943182565758357</x:v>
      </x:c>
      <x:c r="J628" s="56" t="n">
        <x:v>418.4396388888889</x:v>
      </x:c>
    </x:row>
    <x:row r="629" ht="65" customHeight="1">
      <x:c r="A629" s="61" t="n">
        <x:v>45901</x:v>
      </x:c>
      <x:c r="B629" s="32" t="str">
        <x:v>Servicios públicos y transporte: agua y transporte en GBA</x:v>
      </x:c>
      <x:c r="C629" s="32" t="str">
        <x:v>Alimentación, comercios y servicios</x:v>
      </x:c>
      <x:c r="D629" s="62" t="n">
        <x:v>30</x:v>
      </x:c>
      <x:c r="E629" s="2" t="str">
        <x:v>Completo</x:v>
      </x:c>
      <x:c r="F629" s="56" t="n">
        <x:v>73.09747777777778</x:v>
      </x:c>
      <x:c r="G629" s="56" t="n">
        <x:f>F461</x:f>
        <x:v>86.07814166666667</x:v>
      </x:c>
      <x:c r="H629" s="57" t="n">
        <x:f>IF(ISNUMBER(G629),IF(G629=0,"n.a.",F629/G629-1),"n.a.")</x:f>
        <x:v>-0.15080093084671675</x:v>
      </x:c>
      <x:c r="I629" s="58" t="n">
        <x:f>F629/J629</x:f>
        <x:v>0.1746906148085742</x:v>
      </x:c>
      <x:c r="J629" s="56" t="n">
        <x:v>418.4396388888889</x:v>
      </x:c>
    </x:row>
    <x:row r="630" ht="65" customHeight="1">
      <x:c r="A630" s="61" t="n">
        <x:v>45901</x:v>
      </x:c>
      <x:c r="B630" s="32" t="str">
        <x:v>Industria automotriz</x:v>
      </x:c>
      <x:c r="C630" s="32" t="str">
        <x:v>Industrias sin Aluar</x:v>
      </x:c>
      <x:c r="D630" s="62" t="n">
        <x:v>30</x:v>
      </x:c>
      <x:c r="E630" s="2" t="str">
        <x:v>Completo</x:v>
      </x:c>
      <x:c r="F630" s="56" t="n">
        <x:v>41.29134305555556</x:v>
      </x:c>
      <x:c r="G630" s="56" t="n">
        <x:f>F462</x:f>
        <x:v>41.262163888888885</x:v>
      </x:c>
      <x:c r="H630" s="57" t="n">
        <x:f>IF(ISNUMBER(G630),IF(G630=0,"n.a.",F630/G630-1),"n.a.")</x:f>
        <x:v>0.0007071652069738921</x:v>
      </x:c>
      <x:c r="I630" s="58" t="n">
        <x:f>F630/J630</x:f>
        <x:v>0.035578854208498274</x:v>
      </x:c>
      <x:c r="J630" s="56" t="n">
        <x:v>1160.558538888889</x:v>
      </x:c>
    </x:row>
    <x:row r="631" ht="65" customHeight="1">
      <x:c r="A631" s="61" t="n">
        <x:v>45901</x:v>
      </x:c>
      <x:c r="B631" s="32" t="str">
        <x:v>Derivados de petróleo</x:v>
      </x:c>
      <x:c r="C631" s="32" t="str">
        <x:v>Industrias sin Aluar</x:v>
      </x:c>
      <x:c r="D631" s="62" t="n">
        <x:v>30</x:v>
      </x:c>
      <x:c r="E631" s="2" t="str">
        <x:v>Completo</x:v>
      </x:c>
      <x:c r="F631" s="56" t="n">
        <x:v>153.63866666666667</x:v>
      </x:c>
      <x:c r="G631" s="56" t="n">
        <x:f>F463</x:f>
        <x:v>152.1239111111111</x:v>
      </x:c>
      <x:c r="H631" s="57" t="n">
        <x:f>IF(ISNUMBER(G631),IF(G631=0,"n.a.",F631/G631-1),"n.a.")</x:f>
        <x:v>0.009957379773447794</x:v>
      </x:c>
      <x:c r="I631" s="58" t="n">
        <x:f>F631/J631</x:f>
        <x:v>0.13238338396420685</x:v>
      </x:c>
      <x:c r="J631" s="56" t="n">
        <x:v>1160.558538888889</x:v>
      </x:c>
    </x:row>
    <x:row r="632" ht="65" customHeight="1">
      <x:c r="A632" s="61" t="n">
        <x:v>45901</x:v>
      </x:c>
      <x:c r="B632" s="32" t="str">
        <x:v>Construcción: elaboración de cemento y canteras</x:v>
      </x:c>
      <x:c r="C632" s="32" t="str">
        <x:v>Industrias sin Aluar</x:v>
      </x:c>
      <x:c r="D632" s="62" t="n">
        <x:v>30</x:v>
      </x:c>
      <x:c r="E632" s="2" t="str">
        <x:v>Completo</x:v>
      </x:c>
      <x:c r="F632" s="56" t="n">
        <x:v>147.98140833333335</x:v>
      </x:c>
      <x:c r="G632" s="56" t="n">
        <x:f>F464</x:f>
        <x:v>157.56987222222224</x:v>
      </x:c>
      <x:c r="H632" s="57" t="n">
        <x:f>IF(ISNUMBER(G632),IF(G632=0,"n.a.",F632/G632-1),"n.a.")</x:f>
        <x:v>-0.06085213977559234</x:v>
      </x:c>
      <x:c r="I632" s="58" t="n">
        <x:f>F632/J632</x:f>
        <x:v>0.12750878424022433</x:v>
      </x:c>
      <x:c r="J632" s="56" t="n">
        <x:v>1160.558538888889</x:v>
      </x:c>
    </x:row>
    <x:row r="633" ht="65" customHeight="1">
      <x:c r="A633" s="61" t="n">
        <x:v>45901</x:v>
      </x:c>
      <x:c r="B633" s="32" t="str">
        <x:v>Madera y papel</x:v>
      </x:c>
      <x:c r="C633" s="32" t="str">
        <x:v>Industrias sin Aluar</x:v>
      </x:c>
      <x:c r="D633" s="62" t="n">
        <x:v>30</x:v>
      </x:c>
      <x:c r="E633" s="2" t="str">
        <x:v>Completo</x:v>
      </x:c>
      <x:c r="F633" s="56" t="n">
        <x:v>106.09065000000001</x:v>
      </x:c>
      <x:c r="G633" s="56" t="n">
        <x:f>F465</x:f>
        <x:v>98.49534999999999</x:v>
      </x:c>
      <x:c r="H633" s="57" t="n">
        <x:f>IF(ISNUMBER(G633),IF(G633=0,"n.a.",F633/G633-1),"n.a.")</x:f>
        <x:v>0.07711328504340575</x:v>
      </x:c>
      <x:c r="I633" s="58" t="n">
        <x:f>F633/J633</x:f>
        <x:v>0.09141344141207258</x:v>
      </x:c>
      <x:c r="J633" s="56" t="n">
        <x:v>1160.558538888889</x:v>
      </x:c>
    </x:row>
    <x:row r="634" ht="65" customHeight="1">
      <x:c r="A634" s="61" t="n">
        <x:v>45901</x:v>
      </x:c>
      <x:c r="B634" s="32" t="str">
        <x:v>Productos metálicos no automotores</x:v>
      </x:c>
      <x:c r="C634" s="32" t="str">
        <x:v>Industrias sin Aluar</x:v>
      </x:c>
      <x:c r="D634" s="62" t="n">
        <x:v>30</x:v>
      </x:c>
      <x:c r="E634" s="2" t="str">
        <x:v>Completo</x:v>
      </x:c>
      <x:c r="F634" s="56" t="n">
        <x:v>48.4106111111111</x:v>
      </x:c>
      <x:c r="G634" s="56" t="n">
        <x:f>F466</x:f>
        <x:v>42.796524999999995</x:v>
      </x:c>
      <x:c r="H634" s="57" t="n">
        <x:f>IF(ISNUMBER(G634),IF(G634=0,"n.a.",F634/G634-1),"n.a.")</x:f>
        <x:v>0.13118088702554953</x:v>
      </x:c>
      <x:c r="I634" s="58" t="n">
        <x:f>F634/J634</x:f>
        <x:v>0.04171320057449157</x:v>
      </x:c>
      <x:c r="J634" s="56" t="n">
        <x:v>1160.558538888889</x:v>
      </x:c>
    </x:row>
    <x:row r="635" ht="65" customHeight="1">
      <x:c r="A635" s="61" t="n">
        <x:v>45901</x:v>
      </x:c>
      <x:c r="B635" s="32" t="str">
        <x:v>Gran siderurgia</x:v>
      </x:c>
      <x:c r="C635" s="32" t="str">
        <x:v>Industrias sin Aluar</x:v>
      </x:c>
      <x:c r="D635" s="62" t="n">
        <x:v>30</x:v>
      </x:c>
      <x:c r="E635" s="2" t="str">
        <x:v>Completo</x:v>
      </x:c>
      <x:c r="F635" s="56" t="n">
        <x:v>283.8709013888889</x:v>
      </x:c>
      <x:c r="G635" s="56" t="n">
        <x:f>F467</x:f>
        <x:v>277.0638638888889</x:v>
      </x:c>
      <x:c r="H635" s="57" t="n">
        <x:f>IF(ISNUMBER(G635),IF(G635=0,"n.a.",F635/G635-1),"n.a.")</x:f>
        <x:v>0.02456847820013741</x:v>
      </x:c>
      <x:c r="I635" s="58" t="n">
        <x:f>F635/J635</x:f>
        <x:v>0.24459852034750873</x:v>
      </x:c>
      <x:c r="J635" s="56" t="n">
        <x:v>1160.558538888889</x:v>
      </x:c>
    </x:row>
    <x:row r="636" ht="65" customHeight="1">
      <x:c r="A636" s="61" t="n">
        <x:v>45901</x:v>
      </x:c>
      <x:c r="B636" s="32" t="str">
        <x:v>Industria textil</x:v>
      </x:c>
      <x:c r="C636" s="32" t="str">
        <x:v>Industrias sin Aluar</x:v>
      </x:c>
      <x:c r="D636" s="62" t="n">
        <x:v>30</x:v>
      </x:c>
      <x:c r="E636" s="2" t="str">
        <x:v>Completo</x:v>
      </x:c>
      <x:c r="F636" s="56" t="n">
        <x:v>48.661901388888886</x:v>
      </x:c>
      <x:c r="G636" s="56" t="n">
        <x:f>F468</x:f>
        <x:v>55.916716666666666</x:v>
      </x:c>
      <x:c r="H636" s="57" t="n">
        <x:f>IF(ISNUMBER(G636),IF(G636=0,"n.a.",F636/G636-1),"n.a.")</x:f>
        <x:v>-0.12974322725394483</x:v>
      </x:c>
      <x:c r="I636" s="58" t="n">
        <x:f>F636/J636</x:f>
        <x:v>0.04192972586757879</x:v>
      </x:c>
      <x:c r="J636" s="56" t="n">
        <x:v>1160.558538888889</x:v>
      </x:c>
    </x:row>
    <x:row r="637" ht="65" customHeight="1">
      <x:c r="A637" s="61" t="n">
        <x:v>45901</x:v>
      </x:c>
      <x:c r="B637" s="32" t="str">
        <x:v>Químicas, caucho, plástico y otros minerales no metálicos</x:v>
      </x:c>
      <x:c r="C637" s="32" t="str">
        <x:v>Industrias sin Aluar</x:v>
      </x:c>
      <x:c r="D637" s="62" t="n">
        <x:v>30</x:v>
      </x:c>
      <x:c r="E637" s="2" t="str">
        <x:v>Completo</x:v>
      </x:c>
      <x:c r="F637" s="56" t="n">
        <x:v>330.6130569444445</x:v>
      </x:c>
      <x:c r="G637" s="56" t="n">
        <x:f>F469</x:f>
        <x:v>330.2625458333333</x:v>
      </x:c>
      <x:c r="H637" s="57" t="n">
        <x:f>IF(ISNUMBER(G637),IF(G637=0,"n.a.",F637/G637-1),"n.a.")</x:f>
        <x:v>0.0010613105104810838</x:v>
      </x:c>
      <x:c r="I637" s="58" t="n">
        <x:f>F637/J637</x:f>
        <x:v>0.2848740893854189</x:v>
      </x:c>
      <x:c r="J637" s="56" t="n">
        <x:v>1160.558538888889</x:v>
      </x:c>
    </x:row>
    <x:row r="638" ht="65" customHeight="1">
      <x:c r="A638" s="61" t="n">
        <x:v>45901</x:v>
      </x:c>
      <x:c r="B638" s="32" t="str">
        <x:v>Extracción de minerales</x:v>
      </x:c>
      <x:c r="C638" s="32" t="str">
        <x:v>Petróleos y minerales</x:v>
      </x:c>
      <x:c r="D638" s="62" t="n">
        <x:v>30</x:v>
      </x:c>
      <x:c r="E638" s="2" t="str">
        <x:v>Completo</x:v>
      </x:c>
      <x:c r="F638" s="56" t="n">
        <x:v>23.35125277777778</x:v>
      </x:c>
      <x:c r="G638" s="56" t="n">
        <x:f>F470</x:f>
        <x:v>23.909290277777778</x:v>
      </x:c>
      <x:c r="H638" s="57" t="n">
        <x:f>IF(ISNUMBER(G638),IF(G638=0,"n.a.",F638/G638-1),"n.a.")</x:f>
        <x:v>-0.023339776861493022</x:v>
      </x:c>
      <x:c r="I638" s="58" t="n">
        <x:f>F638/J638</x:f>
        <x:v>0.1303979576053627</x:v>
      </x:c>
      <x:c r="J638" s="56" t="n">
        <x:v>179.07682916666667</x:v>
      </x:c>
    </x:row>
    <x:row r="639" ht="65" customHeight="1">
      <x:c r="A639" s="61" t="n">
        <x:v>45901</x:v>
      </x:c>
      <x:c r="B639" s="32" t="str">
        <x:v>Extracción de petróleo</x:v>
      </x:c>
      <x:c r="C639" s="32" t="str">
        <x:v>Petróleos y minerales</x:v>
      </x:c>
      <x:c r="D639" s="62" t="n">
        <x:v>30</x:v>
      </x:c>
      <x:c r="E639" s="2" t="str">
        <x:v>Completo</x:v>
      </x:c>
      <x:c r="F639" s="56" t="n">
        <x:v>155.7255763888889</x:v>
      </x:c>
      <x:c r="G639" s="56" t="n">
        <x:f>F471</x:f>
        <x:v>144.58456527777778</x:v>
      </x:c>
      <x:c r="H639" s="57" t="n">
        <x:f>IF(ISNUMBER(G639),IF(G639=0,"n.a.",F639/G639-1),"n.a.")</x:f>
        <x:v>0.07705532806843429</x:v>
      </x:c>
      <x:c r="I639" s="58" t="n">
        <x:f>F639/J639</x:f>
        <x:v>0.8696020423946373</x:v>
      </x:c>
      <x:c r="J639" s="56" t="n">
        <x:v>179.07682916666667</x:v>
      </x:c>
    </x:row>
    <x:row r="640" ht="65" customHeight="1">
      <x:c r="A640" s="61" t="n">
        <x:v>45931</x:v>
      </x:c>
      <x:c r="B640" s="32" t="str">
        <x:v>Cargas y puertos</x:v>
      </x:c>
      <x:c r="C640" s="32" t="str">
        <x:v>Alimentación, comercios y servicios</x:v>
      </x:c>
      <x:c r="D640" s="62" t="n">
        <x:v>31</x:v>
      </x:c>
      <x:c r="E640" s="2" t="str">
        <x:v>Completo</x:v>
      </x:c>
      <x:c r="F640" s="56" t="n">
        <x:v>9.690801075268817</x:v>
      </x:c>
      <x:c r="G640" s="56" t="n">
        <x:f>F472</x:f>
        <x:v>9.916600806451614</x:v>
      </x:c>
      <x:c r="H640" s="57" t="n">
        <x:f>IF(ISNUMBER(G640),IF(G640=0,"n.a.",F640/G640-1),"n.a.")</x:f>
        <x:v>-0.022769872014601455</x:v>
      </x:c>
      <x:c r="I640" s="58" t="n">
        <x:f>F640/J640</x:f>
        <x:v>0.02353419866183077</x:v>
      </x:c>
      <x:c r="J640" s="56" t="n">
        <x:v>411.77527284946234</x:v>
      </x:c>
    </x:row>
    <x:row r="641" ht="65" customHeight="1">
      <x:c r="A641" s="61" t="n">
        <x:v>45931</x:v>
      </x:c>
      <x:c r="B641" s="32" t="str">
        <x:v>Comercio y servicios: principalmente supermercados y centros comerciales</x:v>
      </x:c>
      <x:c r="C641" s="32" t="str">
        <x:v>Alimentación, comercios y servicios</x:v>
      </x:c>
      <x:c r="D641" s="62" t="n">
        <x:v>31</x:v>
      </x:c>
      <x:c r="E641" s="2" t="str">
        <x:v>Completo</x:v>
      </x:c>
      <x:c r="F641" s="56" t="n">
        <x:v>48.259151881720435</x:v>
      </x:c>
      <x:c r="G641" s="56" t="n">
        <x:f>F473</x:f>
        <x:v>43.676810483870966</x:v>
      </x:c>
      <x:c r="H641" s="57" t="n">
        <x:f>IF(ISNUMBER(G641),IF(G641=0,"n.a.",F641/G641-1),"n.a.")</x:f>
        <x:v>0.10491474416479285</x:v>
      </x:c>
      <x:c r="I641" s="58" t="n">
        <x:f>F641/J641</x:f>
        <x:v>0.11719778982300162</x:v>
      </x:c>
      <x:c r="J641" s="56" t="n">
        <x:v>411.77527284946234</x:v>
      </x:c>
    </x:row>
    <x:row r="642" ht="65" customHeight="1">
      <x:c r="A642" s="61" t="n">
        <x:v>45931</x:v>
      </x:c>
      <x:c r="B642" s="32" t="str">
        <x:v>Alimentación y artículos de consumo masivo</x:v>
      </x:c>
      <x:c r="C642" s="32" t="str">
        <x:v>Alimentación, comercios y servicios</x:v>
      </x:c>
      <x:c r="D642" s="62" t="n">
        <x:v>31</x:v>
      </x:c>
      <x:c r="E642" s="2" t="str">
        <x:v>Completo</x:v>
      </x:c>
      <x:c r="F642" s="56" t="n">
        <x:v>281.7715766129033</x:v>
      </x:c>
      <x:c r="G642" s="56" t="n">
        <x:f>F474</x:f>
        <x:v>287.3545564516129</x:v>
      </x:c>
      <x:c r="H642" s="57" t="n">
        <x:f>IF(ISNUMBER(G642),IF(G642=0,"n.a.",F642/G642-1),"n.a.")</x:f>
        <x:v>-0.019428889201030364</x:v>
      </x:c>
      <x:c r="I642" s="58" t="n">
        <x:f>F642/J642</x:f>
        <x:v>0.6842848397939474</x:v>
      </x:c>
      <x:c r="J642" s="56" t="n">
        <x:v>411.77527284946234</x:v>
      </x:c>
    </x:row>
    <x:row r="643" ht="65" customHeight="1">
      <x:c r="A643" s="61" t="n">
        <x:v>45931</x:v>
      </x:c>
      <x:c r="B643" s="32" t="str">
        <x:v>Servicios públicos y transporte: agua y transporte en GBA</x:v>
      </x:c>
      <x:c r="C643" s="32" t="str">
        <x:v>Alimentación, comercios y servicios</x:v>
      </x:c>
      <x:c r="D643" s="62" t="n">
        <x:v>31</x:v>
      </x:c>
      <x:c r="E643" s="2" t="str">
        <x:v>Completo</x:v>
      </x:c>
      <x:c r="F643" s="56" t="n">
        <x:v>72.0537432795699</x:v>
      </x:c>
      <x:c r="G643" s="56" t="n">
        <x:f>F475</x:f>
        <x:v>73.76425537634408</x:v>
      </x:c>
      <x:c r="H643" s="57" t="n">
        <x:f>IF(ISNUMBER(G643),IF(G643=0,"n.a.",F643/G643-1),"n.a.")</x:f>
        <x:v>-0.02318890210505309</x:v>
      </x:c>
      <x:c r="I643" s="58" t="n">
        <x:f>F643/J643</x:f>
        <x:v>0.17498317172122052</x:v>
      </x:c>
      <x:c r="J643" s="56" t="n">
        <x:v>411.77527284946234</x:v>
      </x:c>
    </x:row>
    <x:row r="644" ht="65" customHeight="1">
      <x:c r="A644" s="61" t="n">
        <x:v>45931</x:v>
      </x:c>
      <x:c r="B644" s="32" t="str">
        <x:v>Industria automotriz</x:v>
      </x:c>
      <x:c r="C644" s="32" t="str">
        <x:v>Industrias sin Aluar</x:v>
      </x:c>
      <x:c r="D644" s="62" t="n">
        <x:v>31</x:v>
      </x:c>
      <x:c r="E644" s="2" t="str">
        <x:v>Completo</x:v>
      </x:c>
      <x:c r="F644" s="56" t="n">
        <x:v>41.631485215053765</x:v>
      </x:c>
      <x:c r="G644" s="56" t="n">
        <x:f>F476</x:f>
        <x:v>42.818172043010755</x:v>
      </x:c>
      <x:c r="H644" s="57" t="n">
        <x:f>IF(ISNUMBER(G644),IF(G644=0,"n.a.",F644/G644-1),"n.a.")</x:f>
        <x:v>-0.027714560695514145</x:v>
      </x:c>
      <x:c r="I644" s="58" t="n">
        <x:f>F644/J644</x:f>
        <x:v>0.034979408148435594</x:v>
      </x:c>
      <x:c r="J644" s="56" t="n">
        <x:v>1190.1712298387095</x:v>
      </x:c>
    </x:row>
    <x:row r="645" ht="65" customHeight="1">
      <x:c r="A645" s="61" t="n">
        <x:v>45931</x:v>
      </x:c>
      <x:c r="B645" s="32" t="str">
        <x:v>Derivados de petróleo</x:v>
      </x:c>
      <x:c r="C645" s="32" t="str">
        <x:v>Industrias sin Aluar</x:v>
      </x:c>
      <x:c r="D645" s="62" t="n">
        <x:v>31</x:v>
      </x:c>
      <x:c r="E645" s="2" t="str">
        <x:v>Completo</x:v>
      </x:c>
      <x:c r="F645" s="56" t="n">
        <x:v>193.04855107526882</x:v>
      </x:c>
      <x:c r="G645" s="56" t="n">
        <x:f>F477</x:f>
        <x:v>149.40455913978496</x:v>
      </x:c>
      <x:c r="H645" s="57" t="n">
        <x:f>IF(ISNUMBER(G645),IF(G645=0,"n.a.",F645/G645-1),"n.a.")</x:f>
        <x:v>0.29211954566024945</x:v>
      </x:c>
      <x:c r="I645" s="58" t="n">
        <x:f>F645/J645</x:f>
        <x:v>0.1622023337779981</x:v>
      </x:c>
      <x:c r="J645" s="56" t="n">
        <x:v>1190.1712298387095</x:v>
      </x:c>
    </x:row>
    <x:row r="646" ht="65" customHeight="1">
      <x:c r="A646" s="61" t="n">
        <x:v>45931</x:v>
      </x:c>
      <x:c r="B646" s="32" t="str">
        <x:v>Construcción: elaboración de cemento y canteras</x:v>
      </x:c>
      <x:c r="C646" s="32" t="str">
        <x:v>Industrias sin Aluar</x:v>
      </x:c>
      <x:c r="D646" s="62" t="n">
        <x:v>31</x:v>
      </x:c>
      <x:c r="E646" s="2" t="str">
        <x:v>Completo</x:v>
      </x:c>
      <x:c r="F646" s="56" t="n">
        <x:v>148.12838978494622</x:v>
      </x:c>
      <x:c r="G646" s="56" t="n">
        <x:f>F478</x:f>
        <x:v>172.92159543010752</x:v>
      </x:c>
      <x:c r="H646" s="57" t="n">
        <x:f>IF(ISNUMBER(G646),IF(G646=0,"n.a.",F646/G646-1),"n.a.")</x:f>
        <x:v>-0.1433783072813618</x:v>
      </x:c>
      <x:c r="I646" s="58" t="n">
        <x:f>F646/J646</x:f>
        <x:v>0.12445972988695114</x:v>
      </x:c>
      <x:c r="J646" s="56" t="n">
        <x:v>1190.1712298387095</x:v>
      </x:c>
    </x:row>
    <x:row r="647" ht="65" customHeight="1">
      <x:c r="A647" s="61" t="n">
        <x:v>45931</x:v>
      </x:c>
      <x:c r="B647" s="32" t="str">
        <x:v>Madera y papel</x:v>
      </x:c>
      <x:c r="C647" s="32" t="str">
        <x:v>Industrias sin Aluar</x:v>
      </x:c>
      <x:c r="D647" s="62" t="n">
        <x:v>31</x:v>
      </x:c>
      <x:c r="E647" s="2" t="str">
        <x:v>Completo</x:v>
      </x:c>
      <x:c r="F647" s="56" t="n">
        <x:v>101.0890241935484</x:v>
      </x:c>
      <x:c r="G647" s="56" t="n">
        <x:f>F479</x:f>
        <x:v>98.67534005376345</x:v>
      </x:c>
      <x:c r="H647" s="57" t="n">
        <x:f>IF(ISNUMBER(G647),IF(G647=0,"n.a.",F647/G647-1),"n.a.")</x:f>
        <x:v>0.024460864674698435</x:v>
      </x:c>
      <x:c r="I647" s="58" t="n">
        <x:f>F647/J647</x:f>
        <x:v>0.08493653825529614</x:v>
      </x:c>
      <x:c r="J647" s="56" t="n">
        <x:v>1190.1712298387095</x:v>
      </x:c>
    </x:row>
    <x:row r="648" ht="65" customHeight="1">
      <x:c r="A648" s="61" t="n">
        <x:v>45931</x:v>
      </x:c>
      <x:c r="B648" s="32" t="str">
        <x:v>Productos metálicos no automotores</x:v>
      </x:c>
      <x:c r="C648" s="32" t="str">
        <x:v>Industrias sin Aluar</x:v>
      </x:c>
      <x:c r="D648" s="62" t="n">
        <x:v>31</x:v>
      </x:c>
      <x:c r="E648" s="2" t="str">
        <x:v>Completo</x:v>
      </x:c>
      <x:c r="F648" s="56" t="n">
        <x:v>44.82654301075269</x:v>
      </x:c>
      <x:c r="G648" s="56" t="n">
        <x:f>F480</x:f>
        <x:v>43.676311827956994</x:v>
      </x:c>
      <x:c r="H648" s="57" t="n">
        <x:f>IF(ISNUMBER(G648),IF(G648=0,"n.a.",F648/G648-1),"n.a.")</x:f>
        <x:v>0.026335355130866045</x:v>
      </x:c>
      <x:c r="I648" s="58" t="n">
        <x:f>F648/J648</x:f>
        <x:v>0.037663944386243924</x:v>
      </x:c>
      <x:c r="J648" s="56" t="n">
        <x:v>1190.1712298387095</x:v>
      </x:c>
    </x:row>
    <x:row r="649" ht="65" customHeight="1">
      <x:c r="A649" s="61" t="n">
        <x:v>45931</x:v>
      </x:c>
      <x:c r="B649" s="32" t="str">
        <x:v>Gran siderurgia</x:v>
      </x:c>
      <x:c r="C649" s="32" t="str">
        <x:v>Industrias sin Aluar</x:v>
      </x:c>
      <x:c r="D649" s="62" t="n">
        <x:v>31</x:v>
      </x:c>
      <x:c r="E649" s="2" t="str">
        <x:v>Completo</x:v>
      </x:c>
      <x:c r="F649" s="56" t="n">
        <x:v>287.5612244623656</x:v>
      </x:c>
      <x:c r="G649" s="56" t="n">
        <x:f>F481</x:f>
        <x:v>295.38708467741935</x:v>
      </x:c>
      <x:c r="H649" s="57" t="n">
        <x:f>IF(ISNUMBER(G649),IF(G649=0,"n.a.",F649/G649-1),"n.a.")</x:f>
        <x:v>-0.02649357612774461</x:v>
      </x:c>
      <x:c r="I649" s="58" t="n">
        <x:f>F649/J649</x:f>
        <x:v>0.24161332189262846</x:v>
      </x:c>
      <x:c r="J649" s="56" t="n">
        <x:v>1190.1712298387095</x:v>
      </x:c>
    </x:row>
    <x:row r="650" ht="65" customHeight="1">
      <x:c r="A650" s="61" t="n">
        <x:v>45931</x:v>
      </x:c>
      <x:c r="B650" s="32" t="str">
        <x:v>Industria textil</x:v>
      </x:c>
      <x:c r="C650" s="32" t="str">
        <x:v>Industrias sin Aluar</x:v>
      </x:c>
      <x:c r="D650" s="62" t="n">
        <x:v>31</x:v>
      </x:c>
      <x:c r="E650" s="2" t="str">
        <x:v>Completo</x:v>
      </x:c>
      <x:c r="F650" s="56" t="n">
        <x:v>43.08152419354839</x:v>
      </x:c>
      <x:c r="G650" s="56" t="n">
        <x:f>F482</x:f>
        <x:v>58.80636155913979</x:v>
      </x:c>
      <x:c r="H650" s="57" t="n">
        <x:f>IF(ISNUMBER(G650),IF(G650=0,"n.a.",F650/G650-1),"n.a.")</x:f>
        <x:v>-0.2674002769203363</x:v>
      </x:c>
      <x:c r="I650" s="58" t="n">
        <x:f>F650/J650</x:f>
        <x:v>0.03619775299003551</x:v>
      </x:c>
      <x:c r="J650" s="56" t="n">
        <x:v>1190.1712298387095</x:v>
      </x:c>
    </x:row>
    <x:row r="651" ht="65" customHeight="1">
      <x:c r="A651" s="61" t="n">
        <x:v>45931</x:v>
      </x:c>
      <x:c r="B651" s="32" t="str">
        <x:v>Químicas, caucho, plástico y otros minerales no metálicos</x:v>
      </x:c>
      <x:c r="C651" s="32" t="str">
        <x:v>Industrias sin Aluar</x:v>
      </x:c>
      <x:c r="D651" s="62" t="n">
        <x:v>31</x:v>
      </x:c>
      <x:c r="E651" s="2" t="str">
        <x:v>Completo</x:v>
      </x:c>
      <x:c r="F651" s="56" t="n">
        <x:v>330.8044879032258</x:v>
      </x:c>
      <x:c r="G651" s="56" t="n">
        <x:f>F483</x:f>
        <x:v>298.94210887096773</x:v>
      </x:c>
      <x:c r="H651" s="57" t="n">
        <x:f>IF(ISNUMBER(G651),IF(G651=0,"n.a.",F651/G651-1),"n.a.")</x:f>
        <x:v>0.10658377688106424</x:v>
      </x:c>
      <x:c r="I651" s="58" t="n">
        <x:f>F651/J651</x:f>
        <x:v>0.2779469706624113</x:v>
      </x:c>
      <x:c r="J651" s="56" t="n">
        <x:v>1190.1712298387095</x:v>
      </x:c>
    </x:row>
    <x:row r="652" ht="65" customHeight="1">
      <x:c r="A652" s="61" t="n">
        <x:v>45931</x:v>
      </x:c>
      <x:c r="B652" s="32" t="str">
        <x:v>Extracción de minerales</x:v>
      </x:c>
      <x:c r="C652" s="32" t="str">
        <x:v>Petróleos y minerales</x:v>
      </x:c>
      <x:c r="D652" s="62" t="n">
        <x:v>31</x:v>
      </x:c>
      <x:c r="E652" s="2" t="str">
        <x:v>Completo</x:v>
      </x:c>
      <x:c r="F652" s="56" t="n">
        <x:v>25.597166666666666</x:v>
      </x:c>
      <x:c r="G652" s="56" t="n">
        <x:f>F484</x:f>
        <x:v>24.063864247311827</x:v>
      </x:c>
      <x:c r="H652" s="57" t="n">
        <x:f>IF(ISNUMBER(G652),IF(G652=0,"n.a.",F652/G652-1),"n.a.")</x:f>
        <x:v>0.06371804642831314</x:v>
      </x:c>
      <x:c r="I652" s="58" t="n">
        <x:f>F652/J652</x:f>
        <x:v>0.1412201464935599</x:v>
      </x:c>
      <x:c r="J652" s="56" t="n">
        <x:v>181.25718817204302</x:v>
      </x:c>
    </x:row>
    <x:row r="653" ht="65" customHeight="1">
      <x:c r="A653" s="61" t="n">
        <x:v>45931</x:v>
      </x:c>
      <x:c r="B653" s="32" t="str">
        <x:v>Extracción de petróleo</x:v>
      </x:c>
      <x:c r="C653" s="32" t="str">
        <x:v>Petróleos y minerales</x:v>
      </x:c>
      <x:c r="D653" s="62" t="n">
        <x:v>31</x:v>
      </x:c>
      <x:c r="E653" s="2" t="str">
        <x:v>Completo</x:v>
      </x:c>
      <x:c r="F653" s="56" t="n">
        <x:v>155.66002150537636</x:v>
      </x:c>
      <x:c r="G653" s="56" t="n">
        <x:f>F485</x:f>
        <x:v>149.80320295698925</x:v>
      </x:c>
      <x:c r="H653" s="57" t="n">
        <x:f>IF(ISNUMBER(G653),IF(G653=0,"n.a.",F653/G653-1),"n.a.")</x:f>
        <x:v>0.03909675115603961</x:v>
      </x:c>
      <x:c r="I653" s="58" t="n">
        <x:f>F653/J653</x:f>
        <x:v>0.8587798535064401</x:v>
      </x:c>
      <x:c r="J653" s="56" t="n">
        <x:v>181.25718817204302</x:v>
      </x:c>
    </x:row>
    <x:row r="654" ht="65" customHeight="1">
      <x:c r="A654" s="61" t="n">
        <x:v>45962</x:v>
      </x:c>
      <x:c r="B654" s="32" t="str">
        <x:v>Cargas y puertos</x:v>
      </x:c>
      <x:c r="C654" s="32" t="str">
        <x:v>Alimentación, comercios y servicios</x:v>
      </x:c>
      <x:c r="D654" s="62" t="n">
        <x:v>30</x:v>
      </x:c>
      <x:c r="E654" s="2" t="str">
        <x:v>Completo</x:v>
      </x:c>
      <x:c r="F654" s="56" t="n">
        <x:v>10.149722222222222</x:v>
      </x:c>
      <x:c r="G654" s="56" t="n">
        <x:f>F486</x:f>
        <x:v>10.34502638888889</x:v>
      </x:c>
      <x:c r="H654" s="57" t="n">
        <x:f>IF(ISNUMBER(G654),IF(G654=0,"n.a.",F654/G654-1),"n.a.")</x:f>
        <x:v>-0.01887903996807927</x:v>
      </x:c>
      <x:c r="I654" s="58" t="n">
        <x:f>F654/J654</x:f>
        <x:v>0.02460563616140291</x:v>
      </x:c>
      <x:c r="J654" s="56" t="n">
        <x:v>412.49582638888893</x:v>
      </x:c>
    </x:row>
    <x:row r="655" ht="65" customHeight="1">
      <x:c r="A655" s="61" t="n">
        <x:v>45962</x:v>
      </x:c>
      <x:c r="B655" s="32" t="str">
        <x:v>Comercio y servicios: principalmente supermercados y centros comerciales</x:v>
      </x:c>
      <x:c r="C655" s="32" t="str">
        <x:v>Alimentación, comercios y servicios</x:v>
      </x:c>
      <x:c r="D655" s="62" t="n">
        <x:v>30</x:v>
      </x:c>
      <x:c r="E655" s="2" t="str">
        <x:v>Completo</x:v>
      </x:c>
      <x:c r="F655" s="56" t="n">
        <x:v>49.93407777777778</x:v>
      </x:c>
      <x:c r="G655" s="56" t="n">
        <x:f>F487</x:f>
        <x:v>48.0542125</x:v>
      </x:c>
      <x:c r="H655" s="57" t="n">
        <x:f>IF(ISNUMBER(G655),IF(G655=0,"n.a.",F655/G655-1),"n.a.")</x:f>
        <x:v>0.03911967713086084</x:v>
      </x:c>
      <x:c r="I655" s="58" t="n">
        <x:f>F655/J655</x:f>
        <x:v>0.12105353456522346</x:v>
      </x:c>
      <x:c r="J655" s="56" t="n">
        <x:v>412.49582638888893</x:v>
      </x:c>
    </x:row>
    <x:row r="656" ht="65" customHeight="1">
      <x:c r="A656" s="61" t="n">
        <x:v>45962</x:v>
      </x:c>
      <x:c r="B656" s="32" t="str">
        <x:v>Alimentación y artículos de consumo masivo</x:v>
      </x:c>
      <x:c r="C656" s="32" t="str">
        <x:v>Alimentación, comercios y servicios</x:v>
      </x:c>
      <x:c r="D656" s="62" t="n">
        <x:v>30</x:v>
      </x:c>
      <x:c r="E656" s="2" t="str">
        <x:v>Completo</x:v>
      </x:c>
      <x:c r="F656" s="56" t="n">
        <x:v>280.7010791666667</x:v>
      </x:c>
      <x:c r="G656" s="56" t="n">
        <x:f>F488</x:f>
        <x:v>294.1251888888889</x:v>
      </x:c>
      <x:c r="H656" s="57" t="n">
        <x:f>IF(ISNUMBER(G656),IF(G656=0,"n.a.",F656/G656-1),"n.a.")</x:f>
        <x:v>-0.04564080272394955</x:v>
      </x:c>
      <x:c r="I656" s="58" t="n">
        <x:f>F656/J656</x:f>
        <x:v>0.6804943497828994</x:v>
      </x:c>
      <x:c r="J656" s="56" t="n">
        <x:v>412.49582638888893</x:v>
      </x:c>
    </x:row>
    <x:row r="657" ht="65" customHeight="1">
      <x:c r="A657" s="61" t="n">
        <x:v>45962</x:v>
      </x:c>
      <x:c r="B657" s="32" t="str">
        <x:v>Servicios públicos y transporte: agua y transporte en GBA</x:v>
      </x:c>
      <x:c r="C657" s="32" t="str">
        <x:v>Alimentación, comercios y servicios</x:v>
      </x:c>
      <x:c r="D657" s="62" t="n">
        <x:v>30</x:v>
      </x:c>
      <x:c r="E657" s="2" t="str">
        <x:v>Completo</x:v>
      </x:c>
      <x:c r="F657" s="56" t="n">
        <x:v>71.71094722222223</x:v>
      </x:c>
      <x:c r="G657" s="56" t="n">
        <x:f>F489</x:f>
        <x:v>74.77258888888888</x:v>
      </x:c>
      <x:c r="H657" s="57" t="n">
        <x:f>IF(ISNUMBER(G657),IF(G657=0,"n.a.",F657/G657-1),"n.a.")</x:f>
        <x:v>-0.04094604335843188</x:v>
      </x:c>
      <x:c r="I657" s="58" t="n">
        <x:f>F657/J657</x:f>
        <x:v>0.1738464794904743</x:v>
      </x:c>
      <x:c r="J657" s="56" t="n">
        <x:v>412.49582638888893</x:v>
      </x:c>
    </x:row>
    <x:row r="658" ht="65" customHeight="1">
      <x:c r="A658" s="61" t="n">
        <x:v>45962</x:v>
      </x:c>
      <x:c r="B658" s="32" t="str">
        <x:v>Industria automotriz</x:v>
      </x:c>
      <x:c r="C658" s="32" t="str">
        <x:v>Industrias sin Aluar</x:v>
      </x:c>
      <x:c r="D658" s="62" t="n">
        <x:v>30</x:v>
      </x:c>
      <x:c r="E658" s="2" t="str">
        <x:v>Completo</x:v>
      </x:c>
      <x:c r="F658" s="56" t="n">
        <x:v>41.784724999999995</x:v>
      </x:c>
      <x:c r="G658" s="56" t="n">
        <x:f>F490</x:f>
        <x:v>45.94604583333333</x:v>
      </x:c>
      <x:c r="H658" s="57" t="n">
        <x:f>IF(ISNUMBER(G658),IF(G658=0,"n.a.",F658/G658-1),"n.a.")</x:f>
        <x:v>-0.09056972711924527</x:v>
      </x:c>
      <x:c r="I658" s="58" t="n">
        <x:f>F658/J658</x:f>
        <x:v>0.036853764053459546</x:v>
      </x:c>
      <x:c r="J658" s="56" t="n">
        <x:v>1133.7980277777779</x:v>
      </x:c>
    </x:row>
    <x:row r="659" ht="65" customHeight="1">
      <x:c r="A659" s="61" t="n">
        <x:v>45962</x:v>
      </x:c>
      <x:c r="B659" s="32" t="str">
        <x:v>Derivados de petróleo</x:v>
      </x:c>
      <x:c r="C659" s="32" t="str">
        <x:v>Industrias sin Aluar</x:v>
      </x:c>
      <x:c r="D659" s="62" t="n">
        <x:v>30</x:v>
      </x:c>
      <x:c r="E659" s="2" t="str">
        <x:v>Completo</x:v>
      </x:c>
      <x:c r="F659" s="56" t="n">
        <x:v>157.05166527777777</x:v>
      </x:c>
      <x:c r="G659" s="56" t="n">
        <x:f>F491</x:f>
        <x:v>165.5309777777778</x:v>
      </x:c>
      <x:c r="H659" s="57" t="n">
        <x:f>IF(ISNUMBER(G659),IF(G659=0,"n.a.",F659/G659-1),"n.a.")</x:f>
        <x:v>-0.051224928492740074</x:v>
      </x:c>
      <x:c r="I659" s="58" t="n">
        <x:f>F659/J659</x:f>
        <x:v>0.13851820291626013</x:v>
      </x:c>
      <x:c r="J659" s="56" t="n">
        <x:v>1133.7980277777779</x:v>
      </x:c>
    </x:row>
    <x:row r="660" ht="65" customHeight="1">
      <x:c r="A660" s="61" t="n">
        <x:v>45962</x:v>
      </x:c>
      <x:c r="B660" s="32" t="str">
        <x:v>Construcción: elaboración de cemento y canteras</x:v>
      </x:c>
      <x:c r="C660" s="32" t="str">
        <x:v>Industrias sin Aluar</x:v>
      </x:c>
      <x:c r="D660" s="62" t="n">
        <x:v>30</x:v>
      </x:c>
      <x:c r="E660" s="2" t="str">
        <x:v>Completo</x:v>
      </x:c>
      <x:c r="F660" s="56" t="n">
        <x:v>157.78632083333335</x:v>
      </x:c>
      <x:c r="G660" s="56" t="n">
        <x:f>F492</x:f>
        <x:v>163.7979222222222</x:v>
      </x:c>
      <x:c r="H660" s="57" t="n">
        <x:f>IF(ISNUMBER(G660),IF(G660=0,"n.a.",F660/G660-1),"n.a.")</x:f>
        <x:v>-0.036701328730733285</x:v>
      </x:c>
      <x:c r="I660" s="58" t="n">
        <x:f>F660/J660</x:f>
        <x:v>0.13916616272705243</x:v>
      </x:c>
      <x:c r="J660" s="56" t="n">
        <x:v>1133.7980277777779</x:v>
      </x:c>
    </x:row>
    <x:row r="661" ht="65" customHeight="1">
      <x:c r="A661" s="61" t="n">
        <x:v>45962</x:v>
      </x:c>
      <x:c r="B661" s="32" t="str">
        <x:v>Madera y papel</x:v>
      </x:c>
      <x:c r="C661" s="32" t="str">
        <x:v>Industrias sin Aluar</x:v>
      </x:c>
      <x:c r="D661" s="62" t="n">
        <x:v>30</x:v>
      </x:c>
      <x:c r="E661" s="2" t="str">
        <x:v>Completo</x:v>
      </x:c>
      <x:c r="F661" s="56" t="n">
        <x:v>102.12523055555556</x:v>
      </x:c>
      <x:c r="G661" s="56" t="n">
        <x:f>F493</x:f>
        <x:v>108.59955416666666</x:v>
      </x:c>
      <x:c r="H661" s="57" t="n">
        <x:f>IF(ISNUMBER(G661),IF(G661=0,"n.a.",F661/G661-1),"n.a.")</x:f>
        <x:v>-0.059616484255313074</x:v>
      </x:c>
      <x:c r="I661" s="58" t="n">
        <x:f>F661/J661</x:f>
        <x:v>0.09007356517961054</x:v>
      </x:c>
      <x:c r="J661" s="56" t="n">
        <x:v>1133.7980277777779</x:v>
      </x:c>
    </x:row>
    <x:row r="662" ht="65" customHeight="1">
      <x:c r="A662" s="61" t="n">
        <x:v>45962</x:v>
      </x:c>
      <x:c r="B662" s="32" t="str">
        <x:v>Productos metálicos no automotores</x:v>
      </x:c>
      <x:c r="C662" s="32" t="str">
        <x:v>Industrias sin Aluar</x:v>
      </x:c>
      <x:c r="D662" s="62" t="n">
        <x:v>30</x:v>
      </x:c>
      <x:c r="E662" s="2" t="str">
        <x:v>Completo</x:v>
      </x:c>
      <x:c r="F662" s="56" t="n">
        <x:v>41.39710138888889</x:v>
      </x:c>
      <x:c r="G662" s="56" t="n">
        <x:f>F494</x:f>
        <x:v>44.630475000000004</x:v>
      </x:c>
      <x:c r="H662" s="57" t="n">
        <x:f>IF(ISNUMBER(G662),IF(G662=0,"n.a.",F662/G662-1),"n.a.")</x:f>
        <x:v>-0.07244766297269101</x:v>
      </x:c>
      <x:c r="I662" s="58" t="n">
        <x:f>F662/J662</x:f>
        <x:v>0.03651188339957374</x:v>
      </x:c>
      <x:c r="J662" s="56" t="n">
        <x:v>1133.7980277777779</x:v>
      </x:c>
    </x:row>
    <x:row r="663" ht="65" customHeight="1">
      <x:c r="A663" s="61" t="n">
        <x:v>45962</x:v>
      </x:c>
      <x:c r="B663" s="32" t="str">
        <x:v>Gran siderurgia</x:v>
      </x:c>
      <x:c r="C663" s="32" t="str">
        <x:v>Industrias sin Aluar</x:v>
      </x:c>
      <x:c r="D663" s="62" t="n">
        <x:v>30</x:v>
      </x:c>
      <x:c r="E663" s="2" t="str">
        <x:v>Completo</x:v>
      </x:c>
      <x:c r="F663" s="56" t="n">
        <x:v>280.3812277777778</x:v>
      </x:c>
      <x:c r="G663" s="56" t="n">
        <x:f>F495</x:f>
        <x:v>292.23266944444447</x:v>
      </x:c>
      <x:c r="H663" s="57" t="n">
        <x:f>IF(ISNUMBER(G663),IF(G663=0,"n.a.",F663/G663-1),"n.a.")</x:f>
        <x:v>-0.04055481438539077</x:v>
      </x:c>
      <x:c r="I663" s="58" t="n">
        <x:f>F663/J663</x:f>
        <x:v>0.2472938044594411</x:v>
      </x:c>
      <x:c r="J663" s="56" t="n">
        <x:v>1133.7980277777779</x:v>
      </x:c>
    </x:row>
    <x:row r="664" ht="65" customHeight="1">
      <x:c r="A664" s="61" t="n">
        <x:v>45962</x:v>
      </x:c>
      <x:c r="B664" s="32" t="str">
        <x:v>Industria textil</x:v>
      </x:c>
      <x:c r="C664" s="32" t="str">
        <x:v>Industrias sin Aluar</x:v>
      </x:c>
      <x:c r="D664" s="62" t="n">
        <x:v>30</x:v>
      </x:c>
      <x:c r="E664" s="2" t="str">
        <x:v>Completo</x:v>
      </x:c>
      <x:c r="F664" s="56" t="n">
        <x:v>43.06385416666667</x:v>
      </x:c>
      <x:c r="G664" s="56" t="n">
        <x:f>F496</x:f>
        <x:v>60.52300138888889</x:v>
      </x:c>
      <x:c r="H664" s="57" t="n">
        <x:f>IF(ISNUMBER(G664),IF(G664=0,"n.a.",F664/G664-1),"n.a.")</x:f>
        <x:v>-0.28847127243473847</x:v>
      </x:c>
      <x:c r="I664" s="58" t="n">
        <x:f>F664/J664</x:f>
        <x:v>0.03798194485403277</x:v>
      </x:c>
      <x:c r="J664" s="56" t="n">
        <x:v>1133.7980277777779</x:v>
      </x:c>
    </x:row>
    <x:row r="665" ht="65" customHeight="1">
      <x:c r="A665" s="61" t="n">
        <x:v>45962</x:v>
      </x:c>
      <x:c r="B665" s="32" t="str">
        <x:v>Químicas, caucho, plástico y otros minerales no metálicos</x:v>
      </x:c>
      <x:c r="C665" s="32" t="str">
        <x:v>Industrias sin Aluar</x:v>
      </x:c>
      <x:c r="D665" s="62" t="n">
        <x:v>30</x:v>
      </x:c>
      <x:c r="E665" s="2" t="str">
        <x:v>Completo</x:v>
      </x:c>
      <x:c r="F665" s="56" t="n">
        <x:v>310.2079027777778</x:v>
      </x:c>
      <x:c r="G665" s="56" t="n">
        <x:f>F497</x:f>
        <x:v>317.8063902777778</x:v>
      </x:c>
      <x:c r="H665" s="57" t="n">
        <x:f>IF(ISNUMBER(G665),IF(G665=0,"n.a.",F665/G665-1),"n.a.")</x:f>
        <x:v>-0.023909171534777895</x:v>
      </x:c>
      <x:c r="I665" s="58" t="n">
        <x:f>F665/J665</x:f>
        <x:v>0.2736006724105697</x:v>
      </x:c>
      <x:c r="J665" s="56" t="n">
        <x:v>1133.7980277777779</x:v>
      </x:c>
    </x:row>
    <x:row r="666" ht="65" customHeight="1">
      <x:c r="A666" s="61" t="n">
        <x:v>45962</x:v>
      </x:c>
      <x:c r="B666" s="32" t="str">
        <x:v>Extracción de minerales</x:v>
      </x:c>
      <x:c r="C666" s="32" t="str">
        <x:v>Petróleos y minerales</x:v>
      </x:c>
      <x:c r="D666" s="62" t="n">
        <x:v>30</x:v>
      </x:c>
      <x:c r="E666" s="2" t="str">
        <x:v>Completo</x:v>
      </x:c>
      <x:c r="F666" s="56" t="n">
        <x:v>25.129833333333334</x:v>
      </x:c>
      <x:c r="G666" s="56" t="n">
        <x:f>F498</x:f>
        <x:v>24.36278472222222</x:v>
      </x:c>
      <x:c r="H666" s="57" t="n">
        <x:f>IF(ISNUMBER(G666),IF(G666=0,"n.a.",F666/G666-1),"n.a.")</x:f>
        <x:v>0.03148443906789766</x:v>
      </x:c>
      <x:c r="I666" s="58" t="n">
        <x:f>F666/J666</x:f>
        <x:v>0.1307204662469355</x:v>
      </x:c>
      <x:c r="J666" s="56" t="n">
        <x:v>192.2410013888889</x:v>
      </x:c>
    </x:row>
    <x:row r="667" ht="65" customHeight="1">
      <x:c r="A667" s="61" t="n">
        <x:v>45962</x:v>
      </x:c>
      <x:c r="B667" s="32" t="str">
        <x:v>Extracción de petróleo</x:v>
      </x:c>
      <x:c r="C667" s="32" t="str">
        <x:v>Petróleos y minerales</x:v>
      </x:c>
      <x:c r="D667" s="62" t="n">
        <x:v>30</x:v>
      </x:c>
      <x:c r="E667" s="2" t="str">
        <x:v>Completo</x:v>
      </x:c>
      <x:c r="F667" s="56" t="n">
        <x:v>167.11116805555557</x:v>
      </x:c>
      <x:c r="G667" s="56" t="n">
        <x:f>F499</x:f>
        <x:v>146.2797388888889</x:v>
      </x:c>
      <x:c r="H667" s="57" t="n">
        <x:f>IF(ISNUMBER(G667),IF(G667=0,"n.a.",F667/G667-1),"n.a.")</x:f>
        <x:v>0.1424081648278701</x:v>
      </x:c>
      <x:c r="I667" s="58" t="n">
        <x:f>F667/J667</x:f>
        <x:v>0.8692795337530645</x:v>
      </x:c>
      <x:c r="J667" s="56" t="n">
        <x:v>192.2410013888889</x:v>
      </x:c>
    </x:row>
    <x:row r="668" ht="65" customHeight="1">
      <x:c r="A668" s="61" t="n">
        <x:v>45992</x:v>
      </x:c>
      <x:c r="B668" s="32" t="str">
        <x:v>Cargas y puertos</x:v>
      </x:c>
      <x:c r="C668" s="32" t="str">
        <x:v>Alimentación, comercios y servicios</x:v>
      </x:c>
      <x:c r="D668" s="62" t="n">
        <x:v>31</x:v>
      </x:c>
      <x:c r="E668" s="2" t="str">
        <x:v>Completo</x:v>
      </x:c>
      <x:c r="F668" s="56" t="n">
        <x:v>12.022153225806452</x:v>
      </x:c>
      <x:c r="G668" s="56" t="n">
        <x:f>F500</x:f>
        <x:v>10.494112903225806</x:v>
      </x:c>
      <x:c r="H668" s="57" t="n">
        <x:f>IF(ISNUMBER(G668),IF(G668=0,"n.a.",F668/G668-1),"n.a.")</x:f>
        <x:v>0.1456092893865224</x:v>
      </x:c>
      <x:c r="I668" s="58" t="n">
        <x:f>F668/J668</x:f>
        <x:v>0.028734354892115285</x:v>
      </x:c>
      <x:c r="J668" s="56" t="n">
        <x:v>418.3895295698925</x:v>
      </x:c>
    </x:row>
    <x:row r="669" ht="65" customHeight="1">
      <x:c r="A669" s="61" t="n">
        <x:v>45992</x:v>
      </x:c>
      <x:c r="B669" s="32" t="str">
        <x:v>Comercio y servicios: principalmente supermercados y centros comerciales</x:v>
      </x:c>
      <x:c r="C669" s="32" t="str">
        <x:v>Alimentación, comercios y servicios</x:v>
      </x:c>
      <x:c r="D669" s="62" t="n">
        <x:v>31</x:v>
      </x:c>
      <x:c r="E669" s="2" t="str">
        <x:v>Completo</x:v>
      </x:c>
      <x:c r="F669" s="56" t="n">
        <x:v>57.798616935483864</x:v>
      </x:c>
      <x:c r="G669" s="56" t="n">
        <x:f>F501</x:f>
        <x:v>49.697990591397854</x:v>
      </x:c>
      <x:c r="H669" s="57" t="n">
        <x:f>IF(ISNUMBER(G669),IF(G669=0,"n.a.",F669/G669-1),"n.a.")</x:f>
        <x:v>0.16299705979436796</x:v>
      </x:c>
      <x:c r="I669" s="58" t="n">
        <x:f>F669/J669</x:f>
        <x:v>0.13814546696448468</x:v>
      </x:c>
      <x:c r="J669" s="56" t="n">
        <x:v>418.3895295698925</x:v>
      </x:c>
    </x:row>
    <x:row r="670" ht="65" customHeight="1">
      <x:c r="A670" s="61" t="n">
        <x:v>45992</x:v>
      </x:c>
      <x:c r="B670" s="32" t="str">
        <x:v>Alimentación y artículos de consumo masivo</x:v>
      </x:c>
      <x:c r="C670" s="32" t="str">
        <x:v>Alimentación, comercios y servicios</x:v>
      </x:c>
      <x:c r="D670" s="62" t="n">
        <x:v>31</x:v>
      </x:c>
      <x:c r="E670" s="2" t="str">
        <x:v>Completo</x:v>
      </x:c>
      <x:c r="F670" s="56" t="n">
        <x:v>275.7989247311828</x:v>
      </x:c>
      <x:c r="G670" s="56" t="n">
        <x:f>F502</x:f>
        <x:v>265.6165067204301</x:v>
      </x:c>
      <x:c r="H670" s="57" t="n">
        <x:f>IF(ISNUMBER(G670),IF(G670=0,"n.a.",F670/G670-1),"n.a.")</x:f>
        <x:v>0.03833503473287547</x:v>
      </x:c>
      <x:c r="I670" s="58" t="n">
        <x:f>F670/J670</x:f>
        <x:v>0.6591917465398958</x:v>
      </x:c>
      <x:c r="J670" s="56" t="n">
        <x:v>418.3895295698925</x:v>
      </x:c>
    </x:row>
    <x:row r="671" ht="65" customHeight="1">
      <x:c r="A671" s="61" t="n">
        <x:v>45992</x:v>
      </x:c>
      <x:c r="B671" s="32" t="str">
        <x:v>Servicios públicos y transporte: agua y transporte en GBA</x:v>
      </x:c>
      <x:c r="C671" s="32" t="str">
        <x:v>Alimentación, comercios y servicios</x:v>
      </x:c>
      <x:c r="D671" s="62" t="n">
        <x:v>31</x:v>
      </x:c>
      <x:c r="E671" s="2" t="str">
        <x:v>Completo</x:v>
      </x:c>
      <x:c r="F671" s="56" t="n">
        <x:v>72.76983467741937</x:v>
      </x:c>
      <x:c r="G671" s="56" t="n">
        <x:f>F503</x:f>
        <x:v>74.30209139784945</x:v>
      </x:c>
      <x:c r="H671" s="57" t="n">
        <x:f>IF(ISNUMBER(G671),IF(G671=0,"n.a.",F671/G671-1),"n.a.")</x:f>
        <x:v>-0.020621986428694727</x:v>
      </x:c>
      <x:c r="I671" s="58" t="n">
        <x:f>F671/J671</x:f>
        <x:v>0.17392843160350427</x:v>
      </x:c>
      <x:c r="J671" s="56" t="n">
        <x:v>418.3895295698925</x:v>
      </x:c>
    </x:row>
    <x:row r="672" ht="65" customHeight="1">
      <x:c r="A672" s="61" t="n">
        <x:v>45992</x:v>
      </x:c>
      <x:c r="B672" s="32" t="str">
        <x:v>Industria automotriz</x:v>
      </x:c>
      <x:c r="C672" s="32" t="str">
        <x:v>Industrias sin Aluar</x:v>
      </x:c>
      <x:c r="D672" s="62" t="n">
        <x:v>31</x:v>
      </x:c>
      <x:c r="E672" s="2" t="str">
        <x:v>Completo</x:v>
      </x:c>
      <x:c r="F672" s="56" t="n">
        <x:v>37.71857795698925</x:v>
      </x:c>
      <x:c r="G672" s="56" t="n">
        <x:f>F504</x:f>
        <x:v>38.89055107526882</x:v>
      </x:c>
      <x:c r="H672" s="57" t="n">
        <x:f>IF(ISNUMBER(G672),IF(G672=0,"n.a.",F672/G672-1),"n.a.")</x:f>
        <x:v>-0.030135163577685753</x:v>
      </x:c>
      <x:c r="I672" s="58" t="n">
        <x:f>F672/J672</x:f>
        <x:v>0.03693546711939054</x:v>
      </x:c>
      <x:c r="J672" s="56" t="n">
        <x:v>1021.2021370967742</x:v>
      </x:c>
    </x:row>
    <x:row r="673" ht="65" customHeight="1">
      <x:c r="A673" s="61" t="n">
        <x:v>45992</x:v>
      </x:c>
      <x:c r="B673" s="32" t="str">
        <x:v>Derivados de petróleo</x:v>
      </x:c>
      <x:c r="C673" s="32" t="str">
        <x:v>Industrias sin Aluar</x:v>
      </x:c>
      <x:c r="D673" s="62" t="n">
        <x:v>31</x:v>
      </x:c>
      <x:c r="E673" s="2" t="str">
        <x:v>Completo</x:v>
      </x:c>
      <x:c r="F673" s="56" t="n">
        <x:v>146.027688172043</x:v>
      </x:c>
      <x:c r="G673" s="56" t="n">
        <x:f>F505</x:f>
        <x:v>155.36422177419357</x:v>
      </x:c>
      <x:c r="H673" s="57" t="n">
        <x:f>IF(ISNUMBER(G673),IF(G673=0,"n.a.",F673/G673-1),"n.a.")</x:f>
        <x:v>-0.06009448955191421</x:v>
      </x:c>
      <x:c r="I673" s="58" t="n">
        <x:f>F673/J673</x:f>
        <x:v>0.1429958701292893</x:v>
      </x:c>
      <x:c r="J673" s="56" t="n">
        <x:v>1021.2021370967742</x:v>
      </x:c>
    </x:row>
    <x:row r="674" ht="65" customHeight="1">
      <x:c r="A674" s="61" t="n">
        <x:v>45992</x:v>
      </x:c>
      <x:c r="B674" s="32" t="str">
        <x:v>Construcción: elaboración de cemento y canteras</x:v>
      </x:c>
      <x:c r="C674" s="32" t="str">
        <x:v>Industrias sin Aluar</x:v>
      </x:c>
      <x:c r="D674" s="62" t="n">
        <x:v>31</x:v>
      </x:c>
      <x:c r="E674" s="2" t="str">
        <x:v>Completo</x:v>
      </x:c>
      <x:c r="F674" s="56" t="n">
        <x:v>142.4472244623656</x:v>
      </x:c>
      <x:c r="G674" s="56" t="n">
        <x:f>F506</x:f>
        <x:v>145.2862392473118</x:v>
      </x:c>
      <x:c r="H674" s="57" t="n">
        <x:f>IF(ISNUMBER(G674),IF(G674=0,"n.a.",F674/G674-1),"n.a.")</x:f>
        <x:v>-0.01954083745063795</x:v>
      </x:c>
      <x:c r="I674" s="58" t="n">
        <x:f>F674/J674</x:f>
        <x:v>0.13948974379091666</x:v>
      </x:c>
      <x:c r="J674" s="56" t="n">
        <x:v>1021.2021370967742</x:v>
      </x:c>
    </x:row>
    <x:row r="675" ht="65" customHeight="1">
      <x:c r="A675" s="61" t="n">
        <x:v>45992</x:v>
      </x:c>
      <x:c r="B675" s="32" t="str">
        <x:v>Madera y papel</x:v>
      </x:c>
      <x:c r="C675" s="32" t="str">
        <x:v>Industrias sin Aluar</x:v>
      </x:c>
      <x:c r="D675" s="62" t="n">
        <x:v>31</x:v>
      </x:c>
      <x:c r="E675" s="2" t="str">
        <x:v>Completo</x:v>
      </x:c>
      <x:c r="F675" s="56" t="n">
        <x:v>100.32076478494623</x:v>
      </x:c>
      <x:c r="G675" s="56" t="n">
        <x:f>F507</x:f>
        <x:v>102.41868951612904</x:v>
      </x:c>
      <x:c r="H675" s="57" t="n">
        <x:f>IF(ISNUMBER(G675),IF(G675=0,"n.a.",F675/G675-1),"n.a.")</x:f>
        <x:v>-0.020483807604786963</x:v>
      </x:c>
      <x:c r="I675" s="58" t="n">
        <x:f>F675/J675</x:f>
        <x:v>0.09823791112516966</x:v>
      </x:c>
      <x:c r="J675" s="56" t="n">
        <x:v>1021.2021370967742</x:v>
      </x:c>
    </x:row>
    <x:row r="676" ht="65" customHeight="1">
      <x:c r="A676" s="61" t="n">
        <x:v>45992</x:v>
      </x:c>
      <x:c r="B676" s="32" t="str">
        <x:v>Productos metálicos no automotores</x:v>
      </x:c>
      <x:c r="C676" s="32" t="str">
        <x:v>Industrias sin Aluar</x:v>
      </x:c>
      <x:c r="D676" s="62" t="n">
        <x:v>31</x:v>
      </x:c>
      <x:c r="E676" s="2" t="str">
        <x:v>Completo</x:v>
      </x:c>
      <x:c r="F676" s="56" t="n">
        <x:v>33.93799462365591</x:v>
      </x:c>
      <x:c r="G676" s="56" t="n">
        <x:f>F508</x:f>
        <x:v>40.96575268817204</x:v>
      </x:c>
      <x:c r="H676" s="57" t="n">
        <x:f>IF(ISNUMBER(G676),IF(G676=0,"n.a.",F676/G676-1),"n.a.")</x:f>
        <x:v>-0.17155203074165015</x:v>
      </x:c>
      <x:c r="I676" s="58" t="n">
        <x:f>F676/J676</x:f>
        <x:v>0.03323337602890247</x:v>
      </x:c>
      <x:c r="J676" s="56" t="n">
        <x:v>1021.2021370967742</x:v>
      </x:c>
    </x:row>
    <x:row r="677" ht="65" customHeight="1">
      <x:c r="A677" s="61" t="n">
        <x:v>45992</x:v>
      </x:c>
      <x:c r="B677" s="32" t="str">
        <x:v>Gran siderurgia</x:v>
      </x:c>
      <x:c r="C677" s="32" t="str">
        <x:v>Industrias sin Aluar</x:v>
      </x:c>
      <x:c r="D677" s="62" t="n">
        <x:v>31</x:v>
      </x:c>
      <x:c r="E677" s="2" t="str">
        <x:v>Completo</x:v>
      </x:c>
      <x:c r="F677" s="56" t="n">
        <x:v>205.39506048387096</x:v>
      </x:c>
      <x:c r="G677" s="56" t="n">
        <x:f>F509</x:f>
        <x:v>156.9784879032258</x:v>
      </x:c>
      <x:c r="H677" s="57" t="n">
        <x:f>IF(ISNUMBER(G677),IF(G677=0,"n.a.",F677/G677-1),"n.a.")</x:f>
        <x:v>0.30842807334526645</x:v>
      </x:c>
      <x:c r="I677" s="58" t="n">
        <x:f>F677/J677</x:f>
        <x:v>0.20113066064256258</x:v>
      </x:c>
      <x:c r="J677" s="56" t="n">
        <x:v>1021.2021370967742</x:v>
      </x:c>
    </x:row>
    <x:row r="678" ht="65" customHeight="1">
      <x:c r="A678" s="61" t="n">
        <x:v>45992</x:v>
      </x:c>
      <x:c r="B678" s="32" t="str">
        <x:v>Industria textil</x:v>
      </x:c>
      <x:c r="C678" s="32" t="str">
        <x:v>Industrias sin Aluar</x:v>
      </x:c>
      <x:c r="D678" s="62" t="n">
        <x:v>31</x:v>
      </x:c>
      <x:c r="E678" s="2" t="str">
        <x:v>Completo</x:v>
      </x:c>
      <x:c r="F678" s="56" t="n">
        <x:v>31.13709811827957</x:v>
      </x:c>
      <x:c r="G678" s="56" t="n">
        <x:f>F510</x:f>
        <x:v>47.334602150537634</x:v>
      </x:c>
      <x:c r="H678" s="57" t="n">
        <x:f>IF(ISNUMBER(G678),IF(G678=0,"n.a.",F678/G678-1),"n.a.")</x:f>
        <x:v>-0.34219161662636033</x:v>
      </x:c>
      <x:c r="I678" s="58" t="n">
        <x:f>F678/J678</x:f>
        <x:v>0.03049063156761575</x:v>
      </x:c>
      <x:c r="J678" s="56" t="n">
        <x:v>1021.2021370967742</x:v>
      </x:c>
    </x:row>
    <x:row r="679" ht="65" customHeight="1">
      <x:c r="A679" s="61" t="n">
        <x:v>45992</x:v>
      </x:c>
      <x:c r="B679" s="32" t="str">
        <x:v>Químicas, caucho, plástico y otros minerales no metálicos</x:v>
      </x:c>
      <x:c r="C679" s="32" t="str">
        <x:v>Industrias sin Aluar</x:v>
      </x:c>
      <x:c r="D679" s="62" t="n">
        <x:v>31</x:v>
      </x:c>
      <x:c r="E679" s="2" t="str">
        <x:v>Completo</x:v>
      </x:c>
      <x:c r="F679" s="56" t="n">
        <x:v>324.21772849462366</x:v>
      </x:c>
      <x:c r="G679" s="56" t="n">
        <x:f>F511</x:f>
        <x:v>304.2543051075269</x:v>
      </x:c>
      <x:c r="H679" s="57" t="n">
        <x:f>IF(ISNUMBER(G679),IF(G679=0,"n.a.",F679/G679-1),"n.a.")</x:f>
        <x:v>0.0656142675780429</x:v>
      </x:c>
      <x:c r="I679" s="58" t="n">
        <x:f>F679/J679</x:f>
        <x:v>0.317486339596153</x:v>
      </x:c>
      <x:c r="J679" s="56" t="n">
        <x:v>1021.2021370967742</x:v>
      </x:c>
    </x:row>
    <x:row r="680" ht="65" customHeight="1">
      <x:c r="A680" s="61" t="n">
        <x:v>45992</x:v>
      </x:c>
      <x:c r="B680" s="32" t="str">
        <x:v>Extracción de minerales</x:v>
      </x:c>
      <x:c r="C680" s="32" t="str">
        <x:v>Petróleos y minerales</x:v>
      </x:c>
      <x:c r="D680" s="62" t="n">
        <x:v>31</x:v>
      </x:c>
      <x:c r="E680" s="2" t="str">
        <x:v>Completo</x:v>
      </x:c>
      <x:c r="F680" s="56" t="n">
        <x:v>24.229885752688173</x:v>
      </x:c>
      <x:c r="G680" s="56" t="n">
        <x:f>F512</x:f>
        <x:v>24.296728494623654</x:v>
      </x:c>
      <x:c r="H680" s="57" t="n">
        <x:f>IF(ISNUMBER(G680),IF(G680=0,"n.a.",F680/G680-1),"n.a.")</x:f>
        <x:v>-0.002751100501051873</x:v>
      </x:c>
      <x:c r="I680" s="58" t="n">
        <x:f>F680/J680</x:f>
        <x:v>0.13908071352657417</x:v>
      </x:c>
      <x:c r="J680" s="56" t="n">
        <x:v>174.21456317204303</x:v>
      </x:c>
    </x:row>
    <x:row r="681" ht="65" customHeight="1">
      <x:c r="A681" s="61" t="n">
        <x:v>45992</x:v>
      </x:c>
      <x:c r="B681" s="32" t="str">
        <x:v>Extracción de petróleo</x:v>
      </x:c>
      <x:c r="C681" s="32" t="str">
        <x:v>Petróleos y minerales</x:v>
      </x:c>
      <x:c r="D681" s="62" t="n">
        <x:v>31</x:v>
      </x:c>
      <x:c r="E681" s="2" t="str">
        <x:v>Completo</x:v>
      </x:c>
      <x:c r="F681" s="56" t="n">
        <x:v>149.98467741935485</x:v>
      </x:c>
      <x:c r="G681" s="56" t="n">
        <x:f>F513</x:f>
        <x:v>147.85826747311827</x:v>
      </x:c>
      <x:c r="H681" s="57" t="n">
        <x:f>IF(ISNUMBER(G681),IF(G681=0,"n.a.",F681/G681-1),"n.a.")</x:f>
        <x:v>0.014381407158197357</x:v>
      </x:c>
      <x:c r="I681" s="58" t="n">
        <x:f>F681/J681</x:f>
        <x:v>0.8609192864734259</x:v>
      </x:c>
      <x:c r="J681" s="56" t="n">
        <x:v>174.21456317204303</x:v>
      </x:c>
    </x:row>
    <x:row r="682" ht="65" customHeight="1">
      <x:c r="A682" s="61" t="n">
        <x:v>46023</x:v>
      </x:c>
      <x:c r="B682" s="32" t="str">
        <x:v>Cargas y puertos</x:v>
      </x:c>
      <x:c r="C682" s="32" t="str">
        <x:v>Alimentación, comercios y servicios</x:v>
      </x:c>
      <x:c r="D682" s="62" t="n">
        <x:v>31</x:v>
      </x:c>
      <x:c r="E682" s="2" t="str">
        <x:v>Completo</x:v>
      </x:c>
      <x:c r="F682" s="56" t="n">
        <x:v>11.815200268817204</x:v>
      </x:c>
      <x:c r="G682" s="56" t="n">
        <x:f>F514</x:f>
        <x:v>11.843099462365592</x:v>
      </x:c>
      <x:c r="H682" s="57" t="n">
        <x:f>IF(ISNUMBER(G682),IF(G682=0,"n.a.",F682/G682-1),"n.a.")</x:f>
        <x:v>-0.0023557341249260677</x:v>
      </x:c>
      <x:c r="I682" s="58" t="n">
        <x:f>F682/J682</x:f>
        <x:v>0.02877133781347057</x:v>
      </x:c>
      <x:c r="J682" s="56" t="n">
        <x:v>410.65870295698926</x:v>
      </x:c>
    </x:row>
    <x:row r="683" ht="65" customHeight="1">
      <x:c r="A683" s="61" t="n">
        <x:v>46023</x:v>
      </x:c>
      <x:c r="B683" s="32" t="str">
        <x:v>Comercio y servicios: principalmente supermercados y centros comerciales</x:v>
      </x:c>
      <x:c r="C683" s="32" t="str">
        <x:v>Alimentación, comercios y servicios</x:v>
      </x:c>
      <x:c r="D683" s="62" t="n">
        <x:v>31</x:v>
      </x:c>
      <x:c r="E683" s="2" t="str">
        <x:v>Completo</x:v>
      </x:c>
      <x:c r="F683" s="56" t="n">
        <x:v>57.17995833333333</x:v>
      </x:c>
      <x:c r="G683" s="56" t="n">
        <x:f>F515</x:f>
        <x:v>55.509069892473114</x:v>
      </x:c>
      <x:c r="H683" s="57" t="n">
        <x:f>IF(ISNUMBER(G683),IF(G683=0,"n.a.",F683/G683-1),"n.a.")</x:f>
        <x:v>0.030101178854138766</x:v>
      </x:c>
      <x:c r="I683" s="58" t="n">
        <x:f>F683/J683</x:f>
        <x:v>0.13923961168143595</x:v>
      </x:c>
      <x:c r="J683" s="56" t="n">
        <x:v>410.65870295698926</x:v>
      </x:c>
    </x:row>
    <x:row r="684" ht="65" customHeight="1">
      <x:c r="A684" s="61" t="n">
        <x:v>46023</x:v>
      </x:c>
      <x:c r="B684" s="32" t="str">
        <x:v>Alimentación y artículos de consumo masivo</x:v>
      </x:c>
      <x:c r="C684" s="32" t="str">
        <x:v>Alimentación, comercios y servicios</x:v>
      </x:c>
      <x:c r="D684" s="62" t="n">
        <x:v>31</x:v>
      </x:c>
      <x:c r="E684" s="2" t="str">
        <x:v>Completo</x:v>
      </x:c>
      <x:c r="F684" s="56" t="n">
        <x:v>267.87248387096776</x:v>
      </x:c>
      <x:c r="G684" s="56" t="n">
        <x:f>F516</x:f>
        <x:v>268.5709946236559</x:v>
      </x:c>
      <x:c r="H684" s="57" t="n">
        <x:f>IF(ISNUMBER(G684),IF(G684=0,"n.a.",F684/G684-1),"n.a.")</x:f>
        <x:v>-0.0026008421112896363</x:v>
      </x:c>
      <x:c r="I684" s="58" t="n">
        <x:f>F684/J684</x:f>
        <x:v>0.6522995420336279</x:v>
      </x:c>
      <x:c r="J684" s="56" t="n">
        <x:v>410.65870295698926</x:v>
      </x:c>
    </x:row>
    <x:row r="685" ht="65" customHeight="1">
      <x:c r="A685" s="61" t="n">
        <x:v>46023</x:v>
      </x:c>
      <x:c r="B685" s="32" t="str">
        <x:v>Servicios públicos y transporte: agua y transporte en GBA</x:v>
      </x:c>
      <x:c r="C685" s="32" t="str">
        <x:v>Alimentación, comercios y servicios</x:v>
      </x:c>
      <x:c r="D685" s="62" t="n">
        <x:v>31</x:v>
      </x:c>
      <x:c r="E685" s="2" t="str">
        <x:v>Completo</x:v>
      </x:c>
      <x:c r="F685" s="56" t="n">
        <x:v>73.79106048387096</x:v>
      </x:c>
      <x:c r="G685" s="56" t="n">
        <x:f>F517</x:f>
        <x:v>75.60832526881721</x:v>
      </x:c>
      <x:c r="H685" s="57" t="n">
        <x:f>IF(ISNUMBER(G685),IF(G685=0,"n.a.",F685/G685-1),"n.a.")</x:f>
        <x:v>-0.024035247156780182</x:v>
      </x:c>
      <x:c r="I685" s="58" t="n">
        <x:f>F685/J685</x:f>
        <x:v>0.17968950847146553</x:v>
      </x:c>
      <x:c r="J685" s="56" t="n">
        <x:v>410.65870295698926</x:v>
      </x:c>
    </x:row>
    <x:row r="686" ht="65" customHeight="1">
      <x:c r="A686" s="61" t="n">
        <x:v>46023</x:v>
      </x:c>
      <x:c r="B686" s="32" t="str">
        <x:v>Industria automotriz</x:v>
      </x:c>
      <x:c r="C686" s="32" t="str">
        <x:v>Industrias sin Aluar</x:v>
      </x:c>
      <x:c r="D686" s="62" t="n">
        <x:v>31</x:v>
      </x:c>
      <x:c r="E686" s="2" t="str">
        <x:v>Completo</x:v>
      </x:c>
      <x:c r="F686" s="56" t="n">
        <x:v>34.20643279569892</x:v>
      </x:c>
      <x:c r="G686" s="56" t="n">
        <x:f>F518</x:f>
        <x:v>34.79801344086021</x:v>
      </x:c>
      <x:c r="H686" s="57" t="n">
        <x:f>IF(ISNUMBER(G686),IF(G686=0,"n.a.",F686/G686-1),"n.a.")</x:f>
        <x:v>-0.017000414295680666</x:v>
      </x:c>
      <x:c r="I686" s="58" t="n">
        <x:f>F686/J686</x:f>
        <x:v>0.03213606073348081</x:v>
      </x:c>
      <x:c r="J686" s="56" t="n">
        <x:v>1064.425197580645</x:v>
      </x:c>
    </x:row>
    <x:row r="687" ht="65" customHeight="1">
      <x:c r="A687" s="61" t="n">
        <x:v>46023</x:v>
      </x:c>
      <x:c r="B687" s="32" t="str">
        <x:v>Derivados de petróleo</x:v>
      </x:c>
      <x:c r="C687" s="32" t="str">
        <x:v>Industrias sin Aluar</x:v>
      </x:c>
      <x:c r="D687" s="62" t="n">
        <x:v>31</x:v>
      </x:c>
      <x:c r="E687" s="2" t="str">
        <x:v>Completo</x:v>
      </x:c>
      <x:c r="F687" s="56" t="n">
        <x:v>146.23046236559136</x:v>
      </x:c>
      <x:c r="G687" s="56" t="n">
        <x:f>F519</x:f>
        <x:v>158.24590456989247</x:v>
      </x:c>
      <x:c r="H687" s="57" t="n">
        <x:f>IF(ISNUMBER(G687),IF(G687=0,"n.a.",F687/G687-1),"n.a.")</x:f>
        <x:v>-0.07592892995846379</x:v>
      </x:c>
      <x:c r="I687" s="58" t="n">
        <x:f>F687/J687</x:f>
        <x:v>0.1373797451412854</x:v>
      </x:c>
      <x:c r="J687" s="56" t="n">
        <x:v>1064.425197580645</x:v>
      </x:c>
    </x:row>
    <x:row r="688" ht="65" customHeight="1">
      <x:c r="A688" s="61" t="n">
        <x:v>46023</x:v>
      </x:c>
      <x:c r="B688" s="32" t="str">
        <x:v>Construcción: elaboración de cemento y canteras</x:v>
      </x:c>
      <x:c r="C688" s="32" t="str">
        <x:v>Industrias sin Aluar</x:v>
      </x:c>
      <x:c r="D688" s="62" t="n">
        <x:v>31</x:v>
      </x:c>
      <x:c r="E688" s="2" t="str">
        <x:v>Completo</x:v>
      </x:c>
      <x:c r="F688" s="56" t="n">
        <x:v>127.49079435483871</x:v>
      </x:c>
      <x:c r="G688" s="56" t="n">
        <x:f>F520</x:f>
        <x:v>145.85207123655914</x:v>
      </x:c>
      <x:c r="H688" s="57" t="n">
        <x:f>IF(ISNUMBER(G688),IF(G688=0,"n.a.",F688/G688-1),"n.a.")</x:f>
        <x:v>-0.12588972323841785</x:v>
      </x:c>
      <x:c r="I688" s="58" t="n">
        <x:f>F688/J688</x:f>
        <x:v>0.11977431072151926</x:v>
      </x:c>
      <x:c r="J688" s="56" t="n">
        <x:v>1064.425197580645</x:v>
      </x:c>
    </x:row>
    <x:row r="689" ht="65" customHeight="1">
      <x:c r="A689" s="61" t="n">
        <x:v>46023</x:v>
      </x:c>
      <x:c r="B689" s="32" t="str">
        <x:v>Madera y papel</x:v>
      </x:c>
      <x:c r="C689" s="32" t="str">
        <x:v>Industrias sin Aluar</x:v>
      </x:c>
      <x:c r="D689" s="62" t="n">
        <x:v>31</x:v>
      </x:c>
      <x:c r="E689" s="2" t="str">
        <x:v>Completo</x:v>
      </x:c>
      <x:c r="F689" s="56" t="n">
        <x:v>98.8301438172043</x:v>
      </x:c>
      <x:c r="G689" s="56" t="n">
        <x:f>F521</x:f>
        <x:v>92.00697983870968</x:v>
      </x:c>
      <x:c r="H689" s="57" t="n">
        <x:f>IF(ISNUMBER(G689),IF(G689=0,"n.a.",F689/G689-1),"n.a.")</x:f>
        <x:v>0.07415919955698769</x:v>
      </x:c>
      <x:c r="I689" s="58" t="n">
        <x:f>F689/J689</x:f>
        <x:v>0.09284836928122095</x:v>
      </x:c>
      <x:c r="J689" s="56" t="n">
        <x:v>1064.425197580645</x:v>
      </x:c>
    </x:row>
    <x:row r="690" ht="65" customHeight="1">
      <x:c r="A690" s="61" t="n">
        <x:v>46023</x:v>
      </x:c>
      <x:c r="B690" s="32" t="str">
        <x:v>Productos metálicos no automotores</x:v>
      </x:c>
      <x:c r="C690" s="32" t="str">
        <x:v>Industrias sin Aluar</x:v>
      </x:c>
      <x:c r="D690" s="62" t="n">
        <x:v>31</x:v>
      </x:c>
      <x:c r="E690" s="2" t="str">
        <x:v>Completo</x:v>
      </x:c>
      <x:c r="F690" s="56" t="n">
        <x:v>35.44790860215054</x:v>
      </x:c>
      <x:c r="G690" s="56" t="n">
        <x:f>F522</x:f>
        <x:v>40.152334677419354</x:v>
      </x:c>
      <x:c r="H690" s="57" t="n">
        <x:f>IF(ISNUMBER(G690),IF(G690=0,"n.a.",F690/G690-1),"n.a.")</x:f>
        <x:v>-0.11716444667698145</x:v>
      </x:c>
      <x:c r="I690" s="58" t="n">
        <x:f>F690/J690</x:f>
        <x:v>0.033302395210786866</x:v>
      </x:c>
      <x:c r="J690" s="56" t="n">
        <x:v>1064.425197580645</x:v>
      </x:c>
    </x:row>
    <x:row r="691" ht="65" customHeight="1">
      <x:c r="A691" s="61" t="n">
        <x:v>46023</x:v>
      </x:c>
      <x:c r="B691" s="32" t="str">
        <x:v>Gran siderurgia</x:v>
      </x:c>
      <x:c r="C691" s="32" t="str">
        <x:v>Industrias sin Aluar</x:v>
      </x:c>
      <x:c r="D691" s="62" t="n">
        <x:v>31</x:v>
      </x:c>
      <x:c r="E691" s="2" t="str">
        <x:v>Completo</x:v>
      </x:c>
      <x:c r="F691" s="56" t="n">
        <x:v>249.3529637096774</x:v>
      </x:c>
      <x:c r="G691" s="56" t="n">
        <x:f>F523</x:f>
        <x:v>229.55411693548388</x:v>
      </x:c>
      <x:c r="H691" s="57" t="n">
        <x:f>IF(ISNUMBER(G691),IF(G691=0,"n.a.",F691/G691-1),"n.a.")</x:f>
        <x:v>0.08624914699202701</x:v>
      </x:c>
      <x:c r="I691" s="58" t="n">
        <x:f>F691/J691</x:f>
        <x:v>0.2342606735320031</x:v>
      </x:c>
      <x:c r="J691" s="56" t="n">
        <x:v>1064.425197580645</x:v>
      </x:c>
    </x:row>
    <x:row r="692" ht="65" customHeight="1">
      <x:c r="A692" s="61" t="n">
        <x:v>46023</x:v>
      </x:c>
      <x:c r="B692" s="32" t="str">
        <x:v>Industria textil</x:v>
      </x:c>
      <x:c r="C692" s="32" t="str">
        <x:v>Industrias sin Aluar</x:v>
      </x:c>
      <x:c r="D692" s="62" t="n">
        <x:v>31</x:v>
      </x:c>
      <x:c r="E692" s="2" t="str">
        <x:v>Completo</x:v>
      </x:c>
      <x:c r="F692" s="56" t="n">
        <x:v>21.196896505376344</x:v>
      </x:c>
      <x:c r="G692" s="56" t="n">
        <x:f>F524</x:f>
        <x:v>33.99053494623656</x:v>
      </x:c>
      <x:c r="H692" s="57" t="n">
        <x:f>IF(ISNUMBER(G692),IF(G692=0,"n.a.",F692/G692-1),"n.a.")</x:f>
        <x:v>-0.37638826400043845</x:v>
      </x:c>
      <x:c r="I692" s="58" t="n">
        <x:f>F692/J692</x:f>
        <x:v>0.01991393716867585</x:v>
      </x:c>
      <x:c r="J692" s="56" t="n">
        <x:v>1064.425197580645</x:v>
      </x:c>
    </x:row>
    <x:row r="693" ht="65" customHeight="1">
      <x:c r="A693" s="61" t="n">
        <x:v>46023</x:v>
      </x:c>
      <x:c r="B693" s="32" t="str">
        <x:v>Químicas, caucho, plástico y otros minerales no metálicos</x:v>
      </x:c>
      <x:c r="C693" s="32" t="str">
        <x:v>Industrias sin Aluar</x:v>
      </x:c>
      <x:c r="D693" s="62" t="n">
        <x:v>31</x:v>
      </x:c>
      <x:c r="E693" s="2" t="str">
        <x:v>Completo</x:v>
      </x:c>
      <x:c r="F693" s="56" t="n">
        <x:v>351.6695954301075</x:v>
      </x:c>
      <x:c r="G693" s="56" t="n">
        <x:f>F525</x:f>
        <x:v>297.48990860215054</x:v>
      </x:c>
      <x:c r="H693" s="57" t="n">
        <x:f>IF(ISNUMBER(G693),IF(G693=0,"n.a.",F693/G693-1),"n.a.")</x:f>
        <x:v>0.18212277210523609</x:v>
      </x:c>
      <x:c r="I693" s="58" t="n">
        <x:f>F693/J693</x:f>
        <x:v>0.33038450821102777</x:v>
      </x:c>
      <x:c r="J693" s="56" t="n">
        <x:v>1064.425197580645</x:v>
      </x:c>
    </x:row>
    <x:row r="694" ht="65" customHeight="1">
      <x:c r="A694" s="61" t="n">
        <x:v>46023</x:v>
      </x:c>
      <x:c r="B694" s="32" t="str">
        <x:v>Extracción de minerales</x:v>
      </x:c>
      <x:c r="C694" s="32" t="str">
        <x:v>Petróleos y minerales</x:v>
      </x:c>
      <x:c r="D694" s="62" t="n">
        <x:v>31</x:v>
      </x:c>
      <x:c r="E694" s="2" t="str">
        <x:v>Completo</x:v>
      </x:c>
      <x:c r="F694" s="56" t="n">
        <x:v>23.650068548387097</x:v>
      </x:c>
      <x:c r="G694" s="56" t="n">
        <x:f>F526</x:f>
        <x:v>23.10956451612903</x:v>
      </x:c>
      <x:c r="H694" s="57" t="n">
        <x:f>IF(ISNUMBER(G694),IF(G694=0,"n.a.",F694/G694-1),"n.a.")</x:f>
        <x:v>0.023388758878637894</x:v>
      </x:c>
      <x:c r="I694" s="58" t="n">
        <x:f>F694/J694</x:f>
        <x:v>0.13721748398159198</x:v>
      </x:c>
      <x:c r="J694" s="56" t="n">
        <x:v>172.35462903225806</x:v>
      </x:c>
    </x:row>
    <x:row r="695" ht="65" customHeight="1">
      <x:c r="A695" s="61" t="n">
        <x:v>46023</x:v>
      </x:c>
      <x:c r="B695" s="32" t="str">
        <x:v>Extracción de petróleo</x:v>
      </x:c>
      <x:c r="C695" s="32" t="str">
        <x:v>Petróleos y minerales</x:v>
      </x:c>
      <x:c r="D695" s="62" t="n">
        <x:v>31</x:v>
      </x:c>
      <x:c r="E695" s="2" t="str">
        <x:v>Completo</x:v>
      </x:c>
      <x:c r="F695" s="56" t="n">
        <x:v>148.70456048387098</x:v>
      </x:c>
      <x:c r="G695" s="56" t="n">
        <x:f>F527</x:f>
        <x:v>143.25937365591398</x:v>
      </x:c>
      <x:c r="H695" s="57" t="n">
        <x:f>IF(ISNUMBER(G695),IF(G695=0,"n.a.",F695/G695-1),"n.a.")</x:f>
        <x:v>0.03800928825108141</x:v>
      </x:c>
      <x:c r="I695" s="58" t="n">
        <x:f>F695/J695</x:f>
        <x:v>0.8627825160184082</x:v>
      </x:c>
      <x:c r="J695" s="56" t="n">
        <x:v>172.35462903225806</x:v>
      </x:c>
    </x:row>
    <x:row r="696" ht="65" customHeight="1">
      <x:c r="A696" s="61" t="n">
        <x:v>46054</x:v>
      </x:c>
      <x:c r="B696" s="32" t="str">
        <x:v>Cargas y puertos</x:v>
      </x:c>
      <x:c r="C696" s="32" t="str">
        <x:v>Alimentación, comercios y servicios</x:v>
      </x:c>
      <x:c r="D696" s="62" t="n">
        <x:v>28</x:v>
      </x:c>
      <x:c r="E696" s="2" t="str">
        <x:v>Completo</x:v>
      </x:c>
      <x:c r="F696" s="56" t="n">
        <x:v>11.863586309523809</x:v>
      </x:c>
      <x:c r="G696" s="56" t="n">
        <x:f>F528</x:f>
        <x:v>12.233723214285714</x:v>
      </x:c>
      <x:c r="H696" s="57" t="n">
        <x:f>IF(ISNUMBER(G696),IF(G696=0,"n.a.",F696/G696-1),"n.a.")</x:f>
        <x:v>-0.03025545847969524</x:v>
      </x:c>
      <x:c r="I696" s="58" t="n">
        <x:f>F696/J696</x:f>
        <x:v>0.02718537062037452</x:v>
      </x:c>
      <x:c r="J696" s="56" t="n">
        <x:v>436.39597470238095</x:v>
      </x:c>
    </x:row>
    <x:row r="697" ht="65" customHeight="1">
      <x:c r="A697" s="61" t="n">
        <x:v>46054</x:v>
      </x:c>
      <x:c r="B697" s="32" t="str">
        <x:v>Comercio y servicios: principalmente supermercados y centros comerciales</x:v>
      </x:c>
      <x:c r="C697" s="32" t="str">
        <x:v>Alimentación, comercios y servicios</x:v>
      </x:c>
      <x:c r="D697" s="62" t="n">
        <x:v>28</x:v>
      </x:c>
      <x:c r="E697" s="2" t="str">
        <x:v>Completo</x:v>
      </x:c>
      <x:c r="F697" s="56" t="n">
        <x:v>59.89608333333333</x:v>
      </x:c>
      <x:c r="G697" s="56" t="n">
        <x:f>F529</x:f>
        <x:v>56.55740029761905</x:v>
      </x:c>
      <x:c r="H697" s="57" t="n">
        <x:f>IF(ISNUMBER(G697),IF(G697=0,"n.a.",F697/G697-1),"n.a.")</x:f>
        <x:v>0.05903176274272348</x:v>
      </x:c>
      <x:c r="I697" s="58" t="n">
        <x:f>F697/J697</x:f>
        <x:v>0.13725168609582628</x:v>
      </x:c>
      <x:c r="J697" s="56" t="n">
        <x:v>436.39597470238095</x:v>
      </x:c>
    </x:row>
    <x:row r="698" ht="65" customHeight="1">
      <x:c r="A698" s="61" t="n">
        <x:v>46054</x:v>
      </x:c>
      <x:c r="B698" s="32" t="str">
        <x:v>Alimentación y artículos de consumo masivo</x:v>
      </x:c>
      <x:c r="C698" s="32" t="str">
        <x:v>Alimentación, comercios y servicios</x:v>
      </x:c>
      <x:c r="D698" s="62" t="n">
        <x:v>28</x:v>
      </x:c>
      <x:c r="E698" s="2" t="str">
        <x:v>Completo</x:v>
      </x:c>
      <x:c r="F698" s="56" t="n">
        <x:v>293.5263824404762</x:v>
      </x:c>
      <x:c r="G698" s="56" t="n">
        <x:f>F530</x:f>
        <x:v>298.95351488095235</x:v>
      </x:c>
      <x:c r="H698" s="57" t="n">
        <x:f>IF(ISNUMBER(G698),IF(G698=0,"n.a.",F698/G698-1),"n.a.")</x:f>
        <x:v>-0.018153766958175166</x:v>
      </x:c>
      <x:c r="I698" s="58" t="n">
        <x:f>F698/J698</x:f>
        <x:v>0.6726147798238954</x:v>
      </x:c>
      <x:c r="J698" s="56" t="n">
        <x:v>436.39597470238095</x:v>
      </x:c>
    </x:row>
    <x:row r="699" ht="65" customHeight="1">
      <x:c r="A699" s="61" t="n">
        <x:v>46054</x:v>
      </x:c>
      <x:c r="B699" s="32" t="str">
        <x:v>Servicios públicos y transporte: agua y transporte en GBA</x:v>
      </x:c>
      <x:c r="C699" s="32" t="str">
        <x:v>Alimentación, comercios y servicios</x:v>
      </x:c>
      <x:c r="D699" s="62" t="n">
        <x:v>28</x:v>
      </x:c>
      <x:c r="E699" s="2" t="str">
        <x:v>Completo</x:v>
      </x:c>
      <x:c r="F699" s="56" t="n">
        <x:v>71.10992261904762</x:v>
      </x:c>
      <x:c r="G699" s="56" t="n">
        <x:f>F531</x:f>
        <x:v>76.89878422619049</x:v>
      </x:c>
      <x:c r="H699" s="57" t="n">
        <x:f>IF(ISNUMBER(G699),IF(G699=0,"n.a.",F699/G699-1),"n.a.")</x:f>
        <x:v>-0.07527897437384024</x:v>
      </x:c>
      <x:c r="I699" s="58" t="n">
        <x:f>F699/J699</x:f>
        <x:v>0.16294816345990382</x:v>
      </x:c>
      <x:c r="J699" s="56" t="n">
        <x:v>436.39597470238095</x:v>
      </x:c>
    </x:row>
    <x:row r="700" ht="65" customHeight="1">
      <x:c r="A700" s="61" t="n">
        <x:v>46054</x:v>
      </x:c>
      <x:c r="B700" s="32" t="str">
        <x:v>Industria automotriz</x:v>
      </x:c>
      <x:c r="C700" s="32" t="str">
        <x:v>Industrias sin Aluar</x:v>
      </x:c>
      <x:c r="D700" s="62" t="n">
        <x:v>28</x:v>
      </x:c>
      <x:c r="E700" s="2" t="str">
        <x:v>Completo</x:v>
      </x:c>
      <x:c r="F700" s="56" t="n">
        <x:v>42.52677232142857</x:v>
      </x:c>
      <x:c r="G700" s="56" t="n">
        <x:f>F532</x:f>
        <x:v>47.1398556547619</x:v>
      </x:c>
      <x:c r="H700" s="57" t="n">
        <x:f>IF(ISNUMBER(G700),IF(G700=0,"n.a.",F700/G700-1),"n.a.")</x:f>
        <x:v>-0.09785951334085896</x:v>
      </x:c>
      <x:c r="I700" s="58" t="n">
        <x:f>F700/J700</x:f>
        <x:v>0.03925605583128844</x:v>
      </x:c>
      <x:c r="J700" s="56" t="n">
        <x:v>1083.3175014880953</x:v>
      </x:c>
    </x:row>
    <x:row r="701" ht="65" customHeight="1">
      <x:c r="A701" s="61" t="n">
        <x:v>46054</x:v>
      </x:c>
      <x:c r="B701" s="32" t="str">
        <x:v>Derivados de petróleo</x:v>
      </x:c>
      <x:c r="C701" s="32" t="str">
        <x:v>Industrias sin Aluar</x:v>
      </x:c>
      <x:c r="D701" s="62" t="n">
        <x:v>28</x:v>
      </x:c>
      <x:c r="E701" s="2" t="str">
        <x:v>Completo</x:v>
      </x:c>
      <x:c r="F701" s="56" t="n">
        <x:v>144.37152232142856</x:v>
      </x:c>
      <x:c r="G701" s="56" t="n">
        <x:f>F533</x:f>
        <x:v>149.34415773809522</x:v>
      </x:c>
      <x:c r="H701" s="57" t="n">
        <x:f>IF(ISNUMBER(G701),IF(G701=0,"n.a.",F701/G701-1),"n.a.")</x:f>
        <x:v>-0.03329648438867738</x:v>
      </x:c>
      <x:c r="I701" s="58" t="n">
        <x:f>F701/J701</x:f>
        <x:v>0.1332679681839471</x:v>
      </x:c>
      <x:c r="J701" s="56" t="n">
        <x:v>1083.3175014880953</x:v>
      </x:c>
    </x:row>
    <x:row r="702" ht="65" customHeight="1">
      <x:c r="A702" s="61" t="n">
        <x:v>46054</x:v>
      </x:c>
      <x:c r="B702" s="32" t="str">
        <x:v>Construcción: elaboración de cemento y canteras</x:v>
      </x:c>
      <x:c r="C702" s="32" t="str">
        <x:v>Industrias sin Aluar</x:v>
      </x:c>
      <x:c r="D702" s="62" t="n">
        <x:v>28</x:v>
      </x:c>
      <x:c r="E702" s="2" t="str">
        <x:v>Completo</x:v>
      </x:c>
      <x:c r="F702" s="56" t="n">
        <x:v>141.2740148809524</x:v>
      </x:c>
      <x:c r="G702" s="56" t="n">
        <x:f>F534</x:f>
        <x:v>160.91916964285716</x:v>
      </x:c>
      <x:c r="H702" s="57" t="n">
        <x:f>IF(ISNUMBER(G702),IF(G702=0,"n.a.",F702/G702-1),"n.a.")</x:f>
        <x:v>-0.12208088573601938</x:v>
      </x:c>
      <x:c r="I702" s="58" t="n">
        <x:f>F702/J702</x:f>
        <x:v>0.13040868876104358</x:v>
      </x:c>
      <x:c r="J702" s="56" t="n">
        <x:v>1083.3175014880953</x:v>
      </x:c>
    </x:row>
    <x:row r="703" ht="65" customHeight="1">
      <x:c r="A703" s="61" t="n">
        <x:v>46054</x:v>
      </x:c>
      <x:c r="B703" s="32" t="str">
        <x:v>Madera y papel</x:v>
      </x:c>
      <x:c r="C703" s="32" t="str">
        <x:v>Industrias sin Aluar</x:v>
      </x:c>
      <x:c r="D703" s="62" t="n">
        <x:v>28</x:v>
      </x:c>
      <x:c r="E703" s="2" t="str">
        <x:v>Completo</x:v>
      </x:c>
      <x:c r="F703" s="56" t="n">
        <x:v>98.82319345238095</x:v>
      </x:c>
      <x:c r="G703" s="56" t="n">
        <x:f>F535</x:f>
        <x:v>103.7036398809524</x:v>
      </x:c>
      <x:c r="H703" s="57" t="n">
        <x:f>IF(ISNUMBER(G703),IF(G703=0,"n.a.",F703/G703-1),"n.a.")</x:f>
        <x:v>-0.04706147666729921</x:v>
      </x:c>
      <x:c r="I703" s="58" t="n">
        <x:f>F703/J703</x:f>
        <x:v>0.09122274247082024</x:v>
      </x:c>
      <x:c r="J703" s="56" t="n">
        <x:v>1083.3175014880953</x:v>
      </x:c>
    </x:row>
    <x:row r="704" ht="65" customHeight="1">
      <x:c r="A704" s="61" t="n">
        <x:v>46054</x:v>
      </x:c>
      <x:c r="B704" s="32" t="str">
        <x:v>Productos metálicos no automotores</x:v>
      </x:c>
      <x:c r="C704" s="32" t="str">
        <x:v>Industrias sin Aluar</x:v>
      </x:c>
      <x:c r="D704" s="62" t="n">
        <x:v>28</x:v>
      </x:c>
      <x:c r="E704" s="2" t="str">
        <x:v>Completo</x:v>
      </x:c>
      <x:c r="F704" s="56" t="n">
        <x:v>37.35697470238095</x:v>
      </x:c>
      <x:c r="G704" s="56" t="n">
        <x:f>F536</x:f>
        <x:v>42.02423363095238</x:v>
      </x:c>
      <x:c r="H704" s="57" t="n">
        <x:f>IF(ISNUMBER(G704),IF(G704=0,"n.a.",F704/G704-1),"n.a.")</x:f>
        <x:v>-0.11106113128815798</x:v>
      </x:c>
      <x:c r="I704" s="58" t="n">
        <x:f>F704/J704</x:f>
        <x:v>0.0344838652113214</x:v>
      </x:c>
      <x:c r="J704" s="56" t="n">
        <x:v>1083.3175014880953</x:v>
      </x:c>
    </x:row>
    <x:row r="705" ht="65" customHeight="1">
      <x:c r="A705" s="61" t="n">
        <x:v>46054</x:v>
      </x:c>
      <x:c r="B705" s="32" t="str">
        <x:v>Gran siderurgia</x:v>
      </x:c>
      <x:c r="C705" s="32" t="str">
        <x:v>Industrias sin Aluar</x:v>
      </x:c>
      <x:c r="D705" s="62" t="n">
        <x:v>28</x:v>
      </x:c>
      <x:c r="E705" s="2" t="str">
        <x:v>Completo</x:v>
      </x:c>
      <x:c r="F705" s="56" t="n">
        <x:v>213.15809077380953</x:v>
      </x:c>
      <x:c r="G705" s="56" t="n">
        <x:f>F537</x:f>
        <x:v>260.64379761904763</x:v>
      </x:c>
      <x:c r="H705" s="57" t="n">
        <x:f>IF(ISNUMBER(G705),IF(G705=0,"n.a.",F705/G705-1),"n.a.")</x:f>
        <x:v>-0.18218621459253892</x:v>
      </x:c>
      <x:c r="I705" s="58" t="n">
        <x:f>F705/J705</x:f>
        <x:v>0.19676419007447554</x:v>
      </x:c>
      <x:c r="J705" s="56" t="n">
        <x:v>1083.3175014880953</x:v>
      </x:c>
    </x:row>
    <x:row r="706" ht="65" customHeight="1">
      <x:c r="A706" s="61" t="n">
        <x:v>46054</x:v>
      </x:c>
      <x:c r="B706" s="32" t="str">
        <x:v>Industria textil</x:v>
      </x:c>
      <x:c r="C706" s="32" t="str">
        <x:v>Industrias sin Aluar</x:v>
      </x:c>
      <x:c r="D706" s="62" t="n">
        <x:v>28</x:v>
      </x:c>
      <x:c r="E706" s="2" t="str">
        <x:v>Completo</x:v>
      </x:c>
      <x:c r="F706" s="56" t="n">
        <x:v>41.7211875</x:v>
      </x:c>
      <x:c r="G706" s="56" t="n">
        <x:f>F538</x:f>
        <x:v>59.01992857142857</x:v>
      </x:c>
      <x:c r="H706" s="57" t="n">
        <x:f>IF(ISNUMBER(G706),IF(G706=0,"n.a.",F706/G706-1),"n.a.")</x:f>
        <x:v>-0.29310000012102455</x:v>
      </x:c>
      <x:c r="I706" s="58" t="n">
        <x:f>F706/J706</x:f>
        <x:v>0.03851242820566439</x:v>
      </x:c>
      <x:c r="J706" s="56" t="n">
        <x:v>1083.3175014880953</x:v>
      </x:c>
    </x:row>
    <x:row r="707" ht="65" customHeight="1">
      <x:c r="A707" s="61" t="n">
        <x:v>46054</x:v>
      </x:c>
      <x:c r="B707" s="32" t="str">
        <x:v>Químicas, caucho, plástico y otros minerales no metálicos</x:v>
      </x:c>
      <x:c r="C707" s="32" t="str">
        <x:v>Industrias sin Aluar</x:v>
      </x:c>
      <x:c r="D707" s="62" t="n">
        <x:v>28</x:v>
      </x:c>
      <x:c r="E707" s="2" t="str">
        <x:v>Completo</x:v>
      </x:c>
      <x:c r="F707" s="56" t="n">
        <x:v>364.08574553571435</x:v>
      </x:c>
      <x:c r="G707" s="56" t="n">
        <x:f>F539</x:f>
        <x:v>337.19717857142854</x:v>
      </x:c>
      <x:c r="H707" s="57" t="n">
        <x:f>IF(ISNUMBER(G707),IF(G707=0,"n.a.",F707/G707-1),"n.a.")</x:f>
        <x:v>0.07974137588636432</x:v>
      </x:c>
      <x:c r="I707" s="58" t="n">
        <x:f>F707/J707</x:f>
        <x:v>0.33608406126143925</x:v>
      </x:c>
      <x:c r="J707" s="56" t="n">
        <x:v>1083.3175014880953</x:v>
      </x:c>
    </x:row>
    <x:row r="708" ht="65" customHeight="1">
      <x:c r="A708" s="61" t="n">
        <x:v>46054</x:v>
      </x:c>
      <x:c r="B708" s="32" t="str">
        <x:v>Extracción de minerales</x:v>
      </x:c>
      <x:c r="C708" s="32" t="str">
        <x:v>Petróleos y minerales</x:v>
      </x:c>
      <x:c r="D708" s="62" t="n">
        <x:v>28</x:v>
      </x:c>
      <x:c r="E708" s="2" t="str">
        <x:v>Completo</x:v>
      </x:c>
      <x:c r="F708" s="56" t="n">
        <x:v>22.43691369047619</x:v>
      </x:c>
      <x:c r="G708" s="56" t="n">
        <x:f>F540</x:f>
        <x:v>21.88229910714286</x:v>
      </x:c>
      <x:c r="H708" s="57" t="n">
        <x:f>IF(ISNUMBER(G708),IF(G708=0,"n.a.",F708/G708-1),"n.a.")</x:f>
        <x:v>0.02534535245212388</x:v>
      </x:c>
      <x:c r="I708" s="58" t="n">
        <x:f>F708/J708</x:f>
        <x:v>0.12411361461916476</x:v>
      </x:c>
      <x:c r="J708" s="56" t="n">
        <x:v>180.77721577380953</x:v>
      </x:c>
    </x:row>
    <x:row r="709" ht="65" customHeight="1">
      <x:c r="A709" s="61" t="n">
        <x:v>46054</x:v>
      </x:c>
      <x:c r="B709" s="32" t="str">
        <x:v>Extracción de petróleo</x:v>
      </x:c>
      <x:c r="C709" s="32" t="str">
        <x:v>Petróleos y minerales</x:v>
      </x:c>
      <x:c r="D709" s="62" t="n">
        <x:v>28</x:v>
      </x:c>
      <x:c r="E709" s="2" t="str">
        <x:v>Completo</x:v>
      </x:c>
      <x:c r="F709" s="56" t="n">
        <x:v>158.34030208333334</x:v>
      </x:c>
      <x:c r="G709" s="56" t="n">
        <x:f>F541</x:f>
        <x:v>138.9379345238095</x:v>
      </x:c>
      <x:c r="H709" s="57" t="n">
        <x:f>IF(ISNUMBER(G709),IF(G709=0,"n.a.",F709/G709-1),"n.a.")</x:f>
        <x:v>0.1396477328241763</x:v>
      </x:c>
      <x:c r="I709" s="58" t="n">
        <x:f>F709/J709</x:f>
        <x:v>0.8758863853808352</x:v>
      </x:c>
      <x:c r="J709" s="56" t="n">
        <x:v>180.77721577380953</x:v>
      </x:c>
    </x:row>
    <x:row r="710" ht="65" customHeight="1">
      <x:c r="A710" s="61" t="n">
        <x:v>46082</x:v>
      </x:c>
      <x:c r="B710" s="32" t="str">
        <x:v>Cargas y puertos</x:v>
      </x:c>
      <x:c r="C710" s="32" t="str">
        <x:v>Alimentación, comercios y servicios</x:v>
      </x:c>
      <x:c r="D710" s="62" t="n">
        <x:v>31</x:v>
      </x:c>
      <x:c r="E710" s="2" t="str">
        <x:v>Completo</x:v>
      </x:c>
      <x:c r="F710" s="56" t="n">
        <x:v>10.852607526881721</x:v>
      </x:c>
      <x:c r="G710" s="56" t="n">
        <x:f>F542</x:f>
        <x:v>11.341123655913979</x:v>
      </x:c>
      <x:c r="H710" s="57" t="n">
        <x:f>IF(ISNUMBER(G710),IF(G710=0,"n.a.",F710/G710-1),"n.a.")</x:f>
        <x:v>-0.043074755540427834</x:v>
      </x:c>
      <x:c r="I710" s="58" t="n">
        <x:f>F710/J710</x:f>
        <x:v>0.02273752157646854</x:v>
      </x:c>
      <x:c r="J710" s="56" t="n">
        <x:v>477.2994932795699</x:v>
      </x:c>
    </x:row>
    <x:row r="711" ht="65" customHeight="1">
      <x:c r="A711" s="61" t="n">
        <x:v>46082</x:v>
      </x:c>
      <x:c r="B711" s="32" t="str">
        <x:v>Comercio y servicios: principalmente supermercados y centros comerciales</x:v>
      </x:c>
      <x:c r="C711" s="32" t="str">
        <x:v>Alimentación, comercios y servicios</x:v>
      </x:c>
      <x:c r="D711" s="62" t="n">
        <x:v>31</x:v>
      </x:c>
      <x:c r="E711" s="2" t="str">
        <x:v>Completo</x:v>
      </x:c>
      <x:c r="F711" s="56" t="n">
        <x:v>57.47488844086021</x:v>
      </x:c>
      <x:c r="G711" s="56" t="n">
        <x:f>F543</x:f>
        <x:v>50.88724193548387</x:v>
      </x:c>
      <x:c r="H711" s="57" t="n">
        <x:f>IF(ISNUMBER(G711),IF(G711=0,"n.a.",F711/G711-1),"n.a.")</x:f>
        <x:v>0.12945575855198288</x:v>
      </x:c>
      <x:c r="I711" s="58" t="n">
        <x:f>F711/J711</x:f>
        <x:v>0.12041682266608922</x:v>
      </x:c>
      <x:c r="J711" s="56" t="n">
        <x:v>477.2994932795699</x:v>
      </x:c>
    </x:row>
    <x:row r="712" ht="65" customHeight="1">
      <x:c r="A712" s="61" t="n">
        <x:v>46082</x:v>
      </x:c>
      <x:c r="B712" s="32" t="str">
        <x:v>Alimentación y artículos de consumo masivo</x:v>
      </x:c>
      <x:c r="C712" s="32" t="str">
        <x:v>Alimentación, comercios y servicios</x:v>
      </x:c>
      <x:c r="D712" s="62" t="n">
        <x:v>31</x:v>
      </x:c>
      <x:c r="E712" s="2" t="str">
        <x:v>Completo</x:v>
      </x:c>
      <x:c r="F712" s="56" t="n">
        <x:v>339.1743669354839</x:v>
      </x:c>
      <x:c r="G712" s="56" t="n">
        <x:f>F544</x:f>
        <x:v>285.7554690860215</x:v>
      </x:c>
      <x:c r="H712" s="57" t="n">
        <x:f>IF(ISNUMBER(G712),IF(G712=0,"n.a.",F712/G712-1),"n.a.")</x:f>
        <x:v>0.18693919672061154</x:v>
      </x:c>
      <x:c r="I712" s="58" t="n">
        <x:f>F712/J712</x:f>
        <x:v>0.7106112026329313</x:v>
      </x:c>
      <x:c r="J712" s="56" t="n">
        <x:v>477.2994932795699</x:v>
      </x:c>
    </x:row>
    <x:row r="713" ht="65" customHeight="1">
      <x:c r="A713" s="61" t="n">
        <x:v>46082</x:v>
      </x:c>
      <x:c r="B713" s="32" t="str">
        <x:v>Servicios públicos y transporte: agua y transporte en GBA</x:v>
      </x:c>
      <x:c r="C713" s="32" t="str">
        <x:v>Alimentación, comercios y servicios</x:v>
      </x:c>
      <x:c r="D713" s="62" t="n">
        <x:v>31</x:v>
      </x:c>
      <x:c r="E713" s="2" t="str">
        <x:v>Completo</x:v>
      </x:c>
      <x:c r="F713" s="56" t="n">
        <x:v>69.79763037634409</x:v>
      </x:c>
      <x:c r="G713" s="56" t="n">
        <x:f>F545</x:f>
        <x:v>75.19778091397849</x:v>
      </x:c>
      <x:c r="H713" s="57" t="n">
        <x:f>IF(ISNUMBER(G713),IF(G713=0,"n.a.",F713/G713-1),"n.a.")</x:f>
        <x:v>-0.07181263159629447</x:v>
      </x:c>
      <x:c r="I713" s="58" t="n">
        <x:f>F713/J713</x:f>
        <x:v>0.14623445312451094</x:v>
      </x:c>
      <x:c r="J713" s="56" t="n">
        <x:v>477.2994932795699</x:v>
      </x:c>
    </x:row>
    <x:row r="714" ht="65" customHeight="1">
      <x:c r="A714" s="61" t="n">
        <x:v>46082</x:v>
      </x:c>
      <x:c r="B714" s="32" t="str">
        <x:v>Industria automotriz</x:v>
      </x:c>
      <x:c r="C714" s="32" t="str">
        <x:v>Industrias sin Aluar</x:v>
      </x:c>
      <x:c r="D714" s="62" t="n">
        <x:v>31</x:v>
      </x:c>
      <x:c r="E714" s="2" t="str">
        <x:v>Completo</x:v>
      </x:c>
      <x:c r="F714" s="56" t="n">
        <x:v>45.50714112903226</x:v>
      </x:c>
      <x:c r="G714" s="56" t="n">
        <x:f>F546</x:f>
        <x:v>42.55074596774193</x:v>
      </x:c>
      <x:c r="H714" s="57" t="n">
        <x:f>IF(ISNUMBER(G714),IF(G714=0,"n.a.",F714/G714-1),"n.a.")</x:f>
        <x:v>0.0694792792476917</x:v>
      </x:c>
      <x:c r="I714" s="58" t="n">
        <x:f>F714/J714</x:f>
        <x:v>0.037158549592987866</x:v>
      </x:c>
      <x:c r="J714" s="56" t="n">
        <x:v>1224.6748494623657</x:v>
      </x:c>
    </x:row>
    <x:row r="715" ht="65" customHeight="1">
      <x:c r="A715" s="61" t="n">
        <x:v>46082</x:v>
      </x:c>
      <x:c r="B715" s="32" t="str">
        <x:v>Derivados de petróleo</x:v>
      </x:c>
      <x:c r="C715" s="32" t="str">
        <x:v>Industrias sin Aluar</x:v>
      </x:c>
      <x:c r="D715" s="62" t="n">
        <x:v>31</x:v>
      </x:c>
      <x:c r="E715" s="2" t="str">
        <x:v>Completo</x:v>
      </x:c>
      <x:c r="F715" s="56" t="n">
        <x:v>156.12831586021508</x:v>
      </x:c>
      <x:c r="G715" s="56" t="n">
        <x:f>F547</x:f>
        <x:v>149.64575806451614</x:v>
      </x:c>
      <x:c r="H715" s="57" t="n">
        <x:f>IF(ISNUMBER(G715),IF(G715=0,"n.a.",F715/G715-1),"n.a.")</x:f>
        <x:v>0.04331935552028243</x:v>
      </x:c>
      <x:c r="I715" s="58" t="n">
        <x:f>F715/J715</x:f>
        <x:v>0.12748552477317196</x:v>
      </x:c>
      <x:c r="J715" s="56" t="n">
        <x:v>1224.6748494623657</x:v>
      </x:c>
    </x:row>
    <x:row r="716" ht="65" customHeight="1">
      <x:c r="A716" s="61" t="n">
        <x:v>46082</x:v>
      </x:c>
      <x:c r="B716" s="32" t="str">
        <x:v>Construcción: elaboración de cemento y canteras</x:v>
      </x:c>
      <x:c r="C716" s="32" t="str">
        <x:v>Industrias sin Aluar</x:v>
      </x:c>
      <x:c r="D716" s="62" t="n">
        <x:v>31</x:v>
      </x:c>
      <x:c r="E716" s="2" t="str">
        <x:v>Completo</x:v>
      </x:c>
      <x:c r="F716" s="56" t="n">
        <x:v>152.45844220430106</x:v>
      </x:c>
      <x:c r="G716" s="56" t="n">
        <x:f>F548</x:f>
        <x:v>142.41225403225806</x:v>
      </x:c>
      <x:c r="H716" s="57" t="n">
        <x:f>IF(ISNUMBER(G716),IF(G716=0,"n.a.",F716/G716-1),"n.a.")</x:f>
        <x:v>0.07054300376263556</x:v>
      </x:c>
      <x:c r="I716" s="58" t="n">
        <x:f>F716/J716</x:f>
        <x:v>0.12448891415646413</x:v>
      </x:c>
      <x:c r="J716" s="56" t="n">
        <x:v>1224.6748494623657</x:v>
      </x:c>
    </x:row>
    <x:row r="717" ht="65" customHeight="1">
      <x:c r="A717" s="61" t="n">
        <x:v>46082</x:v>
      </x:c>
      <x:c r="B717" s="32" t="str">
        <x:v>Madera y papel</x:v>
      </x:c>
      <x:c r="C717" s="32" t="str">
        <x:v>Industrias sin Aluar</x:v>
      </x:c>
      <x:c r="D717" s="62" t="n">
        <x:v>31</x:v>
      </x:c>
      <x:c r="E717" s="2" t="str">
        <x:v>Completo</x:v>
      </x:c>
      <x:c r="F717" s="56" t="n">
        <x:v>103.47159139784947</x:v>
      </x:c>
      <x:c r="G717" s="56" t="n">
        <x:f>F549</x:f>
        <x:v>98.3025497311828</x:v>
      </x:c>
      <x:c r="H717" s="57" t="n">
        <x:f>IF(ISNUMBER(G717),IF(G717=0,"n.a.",F717/G717-1),"n.a.")</x:f>
        <x:v>0.05258298671603012</x:v>
      </x:c>
      <x:c r="I717" s="58" t="n">
        <x:f>F717/J717</x:f>
        <x:v>0.08448903106263157</x:v>
      </x:c>
      <x:c r="J717" s="56" t="n">
        <x:v>1224.6748494623657</x:v>
      </x:c>
    </x:row>
    <x:row r="718" ht="65" customHeight="1">
      <x:c r="A718" s="61" t="n">
        <x:v>46082</x:v>
      </x:c>
      <x:c r="B718" s="32" t="str">
        <x:v>Productos metálicos no automotores</x:v>
      </x:c>
      <x:c r="C718" s="32" t="str">
        <x:v>Industrias sin Aluar</x:v>
      </x:c>
      <x:c r="D718" s="62" t="n">
        <x:v>31</x:v>
      </x:c>
      <x:c r="E718" s="2" t="str">
        <x:v>Completo</x:v>
      </x:c>
      <x:c r="F718" s="56" t="n">
        <x:v>39.9608440860215</x:v>
      </x:c>
      <x:c r="G718" s="56" t="n">
        <x:f>F550</x:f>
        <x:v>28.755403225806454</x:v>
      </x:c>
      <x:c r="H718" s="57" t="n">
        <x:f>IF(ISNUMBER(G718),IF(G718=0,"n.a.",F718/G718-1),"n.a.")</x:f>
        <x:v>0.3896812286797897</x:v>
      </x:c>
      <x:c r="I718" s="58" t="n">
        <x:f>F718/J718</x:f>
        <x:v>0.03262975809747737</x:v>
      </x:c>
      <x:c r="J718" s="56" t="n">
        <x:v>1224.6748494623657</x:v>
      </x:c>
    </x:row>
    <x:row r="719" ht="65" customHeight="1">
      <x:c r="A719" s="61" t="n">
        <x:v>46082</x:v>
      </x:c>
      <x:c r="B719" s="32" t="str">
        <x:v>Gran siderurgia</x:v>
      </x:c>
      <x:c r="C719" s="32" t="str">
        <x:v>Industrias sin Aluar</x:v>
      </x:c>
      <x:c r="D719" s="62" t="n">
        <x:v>31</x:v>
      </x:c>
      <x:c r="E719" s="2" t="str">
        <x:v>Completo</x:v>
      </x:c>
      <x:c r="F719" s="56" t="n">
        <x:v>321.48939784946236</x:v>
      </x:c>
      <x:c r="G719" s="56" t="n">
        <x:f>F551</x:f>
        <x:v>247.3586586021505</x:v>
      </x:c>
      <x:c r="H719" s="57" t="n">
        <x:f>IF(ISNUMBER(G719),IF(G719=0,"n.a.",F719/G719-1),"n.a.")</x:f>
        <x:v>0.2996892838368075</x:v>
      </x:c>
      <x:c r="I719" s="58" t="n">
        <x:f>F719/J719</x:f>
        <x:v>0.26251000254524437</x:v>
      </x:c>
      <x:c r="J719" s="56" t="n">
        <x:v>1224.6748494623657</x:v>
      </x:c>
    </x:row>
    <x:row r="720" ht="65" customHeight="1">
      <x:c r="A720" s="61" t="n">
        <x:v>46082</x:v>
      </x:c>
      <x:c r="B720" s="32" t="str">
        <x:v>Industria textil</x:v>
      </x:c>
      <x:c r="C720" s="32" t="str">
        <x:v>Industrias sin Aluar</x:v>
      </x:c>
      <x:c r="D720" s="62" t="n">
        <x:v>31</x:v>
      </x:c>
      <x:c r="E720" s="2" t="str">
        <x:v>Completo</x:v>
      </x:c>
      <x:c r="F720" s="56" t="n">
        <x:v>43.3380685483871</x:v>
      </x:c>
      <x:c r="G720" s="56" t="n">
        <x:f>F552</x:f>
        <x:v>55.125762096774196</x:v>
      </x:c>
      <x:c r="H720" s="57" t="n">
        <x:f>IF(ISNUMBER(G720),IF(G720=0,"n.a.",F720/G720-1),"n.a.")</x:f>
        <x:v>-0.2138327544151427</x:v>
      </x:c>
      <x:c r="I720" s="58" t="n">
        <x:f>F720/J720</x:f>
        <x:v>0.03538740798621984</x:v>
      </x:c>
      <x:c r="J720" s="56" t="n">
        <x:v>1224.6748494623657</x:v>
      </x:c>
    </x:row>
    <x:row r="721" ht="65" customHeight="1">
      <x:c r="A721" s="61" t="n">
        <x:v>46082</x:v>
      </x:c>
      <x:c r="B721" s="32" t="str">
        <x:v>Químicas, caucho, plástico y otros minerales no metálicos</x:v>
      </x:c>
      <x:c r="C721" s="32" t="str">
        <x:v>Industrias sin Aluar</x:v>
      </x:c>
      <x:c r="D721" s="62" t="n">
        <x:v>31</x:v>
      </x:c>
      <x:c r="E721" s="2" t="str">
        <x:v>Completo</x:v>
      </x:c>
      <x:c r="F721" s="56" t="n">
        <x:v>362.32104838709677</x:v>
      </x:c>
      <x:c r="G721" s="56" t="n">
        <x:f>F553</x:f>
        <x:v>319.7549583333333</x:v>
      </x:c>
      <x:c r="H721" s="57" t="n">
        <x:f>IF(ISNUMBER(G721),IF(G721=0,"n.a.",F721/G721-1),"n.a.")</x:f>
        <x:v>0.13312096949373897</x:v>
      </x:c>
      <x:c r="I721" s="58" t="n">
        <x:f>F721/J721</x:f>
        <x:v>0.2958508117858028</x:v>
      </x:c>
      <x:c r="J721" s="56" t="n">
        <x:v>1224.6748494623657</x:v>
      </x:c>
    </x:row>
    <x:row r="722" ht="65" customHeight="1">
      <x:c r="A722" s="61" t="n">
        <x:v>46082</x:v>
      </x:c>
      <x:c r="B722" s="32" t="str">
        <x:v>Extracción de minerales</x:v>
      </x:c>
      <x:c r="C722" s="32" t="str">
        <x:v>Petróleos y minerales</x:v>
      </x:c>
      <x:c r="D722" s="62" t="n">
        <x:v>31</x:v>
      </x:c>
      <x:c r="E722" s="2" t="str">
        <x:v>Completo</x:v>
      </x:c>
      <x:c r="F722" s="56" t="n">
        <x:v>24.292866935483868</x:v>
      </x:c>
      <x:c r="G722" s="56" t="n">
        <x:f>F554</x:f>
        <x:v>22.25468548387097</x:v>
      </x:c>
      <x:c r="H722" s="57" t="n">
        <x:f>IF(ISNUMBER(G722),IF(G722=0,"n.a.",F722/G722-1),"n.a.")</x:f>
        <x:v>0.09158437458440227</x:v>
      </x:c>
      <x:c r="I722" s="58" t="n">
        <x:f>F722/J722</x:f>
        <x:v>0.13398958073237696</x:v>
      </x:c>
      <x:c r="J722" s="56" t="n">
        <x:v>181.30414919354837</x:v>
      </x:c>
    </x:row>
    <x:row r="723" ht="65" customHeight="1">
      <x:c r="A723" s="61" t="n">
        <x:v>46082</x:v>
      </x:c>
      <x:c r="B723" s="32" t="str">
        <x:v>Extracción de petróleo</x:v>
      </x:c>
      <x:c r="C723" s="32" t="str">
        <x:v>Petróleos y minerales</x:v>
      </x:c>
      <x:c r="D723" s="62" t="n">
        <x:v>31</x:v>
      </x:c>
      <x:c r="E723" s="2" t="str">
        <x:v>Completo</x:v>
      </x:c>
      <x:c r="F723" s="56" t="n">
        <x:v>157.01128225806454</x:v>
      </x:c>
      <x:c r="G723" s="56" t="n">
        <x:f>F555</x:f>
        <x:v>145.48089516129033</x:v>
      </x:c>
      <x:c r="H723" s="57" t="n">
        <x:f>IF(ISNUMBER(G723),IF(G723=0,"n.a.",F723/G723-1),"n.a.")</x:f>
        <x:v>0.07925705353950985</x:v>
      </x:c>
      <x:c r="I723" s="58" t="n">
        <x:f>F723/J723</x:f>
        <x:v>0.8660104192676232</x:v>
      </x:c>
      <x:c r="J723" s="56" t="n">
        <x:v>181.30414919354837</x:v>
      </x:c>
    </x:row>
    <x:row r="724" ht="65" customHeight="1">
      <x:c r="A724" s="61" t="n">
        <x:v>46113</x:v>
      </x:c>
      <x:c r="B724" s="32" t="str">
        <x:v>Cargas y puertos</x:v>
      </x:c>
      <x:c r="C724" s="32" t="str">
        <x:v>Alimentación, comercios y servicios</x:v>
      </x:c>
      <x:c r="D724" s="62" t="n">
        <x:v>30</x:v>
      </x:c>
      <x:c r="E724" s="2" t="str">
        <x:v>Completo</x:v>
      </x:c>
      <x:c r="F724" s="56" t="n">
        <x:v>9.61821388888889</x:v>
      </x:c>
      <x:c r="G724" s="56" t="n">
        <x:f>F556</x:f>
        <x:v>9.5680125</x:v>
      </x:c>
      <x:c r="H724" s="57" t="n">
        <x:f>IF(ISNUMBER(G724),IF(G724=0,"n.a.",F724/G724-1),"n.a.")</x:f>
        <x:v>0.00524679382357518</x:v>
      </x:c>
      <x:c r="I724" s="58" t="n">
        <x:f>F724/J724</x:f>
        <x:v>0.02066007861566017</x:v>
      </x:c>
      <x:c r="J724" s="56" t="n">
        <x:v>465.5458513888889</x:v>
      </x:c>
    </x:row>
    <x:row r="725" ht="65" customHeight="1">
      <x:c r="A725" s="61" t="n">
        <x:v>46113</x:v>
      </x:c>
      <x:c r="B725" s="32" t="str">
        <x:v>Comercio y servicios: principalmente supermercados y centros comerciales</x:v>
      </x:c>
      <x:c r="C725" s="32" t="str">
        <x:v>Alimentación, comercios y servicios</x:v>
      </x:c>
      <x:c r="D725" s="62" t="n">
        <x:v>30</x:v>
      </x:c>
      <x:c r="E725" s="2" t="str">
        <x:v>Completo</x:v>
      </x:c>
      <x:c r="F725" s="56" t="n">
        <x:v>53.40403333333333</x:v>
      </x:c>
      <x:c r="G725" s="56" t="n">
        <x:f>F557</x:f>
        <x:v>45.60965138888889</x:v>
      </x:c>
      <x:c r="H725" s="57" t="n">
        <x:f>IF(ISNUMBER(G725),IF(G725=0,"n.a.",F725/G725-1),"n.a.")</x:f>
        <x:v>0.1708932584900935</x:v>
      </x:c>
      <x:c r="I725" s="58" t="n">
        <x:f>F725/J725</x:f>
        <x:v>0.11471272523213363</x:v>
      </x:c>
      <x:c r="J725" s="56" t="n">
        <x:v>465.5458513888889</x:v>
      </x:c>
    </x:row>
    <x:row r="726" ht="65" customHeight="1">
      <x:c r="A726" s="61" t="n">
        <x:v>46113</x:v>
      </x:c>
      <x:c r="B726" s="32" t="str">
        <x:v>Alimentación y artículos de consumo masivo</x:v>
      </x:c>
      <x:c r="C726" s="32" t="str">
        <x:v>Alimentación, comercios y servicios</x:v>
      </x:c>
      <x:c r="D726" s="62" t="n">
        <x:v>30</x:v>
      </x:c>
      <x:c r="E726" s="2" t="str">
        <x:v>Completo</x:v>
      </x:c>
      <x:c r="F726" s="56" t="n">
        <x:v>332.8327541666667</x:v>
      </x:c>
      <x:c r="G726" s="56" t="n">
        <x:f>F558</x:f>
        <x:v>275.5870055555555</x:v>
      </x:c>
      <x:c r="H726" s="57" t="n">
        <x:f>IF(ISNUMBER(G726),IF(G726=0,"n.a.",F726/G726-1),"n.a.")</x:f>
        <x:v>0.20772296028874648</x:v>
      </x:c>
      <x:c r="I726" s="58" t="n">
        <x:f>F726/J726</x:f>
        <x:v>0.7149301259450775</x:v>
      </x:c>
      <x:c r="J726" s="56" t="n">
        <x:v>465.5458513888889</x:v>
      </x:c>
    </x:row>
    <x:row r="727" ht="65" customHeight="1">
      <x:c r="A727" s="61" t="n">
        <x:v>46113</x:v>
      </x:c>
      <x:c r="B727" s="32" t="str">
        <x:v>Servicios públicos y transporte: agua y transporte en GBA</x:v>
      </x:c>
      <x:c r="C727" s="32" t="str">
        <x:v>Alimentación, comercios y servicios</x:v>
      </x:c>
      <x:c r="D727" s="62" t="n">
        <x:v>30</x:v>
      </x:c>
      <x:c r="E727" s="2" t="str">
        <x:v>Completo</x:v>
      </x:c>
      <x:c r="F727" s="56" t="n">
        <x:v>69.69085</x:v>
      </x:c>
      <x:c r="G727" s="56" t="n">
        <x:f>F559</x:f>
        <x:v>75.51788333333334</x:v>
      </x:c>
      <x:c r="H727" s="57" t="n">
        <x:f>IF(ISNUMBER(G727),IF(G727=0,"n.a.",F727/G727-1),"n.a.")</x:f>
        <x:v>-0.07716097268792643</x:v>
      </x:c>
      <x:c r="I727" s="58" t="n">
        <x:f>F727/J727</x:f>
        <x:v>0.1496970702071287</x:v>
      </x:c>
      <x:c r="J727" s="56" t="n">
        <x:v>465.5458513888889</x:v>
      </x:c>
    </x:row>
    <x:row r="728" ht="65" customHeight="1">
      <x:c r="A728" s="61" t="n">
        <x:v>46113</x:v>
      </x:c>
      <x:c r="B728" s="32" t="str">
        <x:v>Industria automotriz</x:v>
      </x:c>
      <x:c r="C728" s="32" t="str">
        <x:v>Industrias sin Aluar</x:v>
      </x:c>
      <x:c r="D728" s="62" t="n">
        <x:v>30</x:v>
      </x:c>
      <x:c r="E728" s="2" t="str">
        <x:v>Completo</x:v>
      </x:c>
      <x:c r="F728" s="56" t="n">
        <x:v>43.119731944444446</x:v>
      </x:c>
      <x:c r="G728" s="56" t="n">
        <x:f>F560</x:f>
        <x:v>41.18686388888889</x:v>
      </x:c>
      <x:c r="H728" s="57" t="n">
        <x:f>IF(ISNUMBER(G728),IF(G728=0,"n.a.",F728/G728-1),"n.a.")</x:f>
        <x:v>0.04692923600034038</x:v>
      </x:c>
      <x:c r="I728" s="58" t="n">
        <x:f>F728/J728</x:f>
        <x:v>0.0358798895709745</x:v>
      </x:c>
      <x:c r="J728" s="56" t="n">
        <x:v>1201.779951388889</x:v>
      </x:c>
    </x:row>
    <x:row r="729" ht="65" customHeight="1">
      <x:c r="A729" s="61" t="n">
        <x:v>46113</x:v>
      </x:c>
      <x:c r="B729" s="32" t="str">
        <x:v>Derivados de petróleo</x:v>
      </x:c>
      <x:c r="C729" s="32" t="str">
        <x:v>Industrias sin Aluar</x:v>
      </x:c>
      <x:c r="D729" s="62" t="n">
        <x:v>30</x:v>
      </x:c>
      <x:c r="E729" s="2" t="str">
        <x:v>Completo</x:v>
      </x:c>
      <x:c r="F729" s="56" t="n">
        <x:v>148.55879166666668</x:v>
      </x:c>
      <x:c r="G729" s="56" t="n">
        <x:f>F561</x:f>
        <x:v>153.31479305555555</x:v>
      </x:c>
      <x:c r="H729" s="57" t="n">
        <x:f>IF(ISNUMBER(G729),IF(G729=0,"n.a.",F729/G729-1),"n.a.")</x:f>
        <x:v>-0.031021151280330006</x:v>
      </x:c>
      <x:c r="I729" s="58" t="n">
        <x:f>F729/J729</x:f>
        <x:v>0.12361563487140743</x:v>
      </x:c>
      <x:c r="J729" s="56" t="n">
        <x:v>1201.779951388889</x:v>
      </x:c>
    </x:row>
    <x:row r="730" ht="65" customHeight="1">
      <x:c r="A730" s="61" t="n">
        <x:v>46113</x:v>
      </x:c>
      <x:c r="B730" s="32" t="str">
        <x:v>Construcción: elaboración de cemento y canteras</x:v>
      </x:c>
      <x:c r="C730" s="32" t="str">
        <x:v>Industrias sin Aluar</x:v>
      </x:c>
      <x:c r="D730" s="62" t="n">
        <x:v>30</x:v>
      </x:c>
      <x:c r="E730" s="2" t="str">
        <x:v>Completo</x:v>
      </x:c>
      <x:c r="F730" s="56" t="n">
        <x:v>159.3088763888889</x:v>
      </x:c>
      <x:c r="G730" s="56" t="n">
        <x:f>F562</x:f>
        <x:v>149.36918888888889</x:v>
      </x:c>
      <x:c r="H730" s="57" t="n">
        <x:f>IF(ISNUMBER(G730),IF(G730=0,"n.a.",F730/G730-1),"n.a.")</x:f>
        <x:v>0.066544429771215</x:v>
      </x:c>
      <x:c r="I730" s="58" t="n">
        <x:f>F730/J730</x:f>
        <x:v>0.13256077055102866</x:v>
      </x:c>
      <x:c r="J730" s="56" t="n">
        <x:v>1201.779951388889</x:v>
      </x:c>
    </x:row>
    <x:row r="731" ht="65" customHeight="1">
      <x:c r="A731" s="61" t="n">
        <x:v>46113</x:v>
      </x:c>
      <x:c r="B731" s="32" t="str">
        <x:v>Madera y papel</x:v>
      </x:c>
      <x:c r="C731" s="32" t="str">
        <x:v>Industrias sin Aluar</x:v>
      </x:c>
      <x:c r="D731" s="62" t="n">
        <x:v>30</x:v>
      </x:c>
      <x:c r="E731" s="2" t="str">
        <x:v>Completo</x:v>
      </x:c>
      <x:c r="F731" s="56" t="n">
        <x:v>99.75455277777777</x:v>
      </x:c>
      <x:c r="G731" s="56" t="n">
        <x:f>F563</x:f>
        <x:v>100.82068472222223</x:v>
      </x:c>
      <x:c r="H731" s="57" t="n">
        <x:f>IF(ISNUMBER(G731),IF(G731=0,"n.a.",F731/G731-1),"n.a.")</x:f>
        <x:v>-0.010574535844324218</x:v>
      </x:c>
      <x:c r="I731" s="58" t="n">
        <x:f>F731/J731</x:f>
        <x:v>0.08300567226345565</x:v>
      </x:c>
      <x:c r="J731" s="56" t="n">
        <x:v>1201.779951388889</x:v>
      </x:c>
    </x:row>
    <x:row r="732" ht="65" customHeight="1">
      <x:c r="A732" s="61" t="n">
        <x:v>46113</x:v>
      </x:c>
      <x:c r="B732" s="32" t="str">
        <x:v>Productos metálicos no automotores</x:v>
      </x:c>
      <x:c r="C732" s="32" t="str">
        <x:v>Industrias sin Aluar</x:v>
      </x:c>
      <x:c r="D732" s="62" t="n">
        <x:v>30</x:v>
      </x:c>
      <x:c r="E732" s="2" t="str">
        <x:v>Completo</x:v>
      </x:c>
      <x:c r="F732" s="56" t="n">
        <x:v>39.24199861111111</x:v>
      </x:c>
      <x:c r="G732" s="56" t="n">
        <x:f>F564</x:f>
        <x:v>31.430494444444445</x:v>
      </x:c>
      <x:c r="H732" s="57" t="n">
        <x:f>IF(ISNUMBER(G732),IF(G732=0,"n.a.",F732/G732-1),"n.a.")</x:f>
        <x:v>0.24853265291368642</x:v>
      </x:c>
      <x:c r="I732" s="58" t="n">
        <x:f>F732/J732</x:f>
        <x:v>0.032653231205728966</x:v>
      </x:c>
      <x:c r="J732" s="56" t="n">
        <x:v>1201.779951388889</x:v>
      </x:c>
    </x:row>
    <x:row r="733" ht="65" customHeight="1">
      <x:c r="A733" s="61" t="n">
        <x:v>46113</x:v>
      </x:c>
      <x:c r="B733" s="32" t="str">
        <x:v>Gran siderurgia</x:v>
      </x:c>
      <x:c r="C733" s="32" t="str">
        <x:v>Industrias sin Aluar</x:v>
      </x:c>
      <x:c r="D733" s="62" t="n">
        <x:v>30</x:v>
      </x:c>
      <x:c r="E733" s="2" t="str">
        <x:v>Completo</x:v>
      </x:c>
      <x:c r="F733" s="56" t="n">
        <x:v>321.0619152777778</x:v>
      </x:c>
      <x:c r="G733" s="56" t="n">
        <x:f>F565</x:f>
        <x:v>247.63442222222224</x:v>
      </x:c>
      <x:c r="H733" s="57" t="n">
        <x:f>IF(ISNUMBER(G733),IF(G733=0,"n.a.",F733/G733-1),"n.a.")</x:f>
        <x:v>0.2965156959869788</x:v>
      </x:c>
      <x:c r="I733" s="58" t="n">
        <x:f>F733/J733</x:f>
        <x:v>0.2671553264861248</x:v>
      </x:c>
      <x:c r="J733" s="56" t="n">
        <x:v>1201.779951388889</x:v>
      </x:c>
    </x:row>
    <x:row r="734" ht="65" customHeight="1">
      <x:c r="A734" s="61" t="n">
        <x:v>46113</x:v>
      </x:c>
      <x:c r="B734" s="32" t="str">
        <x:v>Industria textil</x:v>
      </x:c>
      <x:c r="C734" s="32" t="str">
        <x:v>Industrias sin Aluar</x:v>
      </x:c>
      <x:c r="D734" s="62" t="n">
        <x:v>30</x:v>
      </x:c>
      <x:c r="E734" s="2" t="str">
        <x:v>Completo</x:v>
      </x:c>
      <x:c r="F734" s="56" t="n">
        <x:v>40.06480972222222</x:v>
      </x:c>
      <x:c r="G734" s="56" t="n">
        <x:f>F566</x:f>
        <x:v>50.211259722222216</x:v>
      </x:c>
      <x:c r="H734" s="57" t="n">
        <x:f>IF(ISNUMBER(G734),IF(G734=0,"n.a.",F734/G734-1),"n.a.")</x:f>
        <x:v>-0.20207519301710397</x:v>
      </x:c>
      <x:c r="I734" s="58" t="n">
        <x:f>F734/J734</x:f>
        <x:v>0.03333789157983505</x:v>
      </x:c>
      <x:c r="J734" s="56" t="n">
        <x:v>1201.779951388889</x:v>
      </x:c>
    </x:row>
    <x:row r="735" ht="65" customHeight="1">
      <x:c r="A735" s="61" t="n">
        <x:v>46113</x:v>
      </x:c>
      <x:c r="B735" s="32" t="str">
        <x:v>Químicas, caucho, plástico y otros minerales no metálicos</x:v>
      </x:c>
      <x:c r="C735" s="32" t="str">
        <x:v>Industrias sin Aluar</x:v>
      </x:c>
      <x:c r="D735" s="62" t="n">
        <x:v>30</x:v>
      </x:c>
      <x:c r="E735" s="2" t="str">
        <x:v>Completo</x:v>
      </x:c>
      <x:c r="F735" s="56" t="n">
        <x:v>350.669275</x:v>
      </x:c>
      <x:c r="G735" s="56" t="n">
        <x:f>F567</x:f>
        <x:v>326.77516249999996</x:v>
      </x:c>
      <x:c r="H735" s="57" t="n">
        <x:f>IF(ISNUMBER(G735),IF(G735=0,"n.a.",F735/G735-1),"n.a.")</x:f>
        <x:v>0.07312095667613683</x:v>
      </x:c>
      <x:c r="I735" s="58" t="n">
        <x:f>F735/J735</x:f>
        <x:v>0.2917915834714449</x:v>
      </x:c>
      <x:c r="J735" s="56" t="n">
        <x:v>1201.779951388889</x:v>
      </x:c>
    </x:row>
    <x:row r="736" ht="65" customHeight="1">
      <x:c r="A736" s="61" t="n">
        <x:v>46113</x:v>
      </x:c>
      <x:c r="B736" s="32" t="str">
        <x:v>Extracción de minerales</x:v>
      </x:c>
      <x:c r="C736" s="32" t="str">
        <x:v>Petróleos y minerales</x:v>
      </x:c>
      <x:c r="D736" s="62" t="n">
        <x:v>30</x:v>
      </x:c>
      <x:c r="E736" s="2" t="str">
        <x:v>Completo</x:v>
      </x:c>
      <x:c r="F736" s="56" t="n">
        <x:v>25.52247638888889</x:v>
      </x:c>
      <x:c r="G736" s="56" t="n">
        <x:f>F568</x:f>
        <x:v>24.467341666666666</x:v>
      </x:c>
      <x:c r="H736" s="57" t="n">
        <x:f>IF(ISNUMBER(G736),IF(G736=0,"n.a.",F736/G736-1),"n.a.")</x:f>
        <x:v>0.043124207631419775</x:v>
      </x:c>
      <x:c r="I736" s="58" t="n">
        <x:f>F736/J736</x:f>
        <x:v>0.13971105144086726</x:v>
      </x:c>
      <x:c r="J736" s="56" t="n">
        <x:v>182.6804402777778</x:v>
      </x:c>
    </x:row>
    <x:row r="737" ht="65" customHeight="1">
      <x:c r="A737" s="61" t="n">
        <x:v>46113</x:v>
      </x:c>
      <x:c r="B737" s="32" t="str">
        <x:v>Extracción de petróleo</x:v>
      </x:c>
      <x:c r="C737" s="32" t="str">
        <x:v>Petróleos y minerales</x:v>
      </x:c>
      <x:c r="D737" s="62" t="n">
        <x:v>30</x:v>
      </x:c>
      <x:c r="E737" s="2" t="str">
        <x:v>Completo</x:v>
      </x:c>
      <x:c r="F737" s="56" t="n">
        <x:v>157.15796388888887</x:v>
      </x:c>
      <x:c r="G737" s="56" t="n">
        <x:f>F569</x:f>
        <x:v>141.92951944444445</x:v>
      </x:c>
      <x:c r="H737" s="57" t="n">
        <x:f>IF(ISNUMBER(G737),IF(G737=0,"n.a.",F737/G737-1),"n.a.")</x:f>
        <x:v>0.107295821926638</x:v>
      </x:c>
      <x:c r="I737" s="58" t="n">
        <x:f>F737/J737</x:f>
        <x:v>0.8602889485591326</x:v>
      </x:c>
      <x:c r="J737" s="56" t="n">
        <x:v>182.6804402777778</x:v>
      </x:c>
    </x:row>
    <x:row r="738" ht="65" customHeight="1">
      <x:c r="A738" s="61" t="n">
        <x:v>46143</x:v>
      </x:c>
      <x:c r="B738" s="32" t="str">
        <x:v>Cargas y puertos</x:v>
      </x:c>
      <x:c r="C738" s="32" t="str">
        <x:v>Alimentación, comercios y servicios</x:v>
      </x:c>
      <x:c r="D738" s="62" t="n">
        <x:v>31</x:v>
      </x:c>
      <x:c r="E738" s="2" t="str">
        <x:v>Completo</x:v>
      </x:c>
      <x:c r="F738" s="56" t="n">
        <x:v>9.218932795698926</x:v>
      </x:c>
      <x:c r="G738" s="56" t="n">
        <x:f>F570</x:f>
        <x:v>9.245549731182795</x:v>
      </x:c>
      <x:c r="H738" s="57" t="n">
        <x:f>IF(ISNUMBER(G738),IF(G738=0,"n.a.",F738/G738-1),"n.a.")</x:f>
        <x:v>-0.00287889160274557</x:v>
      </x:c>
      <x:c r="I738" s="58" t="n">
        <x:f>F738/J738</x:f>
        <x:v>0.020550464501249498</x:v>
      </x:c>
      <x:c r="J738" s="56" t="n">
        <x:v>448.59972849462366</x:v>
      </x:c>
    </x:row>
    <x:row r="739" ht="65" customHeight="1">
      <x:c r="A739" s="61" t="n">
        <x:v>46143</x:v>
      </x:c>
      <x:c r="B739" s="32" t="str">
        <x:v>Comercio y servicios: principalmente supermercados y centros comerciales</x:v>
      </x:c>
      <x:c r="C739" s="32" t="str">
        <x:v>Alimentación, comercios y servicios</x:v>
      </x:c>
      <x:c r="D739" s="62" t="n">
        <x:v>31</x:v>
      </x:c>
      <x:c r="E739" s="2" t="str">
        <x:v>Completo</x:v>
      </x:c>
      <x:c r="F739" s="56" t="n">
        <x:v>48.978276881720426</x:v>
      </x:c>
      <x:c r="G739" s="56" t="n">
        <x:f>F571</x:f>
        <x:v>44.32232123655914</x:v>
      </x:c>
      <x:c r="H739" s="57" t="n">
        <x:f>IF(ISNUMBER(G739),IF(G739=0,"n.a.",F739/G739-1),"n.a.")</x:f>
        <x:v>0.10504764902341868</x:v>
      </x:c>
      <x:c r="I739" s="58" t="n">
        <x:f>F739/J739</x:f>
        <x:v>0.1091803533766682</x:v>
      </x:c>
      <x:c r="J739" s="56" t="n">
        <x:v>448.59972849462366</x:v>
      </x:c>
    </x:row>
    <x:row r="740" ht="65" customHeight="1">
      <x:c r="A740" s="61" t="n">
        <x:v>46143</x:v>
      </x:c>
      <x:c r="B740" s="32" t="str">
        <x:v>Alimentación y artículos de consumo masivo</x:v>
      </x:c>
      <x:c r="C740" s="32" t="str">
        <x:v>Alimentación, comercios y servicios</x:v>
      </x:c>
      <x:c r="D740" s="62" t="n">
        <x:v>31</x:v>
      </x:c>
      <x:c r="E740" s="2" t="str">
        <x:v>Completo</x:v>
      </x:c>
      <x:c r="F740" s="56" t="n">
        <x:v>320.1168373655914</x:v>
      </x:c>
      <x:c r="G740" s="56" t="n">
        <x:f>F572</x:f>
        <x:v>277.0284045698925</x:v>
      </x:c>
      <x:c r="H740" s="57" t="n">
        <x:f>IF(ISNUMBER(G740),IF(G740=0,"n.a.",F740/G740-1),"n.a.")</x:f>
        <x:v>0.15553795959153338</x:v>
      </x:c>
      <x:c r="I740" s="58" t="n">
        <x:f>F740/J740</x:f>
        <x:v>0.7135912418846413</x:v>
      </x:c>
      <x:c r="J740" s="56" t="n">
        <x:v>448.59972849462366</x:v>
      </x:c>
    </x:row>
    <x:row r="741" ht="65" customHeight="1">
      <x:c r="A741" s="61" t="n">
        <x:v>46143</x:v>
      </x:c>
      <x:c r="B741" s="32" t="str">
        <x:v>Servicios públicos y transporte: agua y transporte en GBA</x:v>
      </x:c>
      <x:c r="C741" s="32" t="str">
        <x:v>Alimentación, comercios y servicios</x:v>
      </x:c>
      <x:c r="D741" s="62" t="n">
        <x:v>31</x:v>
      </x:c>
      <x:c r="E741" s="2" t="str">
        <x:v>Completo</x:v>
      </x:c>
      <x:c r="F741" s="56" t="n">
        <x:v>70.2856814516129</x:v>
      </x:c>
      <x:c r="G741" s="56" t="n">
        <x:f>F573</x:f>
        <x:v>71.67712634408602</x:v>
      </x:c>
      <x:c r="H741" s="57" t="n">
        <x:f>IF(ISNUMBER(G741),IF(G741=0,"n.a.",F741/G741-1),"n.a.")</x:f>
        <x:v>-0.01941267686700343</x:v>
      </x:c>
      <x:c r="I741" s="58" t="n">
        <x:f>F741/J741</x:f>
        <x:v>0.156677940237441</x:v>
      </x:c>
      <x:c r="J741" s="56" t="n">
        <x:v>448.59972849462366</x:v>
      </x:c>
    </x:row>
    <x:row r="742" ht="65" customHeight="1">
      <x:c r="A742" s="61" t="n">
        <x:v>46143</x:v>
      </x:c>
      <x:c r="B742" s="32" t="str">
        <x:v>Industria automotriz</x:v>
      </x:c>
      <x:c r="C742" s="32" t="str">
        <x:v>Industrias sin Aluar</x:v>
      </x:c>
      <x:c r="D742" s="62" t="n">
        <x:v>31</x:v>
      </x:c>
      <x:c r="E742" s="2" t="str">
        <x:v>Completo</x:v>
      </x:c>
      <x:c r="F742" s="56" t="n">
        <x:v>44.11443548387096</x:v>
      </x:c>
      <x:c r="G742" s="56" t="n">
        <x:f>F574</x:f>
        <x:v>43.09435887096774</x:v>
      </x:c>
      <x:c r="H742" s="57" t="n">
        <x:f>IF(ISNUMBER(G742),IF(G742=0,"n.a.",F742/G742-1),"n.a.")</x:f>
        <x:v>0.023670768973672818</x:v>
      </x:c>
      <x:c r="I742" s="58" t="n">
        <x:f>F742/J742</x:f>
        <x:v>0.037948605223354345</x:v>
      </x:c>
      <x:c r="J742" s="56" t="n">
        <x:v>1162.478442204301</x:v>
      </x:c>
    </x:row>
    <x:row r="743" ht="65" customHeight="1">
      <x:c r="A743" s="61" t="n">
        <x:v>46143</x:v>
      </x:c>
      <x:c r="B743" s="32" t="str">
        <x:v>Derivados de petróleo</x:v>
      </x:c>
      <x:c r="C743" s="32" t="str">
        <x:v>Industrias sin Aluar</x:v>
      </x:c>
      <x:c r="D743" s="62" t="n">
        <x:v>31</x:v>
      </x:c>
      <x:c r="E743" s="2" t="str">
        <x:v>Completo</x:v>
      </x:c>
      <x:c r="F743" s="56" t="n">
        <x:v>153.14805510752686</x:v>
      </x:c>
      <x:c r="G743" s="56" t="n">
        <x:f>F575</x:f>
        <x:v>144.58043548387099</x:v>
      </x:c>
      <x:c r="H743" s="57" t="n">
        <x:f>IF(ISNUMBER(G743),IF(G743=0,"n.a.",F743/G743-1),"n.a.")</x:f>
        <x:v>0.05925849922212789</x:v>
      </x:c>
      <x:c r="I743" s="58" t="n">
        <x:f>F743/J743</x:f>
        <x:v>0.13174270553966255</x:v>
      </x:c>
      <x:c r="J743" s="56" t="n">
        <x:v>1162.478442204301</x:v>
      </x:c>
    </x:row>
    <x:row r="744" ht="65" customHeight="1">
      <x:c r="A744" s="61" t="n">
        <x:v>46143</x:v>
      </x:c>
      <x:c r="B744" s="32" t="str">
        <x:v>Construcción: elaboración de cemento y canteras</x:v>
      </x:c>
      <x:c r="C744" s="32" t="str">
        <x:v>Industrias sin Aluar</x:v>
      </x:c>
      <x:c r="D744" s="62" t="n">
        <x:v>31</x:v>
      </x:c>
      <x:c r="E744" s="2" t="str">
        <x:v>Completo</x:v>
      </x:c>
      <x:c r="F744" s="56" t="n">
        <x:v>106.31837365591397</x:v>
      </x:c>
      <x:c r="G744" s="56" t="n">
        <x:f>F576</x:f>
        <x:v>109.74640591397849</x:v>
      </x:c>
      <x:c r="H744" s="57" t="n">
        <x:f>IF(ISNUMBER(G744),IF(G744=0,"n.a.",F744/G744-1),"n.a.")</x:f>
        <x:v>-0.03123594098153415</x:v>
      </x:c>
      <x:c r="I744" s="58" t="n">
        <x:f>F744/J744</x:f>
        <x:v>0.0914583615454513</x:v>
      </x:c>
      <x:c r="J744" s="56" t="n">
        <x:v>1162.478442204301</x:v>
      </x:c>
    </x:row>
    <x:row r="745" ht="65" customHeight="1">
      <x:c r="A745" s="61" t="n">
        <x:v>46143</x:v>
      </x:c>
      <x:c r="B745" s="32" t="str">
        <x:v>Madera y papel</x:v>
      </x:c>
      <x:c r="C745" s="32" t="str">
        <x:v>Industrias sin Aluar</x:v>
      </x:c>
      <x:c r="D745" s="62" t="n">
        <x:v>31</x:v>
      </x:c>
      <x:c r="E745" s="2" t="str">
        <x:v>Completo</x:v>
      </x:c>
      <x:c r="F745" s="56" t="n">
        <x:v>105.15008198924731</x:v>
      </x:c>
      <x:c r="G745" s="56" t="n">
        <x:f>F577</x:f>
        <x:v>102.44226612903226</x:v>
      </x:c>
      <x:c r="H745" s="57" t="n">
        <x:f>IF(ISNUMBER(G745),IF(G745=0,"n.a.",F745/G745-1),"n.a.")</x:f>
        <x:v>0.026432604066024767</x:v>
      </x:c>
      <x:c r="I745" s="58" t="n">
        <x:f>F745/J745</x:f>
        <x:v>0.09045336082952289</x:v>
      </x:c>
      <x:c r="J745" s="56" t="n">
        <x:v>1162.478442204301</x:v>
      </x:c>
    </x:row>
    <x:row r="746" ht="65" customHeight="1">
      <x:c r="A746" s="61" t="n">
        <x:v>46143</x:v>
      </x:c>
      <x:c r="B746" s="32" t="str">
        <x:v>Productos metálicos no automotores</x:v>
      </x:c>
      <x:c r="C746" s="32" t="str">
        <x:v>Industrias sin Aluar</x:v>
      </x:c>
      <x:c r="D746" s="62" t="n">
        <x:v>31</x:v>
      </x:c>
      <x:c r="E746" s="2" t="str">
        <x:v>Completo</x:v>
      </x:c>
      <x:c r="F746" s="56" t="n">
        <x:v>39.53677688172043</x:v>
      </x:c>
      <x:c r="G746" s="56" t="n">
        <x:f>F578</x:f>
        <x:v>30.53157258064516</x:v>
      </x:c>
      <x:c r="H746" s="57" t="n">
        <x:f>IF(ISNUMBER(G746),IF(G746=0,"n.a.",F746/G746-1),"n.a.")</x:f>
        <x:v>0.2949472804680857</x:v>
      </x:c>
      <x:c r="I746" s="58" t="n">
        <x:f>F746/J746</x:f>
        <x:v>0.03401076135807772</x:v>
      </x:c>
      <x:c r="J746" s="56" t="n">
        <x:v>1162.478442204301</x:v>
      </x:c>
    </x:row>
    <x:row r="747" ht="65" customHeight="1">
      <x:c r="A747" s="61" t="n">
        <x:v>46143</x:v>
      </x:c>
      <x:c r="B747" s="32" t="str">
        <x:v>Gran siderurgia</x:v>
      </x:c>
      <x:c r="C747" s="32" t="str">
        <x:v>Industrias sin Aluar</x:v>
      </x:c>
      <x:c r="D747" s="62" t="n">
        <x:v>31</x:v>
      </x:c>
      <x:c r="E747" s="2" t="str">
        <x:v>Completo</x:v>
      </x:c>
      <x:c r="F747" s="56" t="n">
        <x:v>318.2533346774194</x:v>
      </x:c>
      <x:c r="G747" s="56" t="n">
        <x:f>F579</x:f>
        <x:v>287.72241935483873</x:v>
      </x:c>
      <x:c r="H747" s="57" t="n">
        <x:f>IF(ISNUMBER(G747),IF(G747=0,"n.a.",F747/G747-1),"n.a.")</x:f>
        <x:v>0.10611239607619138</x:v>
      </x:c>
      <x:c r="I747" s="58" t="n">
        <x:f>F747/J747</x:f>
        <x:v>0.2737713863097064</x:v>
      </x:c>
      <x:c r="J747" s="56" t="n">
        <x:v>1162.478442204301</x:v>
      </x:c>
    </x:row>
    <x:row r="748" ht="65" customHeight="1">
      <x:c r="A748" s="61" t="n">
        <x:v>46143</x:v>
      </x:c>
      <x:c r="B748" s="32" t="str">
        <x:v>Industria textil</x:v>
      </x:c>
      <x:c r="C748" s="32" t="str">
        <x:v>Industrias sin Aluar</x:v>
      </x:c>
      <x:c r="D748" s="62" t="n">
        <x:v>31</x:v>
      </x:c>
      <x:c r="E748" s="2" t="str">
        <x:v>Completo</x:v>
      </x:c>
      <x:c r="F748" s="56" t="n">
        <x:v>38.682069892473116</x:v>
      </x:c>
      <x:c r="G748" s="56" t="n">
        <x:f>F580</x:f>
        <x:v>55.273020161290326</x:v>
      </x:c>
      <x:c r="H748" s="57" t="n">
        <x:f>IF(ISNUMBER(G748),IF(G748=0,"n.a.",F748/G748-1),"n.a.")</x:f>
        <x:v>-0.3001636281209842</x:v>
      </x:c>
      <x:c r="I748" s="58" t="n">
        <x:f>F748/J748</x:f>
        <x:v>0.0332755159047284</x:v>
      </x:c>
      <x:c r="J748" s="56" t="n">
        <x:v>1162.478442204301</x:v>
      </x:c>
    </x:row>
    <x:row r="749" ht="65" customHeight="1">
      <x:c r="A749" s="61" t="n">
        <x:v>46143</x:v>
      </x:c>
      <x:c r="B749" s="32" t="str">
        <x:v>Químicas, caucho, plástico y otros minerales no metálicos</x:v>
      </x:c>
      <x:c r="C749" s="32" t="str">
        <x:v>Industrias sin Aluar</x:v>
      </x:c>
      <x:c r="D749" s="62" t="n">
        <x:v>31</x:v>
      </x:c>
      <x:c r="E749" s="2" t="str">
        <x:v>Completo</x:v>
      </x:c>
      <x:c r="F749" s="56" t="n">
        <x:v>357.275314516129</x:v>
      </x:c>
      <x:c r="G749" s="56" t="n">
        <x:f>F581</x:f>
        <x:v>332.53623790322575</x:v>
      </x:c>
      <x:c r="H749" s="57" t="n">
        <x:f>IF(ISNUMBER(G749),IF(G749=0,"n.a.",F749/G749-1),"n.a.")</x:f>
        <x:v>0.07439512989288932</x:v>
      </x:c>
      <x:c r="I749" s="58" t="n">
        <x:f>F749/J749</x:f>
        <x:v>0.30733930328949643</x:v>
      </x:c>
      <x:c r="J749" s="56" t="n">
        <x:v>1162.478442204301</x:v>
      </x:c>
    </x:row>
    <x:row r="750" ht="65" customHeight="1">
      <x:c r="A750" s="61" t="n">
        <x:v>46143</x:v>
      </x:c>
      <x:c r="B750" s="32" t="str">
        <x:v>Extracción de minerales</x:v>
      </x:c>
      <x:c r="C750" s="32" t="str">
        <x:v>Petróleos y minerales</x:v>
      </x:c>
      <x:c r="D750" s="62" t="n">
        <x:v>31</x:v>
      </x:c>
      <x:c r="E750" s="2" t="str">
        <x:v>Completo</x:v>
      </x:c>
      <x:c r="F750" s="56" t="n">
        <x:v>37.073040322580646</x:v>
      </x:c>
      <x:c r="G750" s="56" t="n">
        <x:f>F582</x:f>
        <x:v>24.52288306451613</x:v>
      </x:c>
      <x:c r="H750" s="57" t="n">
        <x:f>IF(ISNUMBER(G750),IF(G750=0,"n.a.",F750/G750-1),"n.a.")</x:f>
        <x:v>0.5117733190280638</x:v>
      </x:c>
      <x:c r="I750" s="58" t="n">
        <x:f>F750/J750</x:f>
        <x:v>0.1965098930625259</x:v>
      </x:c>
      <x:c r="J750" s="56" t="n">
        <x:v>188.65737365591397</x:v>
      </x:c>
    </x:row>
    <x:row r="751" ht="65" customHeight="1">
      <x:c r="A751" s="61" t="n">
        <x:v>46143</x:v>
      </x:c>
      <x:c r="B751" s="32" t="str">
        <x:v>Extracción de petróleo</x:v>
      </x:c>
      <x:c r="C751" s="32" t="str">
        <x:v>Petróleos y minerales</x:v>
      </x:c>
      <x:c r="D751" s="62" t="n">
        <x:v>31</x:v>
      </x:c>
      <x:c r="E751" s="2" t="str">
        <x:v>Completo</x:v>
      </x:c>
      <x:c r="F751" s="56" t="n">
        <x:v>151.58433333333332</x:v>
      </x:c>
      <x:c r="G751" s="56" t="n">
        <x:f>F583</x:f>
        <x:v>155.61768279569893</x:v>
      </x:c>
      <x:c r="H751" s="57" t="n">
        <x:f>IF(ISNUMBER(G751),IF(G751=0,"n.a.",F751/G751-1),"n.a.")</x:f>
        <x:v>-0.025918323611467398</x:v>
      </x:c>
      <x:c r="I751" s="58" t="n">
        <x:f>F751/J751</x:f>
        <x:v>0.803490106937474</x:v>
      </x:c>
      <x:c r="J751" s="56" t="n">
        <x:v>188.65737365591397</x:v>
      </x:c>
    </x:row>
    <x:row r="752" ht="65" customHeight="1">
      <x:c r="A752" s="61" t="n">
        <x:v>46174</x:v>
      </x:c>
      <x:c r="B752" s="32" t="str">
        <x:v>Cargas y puertos</x:v>
      </x:c>
      <x:c r="C752" s="32" t="str">
        <x:v>Alimentación, comercios y servicios</x:v>
      </x:c>
      <x:c r="D752" s="62" t="n">
        <x:v>30</x:v>
      </x:c>
      <x:c r="E752" s="2" t="str">
        <x:v>Completo</x:v>
      </x:c>
      <x:c r="F752" s="56" t="n">
        <x:v>9.483913888888887</x:v>
      </x:c>
      <x:c r="G752" s="56" t="n">
        <x:f>F584</x:f>
        <x:v>9.643102777777779</x:v>
      </x:c>
      <x:c r="H752" s="57" t="n">
        <x:f>IF(ISNUMBER(G752),IF(G752=0,"n.a.",F752/G752-1),"n.a.")</x:f>
        <x:v>-0.016508056852379216</x:v>
      </x:c>
      <x:c r="I752" s="58" t="n">
        <x:f>F752/J752</x:f>
        <x:v>0.02062204630222473</x:v>
      </x:c>
      <x:c r="J752" s="56" t="n">
        <x:v>459.8919888888889</x:v>
      </x:c>
    </x:row>
    <x:row r="753" ht="65" customHeight="1">
      <x:c r="A753" s="61" t="n">
        <x:v>46174</x:v>
      </x:c>
      <x:c r="B753" s="32" t="str">
        <x:v>Comercio y servicios: principalmente supermercados y centros comerciales</x:v>
      </x:c>
      <x:c r="C753" s="32" t="str">
        <x:v>Alimentación, comercios y servicios</x:v>
      </x:c>
      <x:c r="D753" s="62" t="n">
        <x:v>30</x:v>
      </x:c>
      <x:c r="E753" s="2" t="str">
        <x:v>Completo</x:v>
      </x:c>
      <x:c r="F753" s="56" t="n">
        <x:v>49.477943055555556</x:v>
      </x:c>
      <x:c r="G753" s="56" t="n">
        <x:f>F585</x:f>
        <x:v>44.043680555555554</x:v>
      </x:c>
      <x:c r="H753" s="57" t="n">
        <x:f>IF(ISNUMBER(G753),IF(G753=0,"n.a.",F753/G753-1),"n.a.")</x:f>
        <x:v>0.12338347820739837</x:v>
      </x:c>
      <x:c r="I753" s="58" t="n">
        <x:f>F753/J753</x:f>
        <x:v>0.10758600769518853</x:v>
      </x:c>
      <x:c r="J753" s="56" t="n">
        <x:v>459.8919888888889</x:v>
      </x:c>
    </x:row>
    <x:row r="754" ht="65" customHeight="1">
      <x:c r="A754" s="61" t="n">
        <x:v>46174</x:v>
      </x:c>
      <x:c r="B754" s="32" t="str">
        <x:v>Alimentación y artículos de consumo masivo</x:v>
      </x:c>
      <x:c r="C754" s="32" t="str">
        <x:v>Alimentación, comercios y servicios</x:v>
      </x:c>
      <x:c r="D754" s="62" t="n">
        <x:v>30</x:v>
      </x:c>
      <x:c r="E754" s="2" t="str">
        <x:v>Completo</x:v>
      </x:c>
      <x:c r="F754" s="56" t="n">
        <x:v>330.7736902777778</x:v>
      </x:c>
      <x:c r="G754" s="56" t="n">
        <x:f>F586</x:f>
        <x:v>279.086475</x:v>
      </x:c>
      <x:c r="H754" s="57" t="n">
        <x:f>IF(ISNUMBER(G754),IF(G754=0,"n.a.",F754/G754-1),"n.a.")</x:f>
        <x:v>0.18520143363370734</x:v>
      </x:c>
      <x:c r="I754" s="58" t="n">
        <x:f>F754/J754</x:f>
        <x:v>0.7192421226491371</x:v>
      </x:c>
      <x:c r="J754" s="56" t="n">
        <x:v>459.8919888888889</x:v>
      </x:c>
    </x:row>
    <x:row r="755" ht="65" customHeight="1">
      <x:c r="A755" s="61" t="n">
        <x:v>46174</x:v>
      </x:c>
      <x:c r="B755" s="32" t="str">
        <x:v>Servicios públicos y transporte: agua y transporte en GBA</x:v>
      </x:c>
      <x:c r="C755" s="32" t="str">
        <x:v>Alimentación, comercios y servicios</x:v>
      </x:c>
      <x:c r="D755" s="62" t="n">
        <x:v>30</x:v>
      </x:c>
      <x:c r="E755" s="2" t="str">
        <x:v>Completo</x:v>
      </x:c>
      <x:c r="F755" s="56" t="n">
        <x:v>70.15644166666668</x:v>
      </x:c>
      <x:c r="G755" s="56" t="n">
        <x:f>F587</x:f>
        <x:v>74.01151527777778</x:v>
      </x:c>
      <x:c r="H755" s="57" t="n">
        <x:f>IF(ISNUMBER(G755),IF(G755=0,"n.a.",F755/G755-1),"n.a.")</x:f>
        <x:v>-0.05208748390898832</x:v>
      </x:c>
      <x:c r="I755" s="58" t="n">
        <x:f>F755/J755</x:f>
        <x:v>0.15254982335344977</x:v>
      </x:c>
      <x:c r="J755" s="56" t="n">
        <x:v>459.8919888888889</x:v>
      </x:c>
    </x:row>
    <x:row r="756" ht="65" customHeight="1">
      <x:c r="A756" s="61" t="n">
        <x:v>46174</x:v>
      </x:c>
      <x:c r="B756" s="32" t="str">
        <x:v>Industria automotriz</x:v>
      </x:c>
      <x:c r="C756" s="32" t="str">
        <x:v>Industrias sin Aluar</x:v>
      </x:c>
      <x:c r="D756" s="62" t="n">
        <x:v>30</x:v>
      </x:c>
      <x:c r="E756" s="2" t="str">
        <x:v>Completo</x:v>
      </x:c>
      <x:c r="F756" s="56" t="n">
        <x:v>44.93822222222222</x:v>
      </x:c>
      <x:c r="G756" s="56" t="n">
        <x:f>F588</x:f>
        <x:v>42.16368333333333</x:v>
      </x:c>
      <x:c r="H756" s="57" t="n">
        <x:f>IF(ISNUMBER(G756),IF(G756=0,"n.a.",F756/G756-1),"n.a.")</x:f>
        <x:v>0.0658039969362787</x:v>
      </x:c>
      <x:c r="I756" s="58" t="n">
        <x:f>F756/J756</x:f>
        <x:v>0.039511325479011865</x:v>
      </x:c>
      <x:c r="J756" s="56" t="n">
        <x:v>1137.3504097222221</x:v>
      </x:c>
    </x:row>
    <x:row r="757" ht="65" customHeight="1">
      <x:c r="A757" s="61" t="n">
        <x:v>46174</x:v>
      </x:c>
      <x:c r="B757" s="32" t="str">
        <x:v>Derivados de petróleo</x:v>
      </x:c>
      <x:c r="C757" s="32" t="str">
        <x:v>Industrias sin Aluar</x:v>
      </x:c>
      <x:c r="D757" s="62" t="n">
        <x:v>30</x:v>
      </x:c>
      <x:c r="E757" s="2" t="str">
        <x:v>Completo</x:v>
      </x:c>
      <x:c r="F757" s="56" t="n">
        <x:v>154.25398611111112</x:v>
      </x:c>
      <x:c r="G757" s="56" t="n">
        <x:f>F589</x:f>
        <x:v>151.43318055555557</x:v>
      </x:c>
      <x:c r="H757" s="57" t="n">
        <x:f>IF(ISNUMBER(G757),IF(G757=0,"n.a.",F757/G757-1),"n.a.")</x:f>
        <x:v>0.018627394242179962</x:v>
      </x:c>
      <x:c r="I757" s="58" t="n">
        <x:f>F757/J757</x:f>
        <x:v>0.13562573573854425</x:v>
      </x:c>
      <x:c r="J757" s="56" t="n">
        <x:v>1137.3504097222221</x:v>
      </x:c>
    </x:row>
    <x:row r="758" ht="65" customHeight="1">
      <x:c r="A758" s="61" t="n">
        <x:v>46174</x:v>
      </x:c>
      <x:c r="B758" s="32" t="str">
        <x:v>Construcción: elaboración de cemento y canteras</x:v>
      </x:c>
      <x:c r="C758" s="32" t="str">
        <x:v>Industrias sin Aluar</x:v>
      </x:c>
      <x:c r="D758" s="62" t="n">
        <x:v>30</x:v>
      </x:c>
      <x:c r="E758" s="2" t="str">
        <x:v>Completo</x:v>
      </x:c>
      <x:c r="F758" s="56" t="n">
        <x:v>101.10380416666666</x:v>
      </x:c>
      <x:c r="G758" s="56" t="n">
        <x:f>F590</x:f>
        <x:v>111.61258055555555</x:v>
      </x:c>
      <x:c r="H758" s="57" t="n">
        <x:f>IF(ISNUMBER(G758),IF(G758=0,"n.a.",F758/G758-1),"n.a.")</x:f>
        <x:v>-0.0941540490917877</x:v>
      </x:c>
      <x:c r="I758" s="58" t="n">
        <x:f>F758/J758</x:f>
        <x:v>0.0888941554884211</x:v>
      </x:c>
      <x:c r="J758" s="56" t="n">
        <x:v>1137.3504097222221</x:v>
      </x:c>
    </x:row>
    <x:row r="759" ht="65" customHeight="1">
      <x:c r="A759" s="61" t="n">
        <x:v>46174</x:v>
      </x:c>
      <x:c r="B759" s="32" t="str">
        <x:v>Madera y papel</x:v>
      </x:c>
      <x:c r="C759" s="32" t="str">
        <x:v>Industrias sin Aluar</x:v>
      </x:c>
      <x:c r="D759" s="62" t="n">
        <x:v>30</x:v>
      </x:c>
      <x:c r="E759" s="2" t="str">
        <x:v>Completo</x:v>
      </x:c>
      <x:c r="F759" s="56" t="n">
        <x:v>107.18345416666668</x:v>
      </x:c>
      <x:c r="G759" s="56" t="n">
        <x:f>F591</x:f>
        <x:v>100.88241666666666</x:v>
      </x:c>
      <x:c r="H759" s="57" t="n">
        <x:f>IF(ISNUMBER(G759),IF(G759=0,"n.a.",F759/G759-1),"n.a.")</x:f>
        <x:v>0.06245922439407625</x:v>
      </x:c>
      <x:c r="I759" s="58" t="n">
        <x:f>F759/J759</x:f>
        <x:v>0.09423960571029676</x:v>
      </x:c>
      <x:c r="J759" s="56" t="n">
        <x:v>1137.3504097222221</x:v>
      </x:c>
    </x:row>
    <x:row r="760" ht="65" customHeight="1">
      <x:c r="A760" s="61" t="n">
        <x:v>46174</x:v>
      </x:c>
      <x:c r="B760" s="32" t="str">
        <x:v>Productos metálicos no automotores</x:v>
      </x:c>
      <x:c r="C760" s="32" t="str">
        <x:v>Industrias sin Aluar</x:v>
      </x:c>
      <x:c r="D760" s="62" t="n">
        <x:v>30</x:v>
      </x:c>
      <x:c r="E760" s="2" t="str">
        <x:v>Completo</x:v>
      </x:c>
      <x:c r="F760" s="56" t="n">
        <x:v>40.7641</x:v>
      </x:c>
      <x:c r="G760" s="56" t="n">
        <x:f>F592</x:f>
        <x:v>38.19257777777777</x:v>
      </x:c>
      <x:c r="H760" s="57" t="n">
        <x:f>IF(ISNUMBER(G760),IF(G760=0,"n.a.",F760/G760-1),"n.a.")</x:f>
        <x:v>0.06733041789387828</x:v>
      </x:c>
      <x:c r="I760" s="58" t="n">
        <x:f>F760/J760</x:f>
        <x:v>0.03584128484198279</x:v>
      </x:c>
      <x:c r="J760" s="56" t="n">
        <x:v>1137.3504097222221</x:v>
      </x:c>
    </x:row>
    <x:row r="761" ht="65" customHeight="1">
      <x:c r="A761" s="61" t="n">
        <x:v>46174</x:v>
      </x:c>
      <x:c r="B761" s="32" t="str">
        <x:v>Gran siderurgia</x:v>
      </x:c>
      <x:c r="C761" s="32" t="str">
        <x:v>Industrias sin Aluar</x:v>
      </x:c>
      <x:c r="D761" s="62" t="n">
        <x:v>30</x:v>
      </x:c>
      <x:c r="E761" s="2" t="str">
        <x:v>Completo</x:v>
      </x:c>
      <x:c r="F761" s="56" t="n">
        <x:v>293.9984777777778</x:v>
      </x:c>
      <x:c r="G761" s="56" t="n">
        <x:f>F593</x:f>
        <x:v>266.9037902777778</x:v>
      </x:c>
      <x:c r="H761" s="57" t="n">
        <x:f>IF(ISNUMBER(G761),IF(G761=0,"n.a.",F761/G761-1),"n.a.")</x:f>
        <x:v>0.10151480978146266</x:v>
      </x:c>
      <x:c r="I761" s="58" t="n">
        <x:f>F761/J761</x:f>
        <x:v>0.25849419428228965</x:v>
      </x:c>
      <x:c r="J761" s="56" t="n">
        <x:v>1137.3504097222221</x:v>
      </x:c>
    </x:row>
    <x:row r="762" ht="65" customHeight="1">
      <x:c r="A762" s="61" t="n">
        <x:v>46174</x:v>
      </x:c>
      <x:c r="B762" s="32" t="str">
        <x:v>Industria textil</x:v>
      </x:c>
      <x:c r="C762" s="32" t="str">
        <x:v>Industrias sin Aluar</x:v>
      </x:c>
      <x:c r="D762" s="62" t="n">
        <x:v>30</x:v>
      </x:c>
      <x:c r="E762" s="2" t="str">
        <x:v>Completo</x:v>
      </x:c>
      <x:c r="F762" s="56" t="n">
        <x:v>40.55865138888889</x:v>
      </x:c>
      <x:c r="G762" s="56" t="n">
        <x:f>F594</x:f>
        <x:v>53.01022777777778</x:v>
      </x:c>
      <x:c r="H762" s="57" t="n">
        <x:f>IF(ISNUMBER(G762),IF(G762=0,"n.a.",F762/G762-1),"n.a.")</x:f>
        <x:v>-0.23489007519618066</x:v>
      </x:c>
      <x:c r="I762" s="58" t="n">
        <x:f>F762/J762</x:f>
        <x:v>0.035660646923048656</x:v>
      </x:c>
      <x:c r="J762" s="56" t="n">
        <x:v>1137.3504097222221</x:v>
      </x:c>
    </x:row>
    <x:row r="763" ht="65" customHeight="1">
      <x:c r="A763" s="61" t="n">
        <x:v>46174</x:v>
      </x:c>
      <x:c r="B763" s="32" t="str">
        <x:v>Químicas, caucho, plástico y otros minerales no metálicos</x:v>
      </x:c>
      <x:c r="C763" s="32" t="str">
        <x:v>Industrias sin Aluar</x:v>
      </x:c>
      <x:c r="D763" s="62" t="n">
        <x:v>30</x:v>
      </x:c>
      <x:c r="E763" s="2" t="str">
        <x:v>Completo</x:v>
      </x:c>
      <x:c r="F763" s="56" t="n">
        <x:v>354.5497138888889</x:v>
      </x:c>
      <x:c r="G763" s="56" t="n">
        <x:f>F595</x:f>
        <x:v>317.5846305555555</x:v>
      </x:c>
      <x:c r="H763" s="57" t="n">
        <x:f>IF(ISNUMBER(G763),IF(G763=0,"n.a.",F763/G763-1),"n.a.")</x:f>
        <x:v>0.11639443404005356</x:v>
      </x:c>
      <x:c r="I763" s="58" t="n">
        <x:f>F763/J763</x:f>
        <x:v>0.31173305153640507</x:v>
      </x:c>
      <x:c r="J763" s="56" t="n">
        <x:v>1137.3504097222221</x:v>
      </x:c>
    </x:row>
    <x:row r="764" ht="65" customHeight="1">
      <x:c r="A764" s="61" t="n">
        <x:v>46174</x:v>
      </x:c>
      <x:c r="B764" s="32" t="str">
        <x:v>Extracción de minerales</x:v>
      </x:c>
      <x:c r="C764" s="32" t="str">
        <x:v>Petróleos y minerales</x:v>
      </x:c>
      <x:c r="D764" s="62" t="n">
        <x:v>30</x:v>
      </x:c>
      <x:c r="E764" s="2" t="str">
        <x:v>Completo</x:v>
      </x:c>
      <x:c r="F764" s="56" t="n">
        <x:v>35.924308333333336</x:v>
      </x:c>
      <x:c r="G764" s="56" t="n">
        <x:f>F596</x:f>
        <x:v>25.42856388888889</x:v>
      </x:c>
      <x:c r="H764" s="57" t="n">
        <x:f>IF(ISNUMBER(G764),IF(G764=0,"n.a.",F764/G764-1),"n.a.")</x:f>
        <x:v>0.41275411738964163</x:v>
      </x:c>
      <x:c r="I764" s="58" t="n">
        <x:f>F764/J764</x:f>
        <x:v>0.18583118625185424</x:v>
      </x:c>
      <x:c r="J764" s="56" t="n">
        <x:v>193.3168972222222</x:v>
      </x:c>
    </x:row>
    <x:row r="765" ht="65" customHeight="1">
      <x:c r="A765" s="61" t="n">
        <x:v>46174</x:v>
      </x:c>
      <x:c r="B765" s="32" t="str">
        <x:v>Extracción de petróleo</x:v>
      </x:c>
      <x:c r="C765" s="32" t="str">
        <x:v>Petróleos y minerales</x:v>
      </x:c>
      <x:c r="D765" s="62" t="n">
        <x:v>30</x:v>
      </x:c>
      <x:c r="E765" s="2" t="str">
        <x:v>Completo</x:v>
      </x:c>
      <x:c r="F765" s="56" t="n">
        <x:v>157.3925888888889</x:v>
      </x:c>
      <x:c r="G765" s="56" t="n">
        <x:f>F597</x:f>
        <x:v>151.82418888888887</x:v>
      </x:c>
      <x:c r="H765" s="57" t="n">
        <x:f>IF(ISNUMBER(G765),IF(G765=0,"n.a.",F765/G765-1),"n.a.")</x:f>
        <x:v>0.03667663262851484</x:v>
      </x:c>
      <x:c r="I765" s="58" t="n">
        <x:f>F765/J765</x:f>
        <x:v>0.814168813748146</x:v>
      </x:c>
      <x:c r="J765" s="56" t="n">
        <x:v>193.3168972222222</x:v>
      </x:c>
    </x:row>
    <x:row r="766" ht="65" customHeight="1">
      <x:c r="A766" s="61" t="n">
        <x:v>46204</x:v>
      </x:c>
      <x:c r="B766" s="32" t="str">
        <x:v>Cargas y puertos</x:v>
      </x:c>
      <x:c r="C766" s="32" t="str">
        <x:v>Alimentación, comercios y servicios</x:v>
      </x:c>
      <x:c r="D766" s="62" t="n">
        <x:v>31</x:v>
      </x:c>
      <x:c r="E766" s="2" t="str">
        <x:v>Completo</x:v>
      </x:c>
      <x:c r="F766" s="56" t="n">
        <x:v>9.82797311827957</x:v>
      </x:c>
      <x:c r="G766" s="56" t="n">
        <x:f>F598</x:f>
        <x:v>9.712587365591398</x:v>
      </x:c>
      <x:c r="H766" s="57" t="n">
        <x:f>IF(ISNUMBER(G766),IF(G766=0,"n.a.",F766/G766-1),"n.a.")</x:f>
        <x:v>0.011880022114081124</x:v>
      </x:c>
      <x:c r="I766" s="58" t="n">
        <x:f>F766/J766</x:f>
        <x:v>0.021275306279891854</x:v>
      </x:c>
      <x:c r="J766" s="56" t="n">
        <x:v>461.94273252688174</x:v>
      </x:c>
    </x:row>
    <x:row r="767" ht="65" customHeight="1">
      <x:c r="A767" s="61" t="n">
        <x:v>46204</x:v>
      </x:c>
      <x:c r="B767" s="32" t="str">
        <x:v>Comercio y servicios: principalmente supermercados y centros comerciales</x:v>
      </x:c>
      <x:c r="C767" s="32" t="str">
        <x:v>Alimentación, comercios y servicios</x:v>
      </x:c>
      <x:c r="D767" s="62" t="n">
        <x:v>31</x:v>
      </x:c>
      <x:c r="E767" s="2" t="str">
        <x:v>Completo</x:v>
      </x:c>
      <x:c r="F767" s="56" t="n">
        <x:v>50.19701344086022</x:v>
      </x:c>
      <x:c r="G767" s="56" t="n">
        <x:f>F599</x:f>
        <x:v>43.9786935483871</x:v>
      </x:c>
      <x:c r="H767" s="57" t="n">
        <x:f>IF(ISNUMBER(G767),IF(G767=0,"n.a.",F767/G767-1),"n.a.")</x:f>
        <x:v>0.14139392034534803</x:v>
      </x:c>
      <x:c r="I767" s="58" t="n">
        <x:f>F767/J767</x:f>
        <x:v>0.10866501387796833</x:v>
      </x:c>
      <x:c r="J767" s="56" t="n">
        <x:v>461.94273252688174</x:v>
      </x:c>
    </x:row>
    <x:row r="768" ht="65" customHeight="1">
      <x:c r="A768" s="61" t="n">
        <x:v>46204</x:v>
      </x:c>
      <x:c r="B768" s="32" t="str">
        <x:v>Alimentación y artículos de consumo masivo</x:v>
      </x:c>
      <x:c r="C768" s="32" t="str">
        <x:v>Alimentación, comercios y servicios</x:v>
      </x:c>
      <x:c r="D768" s="62" t="n">
        <x:v>31</x:v>
      </x:c>
      <x:c r="E768" s="2" t="str">
        <x:v>Completo</x:v>
      </x:c>
      <x:c r="F768" s="56" t="n">
        <x:v>332.2968857526882</x:v>
      </x:c>
      <x:c r="G768" s="56" t="n">
        <x:f>F600</x:f>
        <x:v>288.0569758064516</x:v>
      </x:c>
      <x:c r="H768" s="57" t="n">
        <x:f>IF(ISNUMBER(G768),IF(G768=0,"n.a.",F768/G768-1),"n.a.")</x:f>
        <x:v>0.15358041520217114</x:v>
      </x:c>
      <x:c r="I768" s="58" t="n">
        <x:f>F768/J768</x:f>
        <x:v>0.7193464954735507</x:v>
      </x:c>
      <x:c r="J768" s="56" t="n">
        <x:v>461.94273252688174</x:v>
      </x:c>
    </x:row>
    <x:row r="769" ht="65" customHeight="1">
      <x:c r="A769" s="61" t="n">
        <x:v>46204</x:v>
      </x:c>
      <x:c r="B769" s="32" t="str">
        <x:v>Servicios públicos y transporte: agua y transporte en GBA</x:v>
      </x:c>
      <x:c r="C769" s="32" t="str">
        <x:v>Alimentación, comercios y servicios</x:v>
      </x:c>
      <x:c r="D769" s="62" t="n">
        <x:v>31</x:v>
      </x:c>
      <x:c r="E769" s="2" t="str">
        <x:v>Completo</x:v>
      </x:c>
      <x:c r="F769" s="56" t="n">
        <x:v>69.62086021505375</x:v>
      </x:c>
      <x:c r="G769" s="56" t="n">
        <x:f>F601</x:f>
        <x:v>73.52754032258065</x:v>
      </x:c>
      <x:c r="H769" s="57" t="n">
        <x:f>IF(ISNUMBER(G769),IF(G769=0,"n.a.",F769/G769-1),"n.a.")</x:f>
        <x:v>-0.0531322017625977</x:v>
      </x:c>
      <x:c r="I769" s="58" t="n">
        <x:f>F769/J769</x:f>
        <x:v>0.15071318436858908</x:v>
      </x:c>
      <x:c r="J769" s="56" t="n">
        <x:v>461.94273252688174</x:v>
      </x:c>
    </x:row>
    <x:row r="770" ht="65" customHeight="1">
      <x:c r="A770" s="61" t="n">
        <x:v>46204</x:v>
      </x:c>
      <x:c r="B770" s="32" t="str">
        <x:v>Industria automotriz</x:v>
      </x:c>
      <x:c r="C770" s="32" t="str">
        <x:v>Industrias sin Aluar</x:v>
      </x:c>
      <x:c r="D770" s="62" t="n">
        <x:v>31</x:v>
      </x:c>
      <x:c r="E770" s="2" t="str">
        <x:v>Completo</x:v>
      </x:c>
      <x:c r="F770" s="56" t="n">
        <x:v>43.14829301075269</x:v>
      </x:c>
      <x:c r="G770" s="56" t="n">
        <x:f>F602</x:f>
        <x:v>38.95674059139785</x:v>
      </x:c>
      <x:c r="H770" s="57" t="n">
        <x:f>IF(ISNUMBER(G770),IF(G770=0,"n.a.",F770/G770-1),"n.a.")</x:f>
        <x:v>0.10759504916795803</x:v>
      </x:c>
      <x:c r="I770" s="58" t="n">
        <x:f>F770/J770</x:f>
        <x:v>0.03938638266122125</x:v>
      </x:c>
      <x:c r="J770" s="56" t="n">
        <x:v>1095.5129690860215</x:v>
      </x:c>
    </x:row>
    <x:row r="771" ht="65" customHeight="1">
      <x:c r="A771" s="61" t="n">
        <x:v>46204</x:v>
      </x:c>
      <x:c r="B771" s="32" t="str">
        <x:v>Derivados de petróleo</x:v>
      </x:c>
      <x:c r="C771" s="32" t="str">
        <x:v>Industrias sin Aluar</x:v>
      </x:c>
      <x:c r="D771" s="62" t="n">
        <x:v>31</x:v>
      </x:c>
      <x:c r="E771" s="2" t="str">
        <x:v>Completo</x:v>
      </x:c>
      <x:c r="F771" s="56" t="n">
        <x:v>157.7597620967742</x:v>
      </x:c>
      <x:c r="G771" s="56" t="n">
        <x:f>F603</x:f>
        <x:v>173.21219220430106</x:v>
      </x:c>
      <x:c r="H771" s="57" t="n">
        <x:f>IF(ISNUMBER(G771),IF(G771=0,"n.a.",F771/G771-1),"n.a.")</x:f>
        <x:v>-0.08921098400106242</x:v>
      </x:c>
      <x:c r="I771" s="58" t="n">
        <x:f>F771/J771</x:f>
        <x:v>0.14400538062857626</x:v>
      </x:c>
      <x:c r="J771" s="56" t="n">
        <x:v>1095.5129690860215</x:v>
      </x:c>
    </x:row>
    <x:row r="772" ht="65" customHeight="1">
      <x:c r="A772" s="61" t="n">
        <x:v>46204</x:v>
      </x:c>
      <x:c r="B772" s="32" t="str">
        <x:v>Construcción: elaboración de cemento y canteras</x:v>
      </x:c>
      <x:c r="C772" s="32" t="str">
        <x:v>Industrias sin Aluar</x:v>
      </x:c>
      <x:c r="D772" s="62" t="n">
        <x:v>31</x:v>
      </x:c>
      <x:c r="E772" s="2" t="str">
        <x:v>Completo</x:v>
      </x:c>
      <x:c r="F772" s="56" t="n">
        <x:v>102.73809677419355</x:v>
      </x:c>
      <x:c r="G772" s="56" t="n">
        <x:f>F604</x:f>
        <x:v>122.29569086021505</x:v>
      </x:c>
      <x:c r="H772" s="57" t="n">
        <x:f>IF(ISNUMBER(G772),IF(G772=0,"n.a.",F772/G772-1),"n.a.")</x:f>
        <x:v>-0.1599205495177748</x:v>
      </x:c>
      <x:c r="I772" s="58" t="n">
        <x:f>F772/J772</x:f>
        <x:v>0.09378081289161479</x:v>
      </x:c>
      <x:c r="J772" s="56" t="n">
        <x:v>1095.5129690860215</x:v>
      </x:c>
    </x:row>
    <x:row r="773" ht="65" customHeight="1">
      <x:c r="A773" s="61" t="n">
        <x:v>46204</x:v>
      </x:c>
      <x:c r="B773" s="32" t="str">
        <x:v>Madera y papel</x:v>
      </x:c>
      <x:c r="C773" s="32" t="str">
        <x:v>Industrias sin Aluar</x:v>
      </x:c>
      <x:c r="D773" s="62" t="n">
        <x:v>31</x:v>
      </x:c>
      <x:c r="E773" s="2" t="str">
        <x:v>Completo</x:v>
      </x:c>
      <x:c r="F773" s="56" t="n">
        <x:v>103.40906989247313</x:v>
      </x:c>
      <x:c r="G773" s="56" t="n">
        <x:f>F605</x:f>
        <x:v>99.60840456989249</x:v>
      </x:c>
      <x:c r="H773" s="57" t="n">
        <x:f>IF(ISNUMBER(G773),IF(G773=0,"n.a.",F773/G773-1),"n.a.")</x:f>
        <x:v>0.0381560706547992</x:v>
      </x:c>
      <x:c r="I773" s="58" t="n">
        <x:f>F773/J773</x:f>
        <x:v>0.09439328680768294</x:v>
      </x:c>
      <x:c r="J773" s="56" t="n">
        <x:v>1095.5129690860215</x:v>
      </x:c>
    </x:row>
    <x:row r="774" ht="65" customHeight="1">
      <x:c r="A774" s="61" t="n">
        <x:v>46204</x:v>
      </x:c>
      <x:c r="B774" s="32" t="str">
        <x:v>Productos metálicos no automotores</x:v>
      </x:c>
      <x:c r="C774" s="32" t="str">
        <x:v>Industrias sin Aluar</x:v>
      </x:c>
      <x:c r="D774" s="62" t="n">
        <x:v>31</x:v>
      </x:c>
      <x:c r="E774" s="2" t="str">
        <x:v>Completo</x:v>
      </x:c>
      <x:c r="F774" s="56" t="n">
        <x:v>24.68722311827957</x:v>
      </x:c>
      <x:c r="G774" s="56" t="n">
        <x:f>F606</x:f>
        <x:v>43.541455645161285</x:v>
      </x:c>
      <x:c r="H774" s="57" t="n">
        <x:f>IF(ISNUMBER(G774),IF(G774=0,"n.a.",F774/G774-1),"n.a.")</x:f>
        <x:v>-0.4330179652360099</x:v>
      </x:c>
      <x:c r="I774" s="58" t="n">
        <x:f>F774/J774</x:f>
        <x:v>0.022534852452614905</x:v>
      </x:c>
      <x:c r="J774" s="56" t="n">
        <x:v>1095.5129690860215</x:v>
      </x:c>
    </x:row>
    <x:row r="775" ht="65" customHeight="1">
      <x:c r="A775" s="61" t="n">
        <x:v>46204</x:v>
      </x:c>
      <x:c r="B775" s="32" t="str">
        <x:v>Gran siderurgia</x:v>
      </x:c>
      <x:c r="C775" s="32" t="str">
        <x:v>Industrias sin Aluar</x:v>
      </x:c>
      <x:c r="D775" s="62" t="n">
        <x:v>31</x:v>
      </x:c>
      <x:c r="E775" s="2" t="str">
        <x:v>Completo</x:v>
      </x:c>
      <x:c r="F775" s="56" t="n">
        <x:v>287.02912499999996</x:v>
      </x:c>
      <x:c r="G775" s="56" t="n">
        <x:f>F607</x:f>
        <x:v>261.25713440860216</x:v>
      </x:c>
      <x:c r="H775" s="57" t="n">
        <x:f>IF(ISNUMBER(G775),IF(G775=0,"n.a.",F775/G775-1),"n.a.")</x:f>
        <x:v>0.0986460739138737</x:v>
      </x:c>
      <x:c r="I775" s="58" t="n">
        <x:f>F775/J775</x:f>
        <x:v>0.2620043149644009</x:v>
      </x:c>
      <x:c r="J775" s="56" t="n">
        <x:v>1095.5129690860215</x:v>
      </x:c>
    </x:row>
    <x:row r="776" ht="65" customHeight="1">
      <x:c r="A776" s="61" t="n">
        <x:v>46204</x:v>
      </x:c>
      <x:c r="B776" s="32" t="str">
        <x:v>Industria textil</x:v>
      </x:c>
      <x:c r="C776" s="32" t="str">
        <x:v>Industrias sin Aluar</x:v>
      </x:c>
      <x:c r="D776" s="62" t="n">
        <x:v>31</x:v>
      </x:c>
      <x:c r="E776" s="2" t="str">
        <x:v>Completo</x:v>
      </x:c>
      <x:c r="F776" s="56" t="n">
        <x:v>41.2665685483871</x:v>
      </x:c>
      <x:c r="G776" s="56" t="n">
        <x:f>F608</x:f>
        <x:v>49.99107795698925</x:v>
      </x:c>
      <x:c r="H776" s="57" t="n">
        <x:f>IF(ISNUMBER(G776),IF(G776=0,"n.a.",F776/G776-1),"n.a.")</x:f>
        <x:v>-0.17452132990827773</x:v>
      </x:c>
      <x:c r="I776" s="58" t="n">
        <x:f>F776/J776</x:f>
        <x:v>0.03766871749844778</x:v>
      </x:c>
      <x:c r="J776" s="56" t="n">
        <x:v>1095.5129690860215</x:v>
      </x:c>
    </x:row>
    <x:row r="777" ht="65" customHeight="1">
      <x:c r="A777" s="61" t="n">
        <x:v>46204</x:v>
      </x:c>
      <x:c r="B777" s="32" t="str">
        <x:v>Químicas, caucho, plástico y otros minerales no metálicos</x:v>
      </x:c>
      <x:c r="C777" s="32" t="str">
        <x:v>Industrias sin Aluar</x:v>
      </x:c>
      <x:c r="D777" s="62" t="n">
        <x:v>31</x:v>
      </x:c>
      <x:c r="E777" s="2" t="str">
        <x:v>Completo</x:v>
      </x:c>
      <x:c r="F777" s="56" t="n">
        <x:v>335.4748306451613</x:v>
      </x:c>
      <x:c r="G777" s="56" t="n">
        <x:f>F609</x:f>
        <x:v>316.4524690860215</x:v>
      </x:c>
      <x:c r="H777" s="57" t="n">
        <x:f>IF(ISNUMBER(G777),IF(G777=0,"n.a.",F777/G777-1),"n.a.")</x:f>
        <x:v>0.06011127552292517</x:v>
      </x:c>
      <x:c r="I777" s="58" t="n">
        <x:f>F777/J777</x:f>
        <x:v>0.30622625209544124</x:v>
      </x:c>
      <x:c r="J777" s="56" t="n">
        <x:v>1095.5129690860215</x:v>
      </x:c>
    </x:row>
    <x:row r="778" ht="65" customHeight="1">
      <x:c r="A778" s="61" t="n">
        <x:v>46204</x:v>
      </x:c>
      <x:c r="B778" s="32" t="str">
        <x:v>Extracción de minerales</x:v>
      </x:c>
      <x:c r="C778" s="32" t="str">
        <x:v>Petróleos y minerales</x:v>
      </x:c>
      <x:c r="D778" s="62" t="n">
        <x:v>31</x:v>
      </x:c>
      <x:c r="E778" s="2" t="str">
        <x:v>Completo</x:v>
      </x:c>
      <x:c r="F778" s="56" t="n">
        <x:v>31.457631720430108</x:v>
      </x:c>
      <x:c r="G778" s="56" t="n">
        <x:f>F610</x:f>
        <x:v>25.554833333333335</x:v>
      </x:c>
      <x:c r="H778" s="57" t="n">
        <x:f>IF(ISNUMBER(G778),IF(G778=0,"n.a.",F778/G778-1),"n.a.")</x:f>
        <x:v>0.23098559517495465</x:v>
      </x:c>
      <x:c r="I778" s="58" t="n">
        <x:f>F778/J778</x:f>
        <x:v>0.16878274322130343</x:v>
      </x:c>
      <x:c r="J778" s="56" t="n">
        <x:v>186.3794314516129</x:v>
      </x:c>
    </x:row>
    <x:row r="779" ht="65" customHeight="1">
      <x:c r="A779" s="61" t="n">
        <x:v>46204</x:v>
      </x:c>
      <x:c r="B779" s="32" t="str">
        <x:v>Extracción de petróleo</x:v>
      </x:c>
      <x:c r="C779" s="32" t="str">
        <x:v>Petróleos y minerales</x:v>
      </x:c>
      <x:c r="D779" s="62" t="n">
        <x:v>31</x:v>
      </x:c>
      <x:c r="E779" s="2" t="str">
        <x:v>Completo</x:v>
      </x:c>
      <x:c r="F779" s="56" t="n">
        <x:v>154.9217997311828</x:v>
      </x:c>
      <x:c r="G779" s="56" t="n">
        <x:f>F611</x:f>
        <x:v>145.85157123655912</x:v>
      </x:c>
      <x:c r="H779" s="57" t="n">
        <x:f>IF(ISNUMBER(G779),IF(G779=0,"n.a.",F779/G779-1),"n.a.")</x:f>
        <x:v>0.06218807529959691</x:v>
      </x:c>
      <x:c r="I779" s="58" t="n">
        <x:f>F779/J779</x:f>
        <x:v>0.8312172567786966</x:v>
      </x:c>
      <x:c r="J779" s="56" t="n">
        <x:v>186.3794314516129</x:v>
      </x:c>
    </x:row>
    <x:row r="780" ht="65" customHeight="1">
      <x:c r="A780" s="61" t="n">
        <x:v>46235</x:v>
      </x:c>
      <x:c r="B780" s="32" t="str">
        <x:v>Cargas y puertos</x:v>
      </x:c>
      <x:c r="C780" s="32" t="str">
        <x:v>Alimentación, comercios y servicios</x:v>
      </x:c>
      <x:c r="D780" s="62" t="n">
        <x:v>31</x:v>
      </x:c>
      <x:c r="E780" s="2" t="str">
        <x:v>Completo</x:v>
      </x:c>
      <x:c r="F780" s="56" t="n">
        <x:v>9.595604838709678</x:v>
      </x:c>
      <x:c r="G780" s="56" t="n">
        <x:f>F612</x:f>
        <x:v>9.285111559139786</x:v>
      </x:c>
      <x:c r="H780" s="57" t="n">
        <x:f>IF(ISNUMBER(G780),IF(G780=0,"n.a.",F780/G780-1),"n.a.")</x:f>
        <x:v>0.03343990835137123</x:v>
      </x:c>
      <x:c r="I780" s="58" t="n">
        <x:f>F780/J780</x:f>
        <x:v>0.02082532294487866</x:v>
      </x:c>
      <x:c r="J780" s="56" t="n">
        <x:v>460.7661962365591</x:v>
      </x:c>
    </x:row>
    <x:row r="781" ht="65" customHeight="1">
      <x:c r="A781" s="61" t="n">
        <x:v>46235</x:v>
      </x:c>
      <x:c r="B781" s="32" t="str">
        <x:v>Comercio y servicios: principalmente supermercados y centros comerciales</x:v>
      </x:c>
      <x:c r="C781" s="32" t="str">
        <x:v>Alimentación, comercios y servicios</x:v>
      </x:c>
      <x:c r="D781" s="62" t="n">
        <x:v>31</x:v>
      </x:c>
      <x:c r="E781" s="2" t="str">
        <x:v>Completo</x:v>
      </x:c>
      <x:c r="F781" s="56" t="n">
        <x:v>50.93604704301075</x:v>
      </x:c>
      <x:c r="G781" s="56" t="n">
        <x:f>F613</x:f>
        <x:v>45.42779838709677</x:v>
      </x:c>
      <x:c r="H781" s="57" t="n">
        <x:f>IF(ISNUMBER(G781),IF(G781=0,"n.a.",F781/G781-1),"n.a.")</x:f>
        <x:v>0.12125281989185144</x:v>
      </x:c>
      <x:c r="I781" s="58" t="n">
        <x:f>F781/J781</x:f>
        <x:v>0.11054640609282022</x:v>
      </x:c>
      <x:c r="J781" s="56" t="n">
        <x:v>460.7661962365591</x:v>
      </x:c>
    </x:row>
    <x:row r="782" ht="65" customHeight="1">
      <x:c r="A782" s="61" t="n">
        <x:v>46235</x:v>
      </x:c>
      <x:c r="B782" s="32" t="str">
        <x:v>Alimentación y artículos de consumo masivo</x:v>
      </x:c>
      <x:c r="C782" s="32" t="str">
        <x:v>Alimentación, comercios y servicios</x:v>
      </x:c>
      <x:c r="D782" s="62" t="n">
        <x:v>31</x:v>
      </x:c>
      <x:c r="E782" s="2" t="str">
        <x:v>Completo</x:v>
      </x:c>
      <x:c r="F782" s="56" t="n">
        <x:v>330.6915510752688</x:v>
      </x:c>
      <x:c r="G782" s="56" t="n">
        <x:f>F614</x:f>
        <x:v>285.3702419354838</x:v>
      </x:c>
      <x:c r="H782" s="57" t="n">
        <x:f>IF(ISNUMBER(G782),IF(G782=0,"n.a.",F782/G782-1),"n.a.")</x:f>
        <x:v>0.15881582057189836</x:v>
      </x:c>
      <x:c r="I782" s="58" t="n">
        <x:f>F782/J782</x:f>
        <x:v>0.7176992448150222</x:v>
      </x:c>
      <x:c r="J782" s="56" t="n">
        <x:v>460.7661962365591</x:v>
      </x:c>
    </x:row>
    <x:row r="783" ht="65" customHeight="1">
      <x:c r="A783" s="61" t="n">
        <x:v>46235</x:v>
      </x:c>
      <x:c r="B783" s="32" t="str">
        <x:v>Servicios públicos y transporte: agua y transporte en GBA</x:v>
      </x:c>
      <x:c r="C783" s="32" t="str">
        <x:v>Alimentación, comercios y servicios</x:v>
      </x:c>
      <x:c r="D783" s="62" t="n">
        <x:v>31</x:v>
      </x:c>
      <x:c r="E783" s="2" t="str">
        <x:v>Completo</x:v>
      </x:c>
      <x:c r="F783" s="56" t="n">
        <x:v>69.5429932795699</x:v>
      </x:c>
      <x:c r="G783" s="56" t="n">
        <x:f>F615</x:f>
        <x:v>72.79087096774194</x:v>
      </x:c>
      <x:c r="H783" s="57" t="n">
        <x:f>IF(ISNUMBER(G783),IF(G783=0,"n.a.",F783/G783-1),"n.a.")</x:f>
        <x:v>-0.04461929971426459</x:v>
      </x:c>
      <x:c r="I783" s="58" t="n">
        <x:f>F783/J783</x:f>
        <x:v>0.15092902614727896</x:v>
      </x:c>
      <x:c r="J783" s="56" t="n">
        <x:v>460.7661962365591</x:v>
      </x:c>
    </x:row>
    <x:row r="784" ht="65" customHeight="1">
      <x:c r="A784" s="61" t="n">
        <x:v>46235</x:v>
      </x:c>
      <x:c r="B784" s="32" t="str">
        <x:v>Industria automotriz</x:v>
      </x:c>
      <x:c r="C784" s="32" t="str">
        <x:v>Industrias sin Aluar</x:v>
      </x:c>
      <x:c r="D784" s="62" t="n">
        <x:v>31</x:v>
      </x:c>
      <x:c r="E784" s="2" t="str">
        <x:v>Completo</x:v>
      </x:c>
      <x:c r="F784" s="56" t="n">
        <x:v>44.86576612903225</x:v>
      </x:c>
      <x:c r="G784" s="56" t="n">
        <x:f>F616</x:f>
        <x:v>40.71383198924732</x:v>
      </x:c>
      <x:c r="H784" s="57" t="n">
        <x:f>IF(ISNUMBER(G784),IF(G784=0,"n.a.",F784/G784-1),"n.a.")</x:f>
        <x:v>0.10197846620975093</x:v>
      </x:c>
      <x:c r="I784" s="58" t="n">
        <x:f>F784/J784</x:f>
        <x:v>0.04103699996700947</x:v>
      </x:c>
      <x:c r="J784" s="56" t="n">
        <x:v>1093.3003427419355</x:v>
      </x:c>
    </x:row>
    <x:row r="785" ht="65" customHeight="1">
      <x:c r="A785" s="61" t="n">
        <x:v>46235</x:v>
      </x:c>
      <x:c r="B785" s="32" t="str">
        <x:v>Derivados de petróleo</x:v>
      </x:c>
      <x:c r="C785" s="32" t="str">
        <x:v>Industrias sin Aluar</x:v>
      </x:c>
      <x:c r="D785" s="62" t="n">
        <x:v>31</x:v>
      </x:c>
      <x:c r="E785" s="2" t="str">
        <x:v>Completo</x:v>
      </x:c>
      <x:c r="F785" s="56" t="n">
        <x:v>158.5797862903226</x:v>
      </x:c>
      <x:c r="G785" s="56" t="n">
        <x:f>F617</x:f>
        <x:v>144.79486559139784</x:v>
      </x:c>
      <x:c r="H785" s="57" t="n">
        <x:f>IF(ISNUMBER(G785),IF(G785=0,"n.a.",F785/G785-1),"n.a.")</x:f>
        <x:v>0.0952031043547148</x:v>
      </x:c>
      <x:c r="I785" s="58" t="n">
        <x:f>F785/J785</x:f>
        <x:v>0.14504686415135795</x:v>
      </x:c>
      <x:c r="J785" s="56" t="n">
        <x:v>1093.3003427419355</x:v>
      </x:c>
    </x:row>
    <x:row r="786" ht="65" customHeight="1">
      <x:c r="A786" s="61" t="n">
        <x:v>46235</x:v>
      </x:c>
      <x:c r="B786" s="32" t="str">
        <x:v>Construcción: elaboración de cemento y canteras</x:v>
      </x:c>
      <x:c r="C786" s="32" t="str">
        <x:v>Industrias sin Aluar</x:v>
      </x:c>
      <x:c r="D786" s="62" t="n">
        <x:v>31</x:v>
      </x:c>
      <x:c r="E786" s="2" t="str">
        <x:v>Completo</x:v>
      </x:c>
      <x:c r="F786" s="56" t="n">
        <x:v>90.21100403225807</x:v>
      </x:c>
      <x:c r="G786" s="56" t="n">
        <x:f>F618</x:f>
        <x:v>122.58155241935485</x:v>
      </x:c>
      <x:c r="H786" s="57" t="n">
        <x:f>IF(ISNUMBER(G786),IF(G786=0,"n.a.",F786/G786-1),"n.a.")</x:f>
        <x:v>-0.2640735718238927</x:v>
      </x:c>
      <x:c r="I786" s="58" t="n">
        <x:f>F786/J786</x:f>
        <x:v>0.08251255442398743</x:v>
      </x:c>
      <x:c r="J786" s="56" t="n">
        <x:v>1093.3003427419355</x:v>
      </x:c>
    </x:row>
    <x:row r="787" ht="65" customHeight="1">
      <x:c r="A787" s="61" t="n">
        <x:v>46235</x:v>
      </x:c>
      <x:c r="B787" s="32" t="str">
        <x:v>Madera y papel</x:v>
      </x:c>
      <x:c r="C787" s="32" t="str">
        <x:v>Industrias sin Aluar</x:v>
      </x:c>
      <x:c r="D787" s="62" t="n">
        <x:v>31</x:v>
      </x:c>
      <x:c r="E787" s="2" t="str">
        <x:v>Completo</x:v>
      </x:c>
      <x:c r="F787" s="56" t="n">
        <x:v>105.26906989247311</x:v>
      </x:c>
      <x:c r="G787" s="56" t="n">
        <x:f>F619</x:f>
        <x:v>104.69448521505376</x:v>
      </x:c>
      <x:c r="H787" s="57" t="n">
        <x:f>IF(ISNUMBER(G787),IF(G787=0,"n.a.",F787/G787-1),"n.a.")</x:f>
        <x:v>0.0054882038556194335</x:v>
      </x:c>
      <x:c r="I787" s="58" t="n">
        <x:f>F787/J787</x:f>
        <x:v>0.09628559122963798</x:v>
      </x:c>
      <x:c r="J787" s="56" t="n">
        <x:v>1093.3003427419355</x:v>
      </x:c>
    </x:row>
    <x:row r="788" ht="65" customHeight="1">
      <x:c r="A788" s="61" t="n">
        <x:v>46235</x:v>
      </x:c>
      <x:c r="B788" s="32" t="str">
        <x:v>Productos metálicos no automotores</x:v>
      </x:c>
      <x:c r="C788" s="32" t="str">
        <x:v>Industrias sin Aluar</x:v>
      </x:c>
      <x:c r="D788" s="62" t="n">
        <x:v>31</x:v>
      </x:c>
      <x:c r="E788" s="2" t="str">
        <x:v>Completo</x:v>
      </x:c>
      <x:c r="F788" s="56" t="n">
        <x:v>36.33427688172043</x:v>
      </x:c>
      <x:c r="G788" s="56" t="n">
        <x:f>F620</x:f>
        <x:v>47.62105241935484</x:v>
      </x:c>
      <x:c r="H788" s="57" t="n">
        <x:f>IF(ISNUMBER(G788),IF(G788=0,"n.a.",F788/G788-1),"n.a.")</x:f>
        <x:v>-0.2370123078810219</x:v>
      </x:c>
      <x:c r="I788" s="58" t="n">
        <x:f>F788/J788</x:f>
        <x:v>0.033233573119163314</x:v>
      </x:c>
      <x:c r="J788" s="56" t="n">
        <x:v>1093.3003427419355</x:v>
      </x:c>
    </x:row>
    <x:row r="789" ht="65" customHeight="1">
      <x:c r="A789" s="61" t="n">
        <x:v>46235</x:v>
      </x:c>
      <x:c r="B789" s="32" t="str">
        <x:v>Gran siderurgia</x:v>
      </x:c>
      <x:c r="C789" s="32" t="str">
        <x:v>Industrias sin Aluar</x:v>
      </x:c>
      <x:c r="D789" s="62" t="n">
        <x:v>31</x:v>
      </x:c>
      <x:c r="E789" s="2" t="str">
        <x:v>Completo</x:v>
      </x:c>
      <x:c r="F789" s="56" t="n">
        <x:v>286.66648387096774</x:v>
      </x:c>
      <x:c r="G789" s="56" t="n">
        <x:f>F621</x:f>
        <x:v>274.7639919354839</x:v>
      </x:c>
      <x:c r="H789" s="57" t="n">
        <x:f>IF(ISNUMBER(G789),IF(G789=0,"n.a.",F789/G789-1),"n.a.")</x:f>
        <x:v>0.04331896567538096</x:v>
      </x:c>
      <x:c r="I789" s="58" t="n">
        <x:f>F789/J789</x:f>
        <x:v>0.262202866553599</x:v>
      </x:c>
      <x:c r="J789" s="56" t="n">
        <x:v>1093.3003427419355</x:v>
      </x:c>
    </x:row>
    <x:row r="790" ht="65" customHeight="1">
      <x:c r="A790" s="61" t="n">
        <x:v>46235</x:v>
      </x:c>
      <x:c r="B790" s="32" t="str">
        <x:v>Industria textil</x:v>
      </x:c>
      <x:c r="C790" s="32" t="str">
        <x:v>Industrias sin Aluar</x:v>
      </x:c>
      <x:c r="D790" s="62" t="n">
        <x:v>31</x:v>
      </x:c>
      <x:c r="E790" s="2" t="str">
        <x:v>Completo</x:v>
      </x:c>
      <x:c r="F790" s="56" t="n">
        <x:v>40.63267741935484</x:v>
      </x:c>
      <x:c r="G790" s="56" t="n">
        <x:f>F622</x:f>
        <x:v>50.04054166666667</x:v>
      </x:c>
      <x:c r="H790" s="57" t="n">
        <x:f>IF(ISNUMBER(G790),IF(G790=0,"n.a.",F790/G790-1),"n.a.")</x:f>
        <x:v>-0.18800484435160814</x:v>
      </x:c>
      <x:c r="I790" s="58" t="n">
        <x:f>F790/J790</x:f>
        <x:v>0.037165155658371404</x:v>
      </x:c>
      <x:c r="J790" s="56" t="n">
        <x:v>1093.3003427419355</x:v>
      </x:c>
    </x:row>
    <x:row r="791" ht="65" customHeight="1">
      <x:c r="A791" s="61" t="n">
        <x:v>46235</x:v>
      </x:c>
      <x:c r="B791" s="32" t="str">
        <x:v>Químicas, caucho, plástico y otros minerales no metálicos</x:v>
      </x:c>
      <x:c r="C791" s="32" t="str">
        <x:v>Industrias sin Aluar</x:v>
      </x:c>
      <x:c r="D791" s="62" t="n">
        <x:v>31</x:v>
      </x:c>
      <x:c r="E791" s="2" t="str">
        <x:v>Completo</x:v>
      </x:c>
      <x:c r="F791" s="56" t="n">
        <x:v>330.74127822580647</x:v>
      </x:c>
      <x:c r="G791" s="56" t="n">
        <x:f>F623</x:f>
        <x:v>317.85408333333334</x:v>
      </x:c>
      <x:c r="H791" s="57" t="n">
        <x:f>IF(ISNUMBER(G791),IF(G791=0,"n.a.",F791/G791-1),"n.a.")</x:f>
        <x:v>0.040544374189959154</x:v>
      </x:c>
      <x:c r="I791" s="58" t="n">
        <x:f>F791/J791</x:f>
        <x:v>0.30251639489687343</x:v>
      </x:c>
      <x:c r="J791" s="56" t="n">
        <x:v>1093.3003427419355</x:v>
      </x:c>
    </x:row>
    <x:row r="792" ht="65" customHeight="1">
      <x:c r="A792" s="61" t="n">
        <x:v>46235</x:v>
      </x:c>
      <x:c r="B792" s="32" t="str">
        <x:v>Extracción de minerales</x:v>
      </x:c>
      <x:c r="C792" s="32" t="str">
        <x:v>Petróleos y minerales</x:v>
      </x:c>
      <x:c r="D792" s="62" t="n">
        <x:v>31</x:v>
      </x:c>
      <x:c r="E792" s="2" t="str">
        <x:v>Completo</x:v>
      </x:c>
      <x:c r="F792" s="56" t="n">
        <x:v>36.16088037634408</x:v>
      </x:c>
      <x:c r="G792" s="56" t="n">
        <x:f>F624</x:f>
        <x:v>25.329064516129034</x:v>
      </x:c>
      <x:c r="H792" s="57" t="n">
        <x:f>IF(ISNUMBER(G792),IF(G792=0,"n.a.",F792/G792-1),"n.a.")</x:f>
        <x:v>0.42764373920393184</x:v>
      </x:c>
      <x:c r="I792" s="58" t="n">
        <x:f>F792/J792</x:f>
        <x:v>0.18952084242884953</x:v>
      </x:c>
      <x:c r="J792" s="56" t="n">
        <x:v>190.80160215053763</x:v>
      </x:c>
    </x:row>
    <x:row r="793" ht="65" customHeight="1">
      <x:c r="A793" s="61" t="n">
        <x:v>46235</x:v>
      </x:c>
      <x:c r="B793" s="32" t="str">
        <x:v>Extracción de petróleo</x:v>
      </x:c>
      <x:c r="C793" s="32" t="str">
        <x:v>Petróleos y minerales</x:v>
      </x:c>
      <x:c r="D793" s="62" t="n">
        <x:v>31</x:v>
      </x:c>
      <x:c r="E793" s="2" t="str">
        <x:v>Completo</x:v>
      </x:c>
      <x:c r="F793" s="56" t="n">
        <x:v>154.64072177419354</x:v>
      </x:c>
      <x:c r="G793" s="56" t="n">
        <x:f>F625</x:f>
        <x:v>145.03430913978497</x:v>
      </x:c>
      <x:c r="H793" s="57" t="n">
        <x:f>IF(ISNUMBER(G793),IF(G793=0,"n.a.",F793/G793-1),"n.a.")</x:f>
        <x:v>0.06623544933185332</x:v>
      </x:c>
      <x:c r="I793" s="58" t="n">
        <x:f>F793/J793</x:f>
        <x:v>0.8104791575711504</x:v>
      </x:c>
      <x:c r="J793" s="56" t="n">
        <x:v>190.80160215053763</x:v>
      </x:c>
    </x:row>
    <x:row r="794" ht="65" customHeight="1">
      <x:c r="A794" s="61" t="n">
        <x:v>46266</x:v>
      </x:c>
      <x:c r="B794" s="32" t="str">
        <x:v>Cargas y puertos</x:v>
      </x:c>
      <x:c r="C794" s="32" t="str">
        <x:v>Alimentación, comercios y servicios</x:v>
      </x:c>
      <x:c r="D794" s="62" t="n">
        <x:v>23</x:v>
      </x:c>
      <x:c r="E794" s="2" t="str">
        <x:v>Parcial</x:v>
      </x:c>
      <x:c r="F794" s="56" t="n">
        <x:v>9.498222826086957</x:v>
      </x:c>
      <x:c r="G794" s="56" t="str">
        <x:f>"n.a."</x:f>
        <x:v>n.a.</x:v>
      </x:c>
      <x:c r="H794" s="57" t="str">
        <x:f>IF(ISNUMBER(G794),IF(G794=0,"n.a.",F794/G794-1),"n.a.")</x:f>
        <x:v>n.a.</x:v>
      </x:c>
      <x:c r="I794" s="58" t="n">
        <x:f>F794/J794</x:f>
        <x:v>0.02025242902245611</x:v>
      </x:c>
      <x:c r="J794" s="56" t="n">
        <x:v>468.9917844202899</x:v>
      </x:c>
    </x:row>
    <x:row r="795" ht="65" customHeight="1">
      <x:c r="A795" s="61" t="n">
        <x:v>46266</x:v>
      </x:c>
      <x:c r="B795" s="32" t="str">
        <x:v>Comercio y servicios: principalmente supermercados y centros comerciales</x:v>
      </x:c>
      <x:c r="C795" s="32" t="str">
        <x:v>Alimentación, comercios y servicios</x:v>
      </x:c>
      <x:c r="D795" s="62" t="n">
        <x:v>23</x:v>
      </x:c>
      <x:c r="E795" s="2" t="str">
        <x:v>Parcial</x:v>
      </x:c>
      <x:c r="F795" s="56" t="n">
        <x:v>51.811088768115944</x:v>
      </x:c>
      <x:c r="G795" s="56" t="str">
        <x:f>"n.a."</x:f>
        <x:v>n.a.</x:v>
      </x:c>
      <x:c r="H795" s="57" t="str">
        <x:f>IF(ISNUMBER(G795),IF(G795=0,"n.a.",F795/G795-1),"n.a.")</x:f>
        <x:v>n.a.</x:v>
      </x:c>
      <x:c r="I795" s="58" t="n">
        <x:f>F795/J795</x:f>
        <x:v>0.11047333980947759</x:v>
      </x:c>
      <x:c r="J795" s="56" t="n">
        <x:v>468.9917844202899</x:v>
      </x:c>
    </x:row>
    <x:row r="796" ht="65" customHeight="1">
      <x:c r="A796" s="61" t="n">
        <x:v>46266</x:v>
      </x:c>
      <x:c r="B796" s="32" t="str">
        <x:v>Alimentación y artículos de consumo masivo</x:v>
      </x:c>
      <x:c r="C796" s="32" t="str">
        <x:v>Alimentación, comercios y servicios</x:v>
      </x:c>
      <x:c r="D796" s="62" t="n">
        <x:v>23</x:v>
      </x:c>
      <x:c r="E796" s="2" t="str">
        <x:v>Parcial</x:v>
      </x:c>
      <x:c r="F796" s="56" t="n">
        <x:v>340.94956884057973</x:v>
      </x:c>
      <x:c r="G796" s="56" t="str">
        <x:f>"n.a."</x:f>
        <x:v>n.a.</x:v>
      </x:c>
      <x:c r="H796" s="57" t="str">
        <x:f>IF(ISNUMBER(G796),IF(G796=0,"n.a.",F796/G796-1),"n.a.")</x:f>
        <x:v>n.a.</x:v>
      </x:c>
      <x:c r="I796" s="58" t="n">
        <x:f>F796/J796</x:f>
        <x:v>0.7269840968792657</x:v>
      </x:c>
      <x:c r="J796" s="56" t="n">
        <x:v>468.9917844202899</x:v>
      </x:c>
    </x:row>
    <x:row r="797" ht="65" customHeight="1">
      <x:c r="A797" s="61" t="n">
        <x:v>46266</x:v>
      </x:c>
      <x:c r="B797" s="32" t="str">
        <x:v>Servicios públicos y transporte: agua y transporte en GBA</x:v>
      </x:c>
      <x:c r="C797" s="32" t="str">
        <x:v>Alimentación, comercios y servicios</x:v>
      </x:c>
      <x:c r="D797" s="62" t="n">
        <x:v>23</x:v>
      </x:c>
      <x:c r="E797" s="2" t="str">
        <x:v>Parcial</x:v>
      </x:c>
      <x:c r="F797" s="56" t="n">
        <x:v>66.73290398550725</x:v>
      </x:c>
      <x:c r="G797" s="56" t="str">
        <x:f>"n.a."</x:f>
        <x:v>n.a.</x:v>
      </x:c>
      <x:c r="H797" s="57" t="str">
        <x:f>IF(ISNUMBER(G797),IF(G797=0,"n.a.",F797/G797-1),"n.a.")</x:f>
        <x:v>n.a.</x:v>
      </x:c>
      <x:c r="I797" s="58" t="n">
        <x:f>F797/J797</x:f>
        <x:v>0.14229013428880055</x:v>
      </x:c>
      <x:c r="J797" s="56" t="n">
        <x:v>468.9917844202899</x:v>
      </x:c>
    </x:row>
    <x:row r="798" ht="65" customHeight="1">
      <x:c r="A798" s="61" t="n">
        <x:v>46266</x:v>
      </x:c>
      <x:c r="B798" s="32" t="str">
        <x:v>Industria automotriz</x:v>
      </x:c>
      <x:c r="C798" s="32" t="str">
        <x:v>Industrias sin Aluar</x:v>
      </x:c>
      <x:c r="D798" s="62" t="n">
        <x:v>23</x:v>
      </x:c>
      <x:c r="E798" s="2" t="str">
        <x:v>Parcial</x:v>
      </x:c>
      <x:c r="F798" s="56" t="n">
        <x:v>45.3049384057971</x:v>
      </x:c>
      <x:c r="G798" s="56" t="str">
        <x:f>"n.a."</x:f>
        <x:v>n.a.</x:v>
      </x:c>
      <x:c r="H798" s="57" t="str">
        <x:f>IF(ISNUMBER(G798),IF(G798=0,"n.a.",F798/G798-1),"n.a.")</x:f>
        <x:v>n.a.</x:v>
      </x:c>
      <x:c r="I798" s="58" t="n">
        <x:f>F798/J798</x:f>
        <x:v>0.03790291311129912</x:v>
      </x:c>
      <x:c r="J798" s="56" t="n">
        <x:v>1195.2890869565217</x:v>
      </x:c>
    </x:row>
    <x:row r="799" ht="65" customHeight="1">
      <x:c r="A799" s="61" t="n">
        <x:v>46266</x:v>
      </x:c>
      <x:c r="B799" s="32" t="str">
        <x:v>Derivados de petróleo</x:v>
      </x:c>
      <x:c r="C799" s="32" t="str">
        <x:v>Industrias sin Aluar</x:v>
      </x:c>
      <x:c r="D799" s="62" t="n">
        <x:v>23</x:v>
      </x:c>
      <x:c r="E799" s="2" t="str">
        <x:v>Parcial</x:v>
      </x:c>
      <x:c r="F799" s="56" t="n">
        <x:v>147.44721557971016</x:v>
      </x:c>
      <x:c r="G799" s="56" t="str">
        <x:f>"n.a."</x:f>
        <x:v>n.a.</x:v>
      </x:c>
      <x:c r="H799" s="57" t="str">
        <x:f>IF(ISNUMBER(G799),IF(G799=0,"n.a.",F799/G799-1),"n.a.")</x:f>
        <x:v>n.a.</x:v>
      </x:c>
      <x:c r="I799" s="58" t="n">
        <x:f>F799/J799</x:f>
        <x:v>0.12335694953523282</x:v>
      </x:c>
      <x:c r="J799" s="56" t="n">
        <x:v>1195.2890869565217</x:v>
      </x:c>
    </x:row>
    <x:row r="800" ht="65" customHeight="1">
      <x:c r="A800" s="61" t="n">
        <x:v>46266</x:v>
      </x:c>
      <x:c r="B800" s="32" t="str">
        <x:v>Construcción: elaboración de cemento y canteras</x:v>
      </x:c>
      <x:c r="C800" s="32" t="str">
        <x:v>Industrias sin Aluar</x:v>
      </x:c>
      <x:c r="D800" s="62" t="n">
        <x:v>23</x:v>
      </x:c>
      <x:c r="E800" s="2" t="str">
        <x:v>Parcial</x:v>
      </x:c>
      <x:c r="F800" s="56" t="n">
        <x:v>144.19701992753625</x:v>
      </x:c>
      <x:c r="G800" s="56" t="str">
        <x:f>"n.a."</x:f>
        <x:v>n.a.</x:v>
      </x:c>
      <x:c r="H800" s="57" t="str">
        <x:f>IF(ISNUMBER(G800),IF(G800=0,"n.a.",F800/G800-1),"n.a.")</x:f>
        <x:v>n.a.</x:v>
      </x:c>
      <x:c r="I800" s="58" t="n">
        <x:f>F800/J800</x:f>
        <x:v>0.12063777834255536</x:v>
      </x:c>
      <x:c r="J800" s="56" t="n">
        <x:v>1195.2890869565217</x:v>
      </x:c>
    </x:row>
    <x:row r="801" ht="65" customHeight="1">
      <x:c r="A801" s="61" t="n">
        <x:v>46266</x:v>
      </x:c>
      <x:c r="B801" s="32" t="str">
        <x:v>Madera y papel</x:v>
      </x:c>
      <x:c r="C801" s="32" t="str">
        <x:v>Industrias sin Aluar</x:v>
      </x:c>
      <x:c r="D801" s="62" t="n">
        <x:v>23</x:v>
      </x:c>
      <x:c r="E801" s="2" t="str">
        <x:v>Parcial</x:v>
      </x:c>
      <x:c r="F801" s="56" t="n">
        <x:v>104.72883876811593</x:v>
      </x:c>
      <x:c r="G801" s="56" t="str">
        <x:f>"n.a."</x:f>
        <x:v>n.a.</x:v>
      </x:c>
      <x:c r="H801" s="57" t="str">
        <x:f>IF(ISNUMBER(G801),IF(G801=0,"n.a.",F801/G801-1),"n.a.")</x:f>
        <x:v>n.a.</x:v>
      </x:c>
      <x:c r="I801" s="58" t="n">
        <x:f>F801/J801</x:f>
        <x:v>0.08761799962114555</x:v>
      </x:c>
      <x:c r="J801" s="56" t="n">
        <x:v>1195.2890869565217</x:v>
      </x:c>
    </x:row>
    <x:row r="802" ht="65" customHeight="1">
      <x:c r="A802" s="61" t="n">
        <x:v>46266</x:v>
      </x:c>
      <x:c r="B802" s="32" t="str">
        <x:v>Productos metálicos no automotores</x:v>
      </x:c>
      <x:c r="C802" s="32" t="str">
        <x:v>Industrias sin Aluar</x:v>
      </x:c>
      <x:c r="D802" s="62" t="n">
        <x:v>23</x:v>
      </x:c>
      <x:c r="E802" s="2" t="str">
        <x:v>Parcial</x:v>
      </x:c>
      <x:c r="F802" s="56" t="n">
        <x:v>39.162083333333335</x:v>
      </x:c>
      <x:c r="G802" s="56" t="str">
        <x:f>"n.a."</x:f>
        <x:v>n.a.</x:v>
      </x:c>
      <x:c r="H802" s="57" t="str">
        <x:f>IF(ISNUMBER(G802),IF(G802=0,"n.a.",F802/G802-1),"n.a.")</x:f>
        <x:v>n.a.</x:v>
      </x:c>
      <x:c r="I802" s="58" t="n">
        <x:f>F802/J802</x:f>
        <x:v>0.032763691863906264</x:v>
      </x:c>
      <x:c r="J802" s="56" t="n">
        <x:v>1195.2890869565217</x:v>
      </x:c>
    </x:row>
    <x:row r="803" ht="65" customHeight="1">
      <x:c r="A803" s="61" t="n">
        <x:v>46266</x:v>
      </x:c>
      <x:c r="B803" s="32" t="str">
        <x:v>Gran siderurgia</x:v>
      </x:c>
      <x:c r="C803" s="32" t="str">
        <x:v>Industrias sin Aluar</x:v>
      </x:c>
      <x:c r="D803" s="62" t="n">
        <x:v>23</x:v>
      </x:c>
      <x:c r="E803" s="2" t="str">
        <x:v>Parcial</x:v>
      </x:c>
      <x:c r="F803" s="56" t="n">
        <x:v>332.23489130434785</x:v>
      </x:c>
      <x:c r="G803" s="56" t="str">
        <x:f>"n.a."</x:f>
        <x:v>n.a.</x:v>
      </x:c>
      <x:c r="H803" s="57" t="str">
        <x:f>IF(ISNUMBER(G803),IF(G803=0,"n.a.",F803/G803-1),"n.a.")</x:f>
        <x:v>n.a.</x:v>
      </x:c>
      <x:c r="I803" s="58" t="n">
        <x:f>F803/J803</x:f>
        <x:v>0.2779535887425305</x:v>
      </x:c>
      <x:c r="J803" s="56" t="n">
        <x:v>1195.2890869565217</x:v>
      </x:c>
    </x:row>
    <x:row r="804" ht="65" customHeight="1">
      <x:c r="A804" s="61" t="n">
        <x:v>46266</x:v>
      </x:c>
      <x:c r="B804" s="32" t="str">
        <x:v>Industria textil</x:v>
      </x:c>
      <x:c r="C804" s="32" t="str">
        <x:v>Industrias sin Aluar</x:v>
      </x:c>
      <x:c r="D804" s="62" t="n">
        <x:v>23</x:v>
      </x:c>
      <x:c r="E804" s="2" t="str">
        <x:v>Parcial</x:v>
      </x:c>
      <x:c r="F804" s="56" t="n">
        <x:v>41.69286050724638</x:v>
      </x:c>
      <x:c r="G804" s="56" t="str">
        <x:f>"n.a."</x:f>
        <x:v>n.a.</x:v>
      </x:c>
      <x:c r="H804" s="57" t="str">
        <x:f>IF(ISNUMBER(G804),IF(G804=0,"n.a.",F804/G804-1),"n.a.")</x:f>
        <x:v>n.a.</x:v>
      </x:c>
      <x:c r="I804" s="58" t="n">
        <x:f>F804/J804</x:f>
        <x:v>0.034880984828035116</x:v>
      </x:c>
      <x:c r="J804" s="56" t="n">
        <x:v>1195.2890869565217</x:v>
      </x:c>
    </x:row>
    <x:row r="805" ht="65" customHeight="1">
      <x:c r="A805" s="61" t="n">
        <x:v>46266</x:v>
      </x:c>
      <x:c r="B805" s="32" t="str">
        <x:v>Químicas, caucho, plástico y otros minerales no metálicos</x:v>
      </x:c>
      <x:c r="C805" s="32" t="str">
        <x:v>Industrias sin Aluar</x:v>
      </x:c>
      <x:c r="D805" s="62" t="n">
        <x:v>23</x:v>
      </x:c>
      <x:c r="E805" s="2" t="str">
        <x:v>Parcial</x:v>
      </x:c>
      <x:c r="F805" s="56" t="n">
        <x:v>340.52123913043476</x:v>
      </x:c>
      <x:c r="G805" s="56" t="str">
        <x:f>"n.a."</x:f>
        <x:v>n.a.</x:v>
      </x:c>
      <x:c r="H805" s="57" t="str">
        <x:f>IF(ISNUMBER(G805),IF(G805=0,"n.a.",F805/G805-1),"n.a.")</x:f>
        <x:v>n.a.</x:v>
      </x:c>
      <x:c r="I805" s="58" t="n">
        <x:f>F805/J805</x:f>
        <x:v>0.2848860939552953</x:v>
      </x:c>
      <x:c r="J805" s="56" t="n">
        <x:v>1195.2890869565217</x:v>
      </x:c>
    </x:row>
    <x:row r="806" ht="65" customHeight="1">
      <x:c r="A806" s="61" t="n">
        <x:v>46266</x:v>
      </x:c>
      <x:c r="B806" s="32" t="str">
        <x:v>Extracción de minerales</x:v>
      </x:c>
      <x:c r="C806" s="32" t="str">
        <x:v>Petróleos y minerales</x:v>
      </x:c>
      <x:c r="D806" s="62" t="n">
        <x:v>23</x:v>
      </x:c>
      <x:c r="E806" s="2" t="str">
        <x:v>Parcial</x:v>
      </x:c>
      <x:c r="F806" s="56" t="n">
        <x:v>38.26511775362319</x:v>
      </x:c>
      <x:c r="G806" s="56" t="str">
        <x:f>"n.a."</x:f>
        <x:v>n.a.</x:v>
      </x:c>
      <x:c r="H806" s="57" t="str">
        <x:f>IF(ISNUMBER(G806),IF(G806=0,"n.a.",F806/G806-1),"n.a.")</x:f>
        <x:v>n.a.</x:v>
      </x:c>
      <x:c r="I806" s="58" t="n">
        <x:f>F806/J806</x:f>
        <x:v>0.20257229428825566</x:v>
      </x:c>
      <x:c r="J806" s="56" t="n">
        <x:v>188.89610688405799</x:v>
      </x:c>
    </x:row>
    <x:row r="807" ht="65" customHeight="1">
      <x:c r="A807" s="61" t="n">
        <x:v>46266</x:v>
      </x:c>
      <x:c r="B807" s="32" t="str">
        <x:v>Extracción de petróleo</x:v>
      </x:c>
      <x:c r="C807" s="32" t="str">
        <x:v>Petróleos y minerales</x:v>
      </x:c>
      <x:c r="D807" s="62" t="n">
        <x:v>23</x:v>
      </x:c>
      <x:c r="E807" s="2" t="str">
        <x:v>Parcial</x:v>
      </x:c>
      <x:c r="F807" s="56" t="n">
        <x:v>150.63098913043478</x:v>
      </x:c>
      <x:c r="G807" s="56" t="str">
        <x:f>"n.a."</x:f>
        <x:v>n.a.</x:v>
      </x:c>
      <x:c r="H807" s="57" t="str">
        <x:f>IF(ISNUMBER(G807),IF(G807=0,"n.a.",F807/G807-1),"n.a.")</x:f>
        <x:v>n.a.</x:v>
      </x:c>
      <x:c r="I807" s="58" t="n">
        <x:f>F807/J807</x:f>
        <x:v>0.7974277057117443</x:v>
      </x:c>
      <x:c r="J807" s="56" t="n">
        <x:v>188.89610688405799</x:v>
      </x:c>
    </x:row>
    <x:row r="808" ht="24" customHeight="1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</x:row>
    <x:row r="809" ht="24" customHeight="1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</x:row>
    <x:row r="810" ht="24" customHeight="1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</x:row>
    <x:row r="811" ht="24" customHeight="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</x:row>
    <x:row r="812" ht="24" customHeight="1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</x:row>
  </x:sheetData>
  <x:pageMargins left="0.7" right="0.7" top="0.75" bottom="0.75" header="0.3" footer="0.3"/>
  <x:tableParts count="1">
    <x:tablePart xmlns:r="http://schemas.openxmlformats.org/officeDocument/2006/relationships" r:id="R64501dd096b3417f"/>
  </x:tableParts>
</x:worksheet>
</file>

<file path=xl/worksheets/sheet7.xml><?xml version="1.0" encoding="utf-8"?>
<x:worksheet xmlns:x="http://schemas.openxmlformats.org/spreadsheetml/2006/main">
  <x:sheetPr>
    <x:tabColor rgb="FF175E4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36" hidden="0" customWidth="1"/>
    <x:col min="7" max="7" width="17" hidden="0" customWidth="1"/>
    <x:col min="8" max="8" width="14" hidden="0" customWidth="1"/>
    <x:col min="9" max="9" width="19" hidden="0" customWidth="1"/>
    <x:col min="10" max="10" width="18" hidden="0" customWidth="1"/>
    <x:col min="11" max="11" width="21" hidden="0" customWidth="1"/>
    <x:col min="12" max="12" width="26" hidden="0" customWidth="1"/>
    <x:col min="13" max="13" width="6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Alertas sectoriales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Regla base proposal-1. Señales descriptivas, no alarmas calibradas. Aluar se consulta por separado.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 t="str">
        <x:v>Mes vinculado a Informe!B4</x:v>
      </x:c>
      <x:c r="B4" s="4" t="n">
        <x:f>'Informe'!B4</x:f>
        <x:v>46235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4" customHeight="1">
      <x:c r="A6" s="2" t="str">
        <x:v>Observación mínima %</x:v>
      </x:c>
      <x:c r="B6" s="47" t="n">
        <x:v>0.1</x:v>
      </x:c>
      <x:c r="C6" s="2" t="str">
        <x:v>Observación MW</x:v>
      </x:c>
      <x:c r="D6" s="2" t="n">
        <x:v>5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 ht="24" customHeight="1">
      <x:c r="A7" s="2" t="str">
        <x:v>Prioridad mínima %</x:v>
      </x:c>
      <x:c r="B7" s="47" t="n">
        <x:v>0.2</x:v>
      </x:c>
      <x:c r="C7" s="2" t="str">
        <x:v>Prioridad MW</x:v>
      </x:c>
      <x:c r="D7" s="2" t="n">
        <x:v>10</x:v>
      </x:c>
      <x:c r="E7" s="2"/>
      <x:c r="F7" s="2"/>
      <x:c r="G7" s="2"/>
      <x:c r="H7" s="2"/>
      <x:c r="I7" s="2"/>
      <x:c r="J7" s="2"/>
      <x:c r="K7" s="2"/>
      <x:c r="L7" s="2"/>
      <x:c r="M7" s="2"/>
    </x:row>
    <x:row r="8" ht="24" customHeight="1">
      <x:c r="A8" s="2" t="str">
        <x:v>Persistencia (meses)</x:v>
      </x:c>
      <x:c r="B8" s="2" t="n">
        <x:v>3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4" customHeight="1">
      <x:c r="A9" s="2" t="str">
        <x:v>Se exigen porcentaje y MW simultáneamente. Persistencia: observación en la misma dirección.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4" customHeight="1">
      <x:c r="A10" s="2" t="str">
        <x:v>Cobertura del mes</x:v>
      </x:c>
      <x:c r="B10" s="2" t="str">
        <x:f>IF(AND(COUNTIFS($A$41:$A$656,$B$4)=14,COUNTIFS($A$41:$A$656,$B$4,$K$41:$K$656,"No evaluable")=0),"Disponible","No evaluable")</x:f>
        <x:v>Disponible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4" customHeight="1">
      <x:c r="A11" s="2" t="str">
        <x:v>Actividades prioritarias</x:v>
      </x:c>
      <x:c r="B11" s="2" t="n">
        <x:f>IF(B10="Disponible",COUNTIFS($A$41:$A$656,$B$4,$K$41:$K$656,"Prioridad"),"n.a.")</x:f>
        <x:v>6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A13" s="2" t="str">
        <x:v>El mes se cambia en Informe. Los umbrales de arriba documentan la base, no un escenario validado.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2" t="str">
        <x:v>Los datos revisados no identifican consumo de IA. No se ajustaron por calendario, clima o usuarios.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42" customHeight="1">
      <x:c r="A16" s="70" t="str">
        <x:v>Actividad</x:v>
      </x:c>
      <x:c r="B16" s="70" t="str">
        <x:v>Cambio MW</x:v>
      </x:c>
      <x:c r="C16" s="70" t="str">
        <x:v>Interanual</x:v>
      </x:c>
      <x:c r="D16" s="70" t="str">
        <x:v>Racha observación</x:v>
      </x:c>
      <x:c r="E16" s="70" t="str">
        <x:v>Estado</x:v>
      </x:c>
      <x:c r="F16" s="70" t="str">
        <x:v>Motivo</x:v>
      </x:c>
      <x:c r="G16" s="70" t="str">
        <x:v>Fila de cálculo</x:v>
      </x:c>
      <x:c r="H16" s="2"/>
      <x:c r="I16" s="2"/>
      <x:c r="J16" s="2"/>
      <x:c r="K16" s="2"/>
      <x:c r="L16" s="2"/>
      <x:c r="M16" s="2"/>
    </x:row>
    <x:row r="17" ht="48" customHeight="1">
      <x:c r="A17" s="32" t="str">
        <x:v>Cargas y puertos</x:v>
      </x:c>
      <x:c r="B17" s="10" t="n">
        <x:f>IF(G17=0,"n.a.",INDEX($E$41:$E$656,G17))</x:f>
        <x:v>0.3104932795698918</x:v>
      </x:c>
      <x:c r="C17" s="11" t="n">
        <x:f>IF(G17=0,"n.a.",INDEX($F$41:$F$656,G17))</x:f>
        <x:v>0.0334399083513712</x:v>
      </x:c>
      <x:c r="D17" s="2" t="n">
        <x:f>IF(G17=0,"n.a.",INDEX($I$41:$I$656,G17))</x:f>
        <x:v>0</x:v>
      </x:c>
      <x:c r="E17" s="2" t="str">
        <x:f>IF(G17=0,"n.a.",INDEX($K$41:$K$656,G17))</x:f>
        <x:v>Sin umbral</x:v>
      </x:c>
      <x:c r="F17" s="32" t="str">
        <x:f>IF(G17=0,"n.a.",INDEX($L$41:$L$656,G17))</x:f>
        <x:v>Sin umbral</x:v>
      </x:c>
      <x:c r="G17" s="2" t="n">
        <x:f>IF(COUNTIFS($A$41:$A$656,$B$4,$B$41:$B$656,A17)=1,SUMIFS($M$41:$M$656,$A$41:$A$656,$B$4,$B$41:$B$656,A17),0)</x:f>
        <x:v>603</x:v>
      </x:c>
      <x:c r="H17" s="2"/>
      <x:c r="I17" s="2"/>
      <x:c r="J17" s="2"/>
      <x:c r="K17" s="2"/>
      <x:c r="L17" s="2"/>
      <x:c r="M17" s="2"/>
    </x:row>
    <x:row r="18" ht="48" customHeight="1">
      <x:c r="A18" s="32" t="str">
        <x:v>Comercio y servicios: principalmente supermercados y centros comerciales</x:v>
      </x:c>
      <x:c r="B18" s="10" t="n">
        <x:f>IF(G18=0,"n.a.",INDEX($E$41:$E$656,G18))</x:f>
        <x:v>5.508248655913981</x:v>
      </x:c>
      <x:c r="C18" s="11" t="n">
        <x:f>IF(G18=0,"n.a.",INDEX($F$41:$F$656,G18))</x:f>
        <x:v>0.12125281989185137</x:v>
      </x:c>
      <x:c r="D18" s="2" t="n">
        <x:f>IF(G18=0,"n.a.",INDEX($I$41:$I$656,G18))</x:f>
        <x:v>3</x:v>
      </x:c>
      <x:c r="E18" s="2" t="str">
        <x:f>IF(G18=0,"n.a.",INDEX($K$41:$K$656,G18))</x:f>
        <x:v>Prioridad</x:v>
      </x:c>
      <x:c r="F18" s="32" t="str">
        <x:f>IF(G18=0,"n.a.",INDEX($L$41:$L$656,G18))</x:f>
        <x:v>Persistencia</x:v>
      </x:c>
      <x:c r="G18" s="2" t="n">
        <x:f>IF(COUNTIFS($A$41:$A$656,$B$4,$B$41:$B$656,A18)=1,SUMIFS($M$41:$M$656,$A$41:$A$656,$B$4,$B$41:$B$656,A18),0)</x:f>
        <x:v>604</x:v>
      </x:c>
      <x:c r="H18" s="2"/>
      <x:c r="I18" s="2"/>
      <x:c r="J18" s="2"/>
      <x:c r="K18" s="2"/>
      <x:c r="L18" s="2"/>
      <x:c r="M18" s="2"/>
    </x:row>
    <x:row r="19" ht="48" customHeight="1">
      <x:c r="A19" s="32" t="str">
        <x:v>Alimentación y artículos de consumo masivo</x:v>
      </x:c>
      <x:c r="B19" s="10" t="n">
        <x:f>IF(G19=0,"n.a.",INDEX($E$41:$E$656,G19))</x:f>
        <x:v>45.321309139785</x:v>
      </x:c>
      <x:c r="C19" s="11" t="n">
        <x:f>IF(G19=0,"n.a.",INDEX($F$41:$F$656,G19))</x:f>
        <x:v>0.15881582057189828</x:v>
      </x:c>
      <x:c r="D19" s="2" t="n">
        <x:f>IF(G19=0,"n.a.",INDEX($I$41:$I$656,G19))</x:f>
        <x:v>6</x:v>
      </x:c>
      <x:c r="E19" s="2" t="str">
        <x:f>IF(G19=0,"n.a.",INDEX($K$41:$K$656,G19))</x:f>
        <x:v>Prioridad</x:v>
      </x:c>
      <x:c r="F19" s="32" t="str">
        <x:f>IF(G19=0,"n.a.",INDEX($L$41:$L$656,G19))</x:f>
        <x:v>Persistencia</x:v>
      </x:c>
      <x:c r="G19" s="2" t="n">
        <x:f>IF(COUNTIFS($A$41:$A$656,$B$4,$B$41:$B$656,A19)=1,SUMIFS($M$41:$M$656,$A$41:$A$656,$B$4,$B$41:$B$656,A19),0)</x:f>
        <x:v>605</x:v>
      </x:c>
      <x:c r="H19" s="2"/>
      <x:c r="I19" s="2"/>
      <x:c r="J19" s="2"/>
      <x:c r="K19" s="2"/>
      <x:c r="L19" s="2"/>
      <x:c r="M19" s="2"/>
    </x:row>
    <x:row r="20" ht="48" customHeight="1">
      <x:c r="A20" s="32" t="str">
        <x:v>Servicios públicos y transporte: agua y transporte en GBA</x:v>
      </x:c>
      <x:c r="B20" s="10" t="n">
        <x:f>IF(G20=0,"n.a.",INDEX($E$41:$E$656,G20))</x:f>
        <x:v>-3.2478776881720393</x:v>
      </x:c>
      <x:c r="C20" s="11" t="n">
        <x:f>IF(G20=0,"n.a.",INDEX($F$41:$F$656,G20))</x:f>
        <x:v>-0.0446192997142646</x:v>
      </x:c>
      <x:c r="D20" s="2" t="n">
        <x:f>IF(G20=0,"n.a.",INDEX($I$41:$I$656,G20))</x:f>
        <x:v>0</x:v>
      </x:c>
      <x:c r="E20" s="2" t="str">
        <x:f>IF(G20=0,"n.a.",INDEX($K$41:$K$656,G20))</x:f>
        <x:v>Sin umbral</x:v>
      </x:c>
      <x:c r="F20" s="32" t="str">
        <x:f>IF(G20=0,"n.a.",INDEX($L$41:$L$656,G20))</x:f>
        <x:v>Sin umbral</x:v>
      </x:c>
      <x:c r="G20" s="2" t="n">
        <x:f>IF(COUNTIFS($A$41:$A$656,$B$4,$B$41:$B$656,A20)=1,SUMIFS($M$41:$M$656,$A$41:$A$656,$B$4,$B$41:$B$656,A20),0)</x:f>
        <x:v>606</x:v>
      </x:c>
      <x:c r="H20" s="2"/>
      <x:c r="I20" s="2"/>
      <x:c r="J20" s="2"/>
      <x:c r="K20" s="2"/>
      <x:c r="L20" s="2"/>
      <x:c r="M20" s="2"/>
    </x:row>
    <x:row r="21" ht="48" customHeight="1">
      <x:c r="A21" s="32" t="str">
        <x:v>Industria automotriz</x:v>
      </x:c>
      <x:c r="B21" s="10" t="n">
        <x:f>IF(G21=0,"n.a.",INDEX($E$41:$E$656,G21))</x:f>
        <x:v>4.1519341397849345</x:v>
      </x:c>
      <x:c r="C21" s="11" t="n">
        <x:f>IF(G21=0,"n.a.",INDEX($F$41:$F$656,G21))</x:f>
        <x:v>0.10197846620975094</x:v>
      </x:c>
      <x:c r="D21" s="2" t="n">
        <x:f>IF(G21=0,"n.a.",INDEX($I$41:$I$656,G21))</x:f>
        <x:v>0</x:v>
      </x:c>
      <x:c r="E21" s="2" t="str">
        <x:f>IF(G21=0,"n.a.",INDEX($K$41:$K$656,G21))</x:f>
        <x:v>Sin umbral</x:v>
      </x:c>
      <x:c r="F21" s="32" t="str">
        <x:f>IF(G21=0,"n.a.",INDEX($L$41:$L$656,G21))</x:f>
        <x:v>Sin umbral</x:v>
      </x:c>
      <x:c r="G21" s="2" t="n">
        <x:f>IF(COUNTIFS($A$41:$A$656,$B$4,$B$41:$B$656,A21)=1,SUMIFS($M$41:$M$656,$A$41:$A$656,$B$4,$B$41:$B$656,A21),0)</x:f>
        <x:v>607</x:v>
      </x:c>
      <x:c r="H21" s="2"/>
      <x:c r="I21" s="2"/>
      <x:c r="J21" s="2"/>
      <x:c r="K21" s="2"/>
      <x:c r="L21" s="2"/>
      <x:c r="M21" s="2"/>
    </x:row>
    <x:row r="22" ht="48" customHeight="1">
      <x:c r="A22" s="32" t="str">
        <x:v>Derivados de petróleo</x:v>
      </x:c>
      <x:c r="B22" s="10" t="n">
        <x:f>IF(G22=0,"n.a.",INDEX($E$41:$E$656,G22))</x:f>
        <x:v>13.784920698924765</x:v>
      </x:c>
      <x:c r="C22" s="11" t="n">
        <x:f>IF(G22=0,"n.a.",INDEX($F$41:$F$656,G22))</x:f>
        <x:v>0.0952031043547149</x:v>
      </x:c>
      <x:c r="D22" s="2" t="n">
        <x:f>IF(G22=0,"n.a.",INDEX($I$41:$I$656,G22))</x:f>
        <x:v>0</x:v>
      </x:c>
      <x:c r="E22" s="2" t="str">
        <x:f>IF(G22=0,"n.a.",INDEX($K$41:$K$656,G22))</x:f>
        <x:v>Sin umbral</x:v>
      </x:c>
      <x:c r="F22" s="32" t="str">
        <x:f>IF(G22=0,"n.a.",INDEX($L$41:$L$656,G22))</x:f>
        <x:v>Sin umbral</x:v>
      </x:c>
      <x:c r="G22" s="2" t="n">
        <x:f>IF(COUNTIFS($A$41:$A$656,$B$4,$B$41:$B$656,A22)=1,SUMIFS($M$41:$M$656,$A$41:$A$656,$B$4,$B$41:$B$656,A22),0)</x:f>
        <x:v>608</x:v>
      </x:c>
      <x:c r="H22" s="2"/>
      <x:c r="I22" s="2"/>
      <x:c r="J22" s="2"/>
      <x:c r="K22" s="2"/>
      <x:c r="L22" s="2"/>
      <x:c r="M22" s="2"/>
    </x:row>
    <x:row r="23" ht="48" customHeight="1">
      <x:c r="A23" s="32" t="str">
        <x:v>Construcción: elaboración de cemento y canteras</x:v>
      </x:c>
      <x:c r="B23" s="10" t="n">
        <x:f>IF(G23=0,"n.a.",INDEX($E$41:$E$656,G23))</x:f>
        <x:v>-32.370548387096775</x:v>
      </x:c>
      <x:c r="C23" s="11" t="n">
        <x:f>IF(G23=0,"n.a.",INDEX($F$41:$F$656,G23))</x:f>
        <x:v>-0.26407357182389274</x:v>
      </x:c>
      <x:c r="D23" s="2" t="n">
        <x:f>IF(G23=0,"n.a.",INDEX($I$41:$I$656,G23))</x:f>
        <x:v>2</x:v>
      </x:c>
      <x:c r="E23" s="2" t="str">
        <x:f>IF(G23=0,"n.a.",INDEX($K$41:$K$656,G23))</x:f>
        <x:v>Prioridad</x:v>
      </x:c>
      <x:c r="F23" s="32" t="str">
        <x:f>IF(G23=0,"n.a.",INDEX($L$41:$L$656,G23))</x:f>
        <x:v>Magnitud</x:v>
      </x:c>
      <x:c r="G23" s="2" t="n">
        <x:f>IF(COUNTIFS($A$41:$A$656,$B$4,$B$41:$B$656,A23)=1,SUMIFS($M$41:$M$656,$A$41:$A$656,$B$4,$B$41:$B$656,A23),0)</x:f>
        <x:v>609</x:v>
      </x:c>
      <x:c r="H23" s="2"/>
      <x:c r="I23" s="2"/>
      <x:c r="J23" s="2"/>
      <x:c r="K23" s="2"/>
      <x:c r="L23" s="2"/>
      <x:c r="M23" s="2"/>
    </x:row>
    <x:row r="24" ht="48" customHeight="1">
      <x:c r="A24" s="32" t="str">
        <x:v>Madera y papel</x:v>
      </x:c>
      <x:c r="B24" s="10" t="n">
        <x:f>IF(G24=0,"n.a.",INDEX($E$41:$E$656,G24))</x:f>
        <x:v>0.5745846774193524</x:v>
      </x:c>
      <x:c r="C24" s="11" t="n">
        <x:f>IF(G24=0,"n.a.",INDEX($F$41:$F$656,G24))</x:f>
        <x:v>0.005488203855619458</x:v>
      </x:c>
      <x:c r="D24" s="2" t="n">
        <x:f>IF(G24=0,"n.a.",INDEX($I$41:$I$656,G24))</x:f>
        <x:v>0</x:v>
      </x:c>
      <x:c r="E24" s="2" t="str">
        <x:f>IF(G24=0,"n.a.",INDEX($K$41:$K$656,G24))</x:f>
        <x:v>Sin umbral</x:v>
      </x:c>
      <x:c r="F24" s="32" t="str">
        <x:f>IF(G24=0,"n.a.",INDEX($L$41:$L$656,G24))</x:f>
        <x:v>Sin umbral</x:v>
      </x:c>
      <x:c r="G24" s="2" t="n">
        <x:f>IF(COUNTIFS($A$41:$A$656,$B$4,$B$41:$B$656,A24)=1,SUMIFS($M$41:$M$656,$A$41:$A$656,$B$4,$B$41:$B$656,A24),0)</x:f>
        <x:v>610</x:v>
      </x:c>
      <x:c r="H24" s="2"/>
      <x:c r="I24" s="2"/>
      <x:c r="J24" s="2"/>
      <x:c r="K24" s="2"/>
      <x:c r="L24" s="2"/>
      <x:c r="M24" s="2"/>
    </x:row>
    <x:row r="25" ht="48" customHeight="1">
      <x:c r="A25" s="32" t="str">
        <x:v>Productos metálicos no automotores</x:v>
      </x:c>
      <x:c r="B25" s="10" t="n">
        <x:f>IF(G25=0,"n.a.",INDEX($E$41:$E$656,G25))</x:f>
        <x:v>-11.286775537634412</x:v>
      </x:c>
      <x:c r="C25" s="11" t="n">
        <x:f>IF(G25=0,"n.a.",INDEX($F$41:$F$656,G25))</x:f>
        <x:v>-0.2370123078810219</x:v>
      </x:c>
      <x:c r="D25" s="2" t="n">
        <x:f>IF(G25=0,"n.a.",INDEX($I$41:$I$656,G25))</x:f>
        <x:v>2</x:v>
      </x:c>
      <x:c r="E25" s="2" t="str">
        <x:f>IF(G25=0,"n.a.",INDEX($K$41:$K$656,G25))</x:f>
        <x:v>Prioridad</x:v>
      </x:c>
      <x:c r="F25" s="32" t="str">
        <x:f>IF(G25=0,"n.a.",INDEX($L$41:$L$656,G25))</x:f>
        <x:v>Magnitud</x:v>
      </x:c>
      <x:c r="G25" s="2" t="n">
        <x:f>IF(COUNTIFS($A$41:$A$656,$B$4,$B$41:$B$656,A25)=1,SUMIFS($M$41:$M$656,$A$41:$A$656,$B$4,$B$41:$B$656,A25),0)</x:f>
        <x:v>611</x:v>
      </x:c>
      <x:c r="H25" s="2"/>
      <x:c r="I25" s="2"/>
      <x:c r="J25" s="2"/>
      <x:c r="K25" s="2"/>
      <x:c r="L25" s="2"/>
      <x:c r="M25" s="2"/>
    </x:row>
    <x:row r="26" ht="48" customHeight="1">
      <x:c r="A26" s="32" t="str">
        <x:v>Gran siderurgia</x:v>
      </x:c>
      <x:c r="B26" s="10" t="n">
        <x:f>IF(G26=0,"n.a.",INDEX($E$41:$E$656,G26))</x:f>
        <x:v>11.902491935483852</x:v>
      </x:c>
      <x:c r="C26" s="11" t="n">
        <x:f>IF(G26=0,"n.a.",INDEX($F$41:$F$656,G26))</x:f>
        <x:v>0.04331896567538086</x:v>
      </x:c>
      <x:c r="D26" s="2" t="n">
        <x:f>IF(G26=0,"n.a.",INDEX($I$41:$I$656,G26))</x:f>
        <x:v>0</x:v>
      </x:c>
      <x:c r="E26" s="2" t="str">
        <x:f>IF(G26=0,"n.a.",INDEX($K$41:$K$656,G26))</x:f>
        <x:v>Sin umbral</x:v>
      </x:c>
      <x:c r="F26" s="32" t="str">
        <x:f>IF(G26=0,"n.a.",INDEX($L$41:$L$656,G26))</x:f>
        <x:v>Sin umbral</x:v>
      </x:c>
      <x:c r="G26" s="2" t="n">
        <x:f>IF(COUNTIFS($A$41:$A$656,$B$4,$B$41:$B$656,A26)=1,SUMIFS($M$41:$M$656,$A$41:$A$656,$B$4,$B$41:$B$656,A26),0)</x:f>
        <x:v>612</x:v>
      </x:c>
      <x:c r="H26" s="2"/>
      <x:c r="I26" s="2"/>
      <x:c r="J26" s="2"/>
      <x:c r="K26" s="2"/>
      <x:c r="L26" s="2"/>
      <x:c r="M26" s="2"/>
    </x:row>
    <x:row r="27" ht="48" customHeight="1">
      <x:c r="A27" s="32" t="str">
        <x:v>Industria textil</x:v>
      </x:c>
      <x:c r="B27" s="10" t="n">
        <x:f>IF(G27=0,"n.a.",INDEX($E$41:$E$656,G27))</x:f>
        <x:v>-9.407864247311828</x:v>
      </x:c>
      <x:c r="C27" s="11" t="n">
        <x:f>IF(G27=0,"n.a.",INDEX($F$41:$F$656,G27))</x:f>
        <x:v>-0.1880048443516081</x:v>
      </x:c>
      <x:c r="D27" s="2" t="n">
        <x:f>IF(G27=0,"n.a.",INDEX($I$41:$I$656,G27))</x:f>
        <x:v>12</x:v>
      </x:c>
      <x:c r="E27" s="2" t="str">
        <x:f>IF(G27=0,"n.a.",INDEX($K$41:$K$656,G27))</x:f>
        <x:v>Prioridad</x:v>
      </x:c>
      <x:c r="F27" s="32" t="str">
        <x:f>IF(G27=0,"n.a.",INDEX($L$41:$L$656,G27))</x:f>
        <x:v>Persistencia</x:v>
      </x:c>
      <x:c r="G27" s="2" t="n">
        <x:f>IF(COUNTIFS($A$41:$A$656,$B$4,$B$41:$B$656,A27)=1,SUMIFS($M$41:$M$656,$A$41:$A$656,$B$4,$B$41:$B$656,A27),0)</x:f>
        <x:v>613</x:v>
      </x:c>
      <x:c r="H27" s="2"/>
      <x:c r="I27" s="2"/>
      <x:c r="J27" s="2"/>
      <x:c r="K27" s="2"/>
      <x:c r="L27" s="2"/>
      <x:c r="M27" s="2"/>
    </x:row>
    <x:row r="28" ht="48" customHeight="1">
      <x:c r="A28" s="32" t="str">
        <x:v>Químicas, caucho, plástico y otros minerales no metálicos</x:v>
      </x:c>
      <x:c r="B28" s="10" t="n">
        <x:f>IF(G28=0,"n.a.",INDEX($E$41:$E$656,G28))</x:f>
        <x:v>12.887194892473133</x:v>
      </x:c>
      <x:c r="C28" s="11" t="n">
        <x:f>IF(G28=0,"n.a.",INDEX($F$41:$F$656,G28))</x:f>
        <x:v>0.040544374189959174</x:v>
      </x:c>
      <x:c r="D28" s="2" t="n">
        <x:f>IF(G28=0,"n.a.",INDEX($I$41:$I$656,G28))</x:f>
        <x:v>0</x:v>
      </x:c>
      <x:c r="E28" s="2" t="str">
        <x:f>IF(G28=0,"n.a.",INDEX($K$41:$K$656,G28))</x:f>
        <x:v>Sin umbral</x:v>
      </x:c>
      <x:c r="F28" s="32" t="str">
        <x:f>IF(G28=0,"n.a.",INDEX($L$41:$L$656,G28))</x:f>
        <x:v>Sin umbral</x:v>
      </x:c>
      <x:c r="G28" s="2" t="n">
        <x:f>IF(COUNTIFS($A$41:$A$656,$B$4,$B$41:$B$656,A28)=1,SUMIFS($M$41:$M$656,$A$41:$A$656,$B$4,$B$41:$B$656,A28),0)</x:f>
        <x:v>614</x:v>
      </x:c>
      <x:c r="H28" s="2"/>
      <x:c r="I28" s="2"/>
      <x:c r="J28" s="2"/>
      <x:c r="K28" s="2"/>
      <x:c r="L28" s="2"/>
      <x:c r="M28" s="2"/>
    </x:row>
    <x:row r="29" ht="48" customHeight="1">
      <x:c r="A29" s="32" t="str">
        <x:v>Extracción de minerales</x:v>
      </x:c>
      <x:c r="B29" s="10" t="n">
        <x:f>IF(G29=0,"n.a.",INDEX($E$41:$E$656,G29))</x:f>
        <x:v>10.831815860215048</x:v>
      </x:c>
      <x:c r="C29" s="11" t="n">
        <x:f>IF(G29=0,"n.a.",INDEX($F$41:$F$656,G29))</x:f>
        <x:v>0.42764373920393184</x:v>
      </x:c>
      <x:c r="D29" s="2" t="n">
        <x:f>IF(G29=0,"n.a.",INDEX($I$41:$I$656,G29))</x:f>
        <x:v>4</x:v>
      </x:c>
      <x:c r="E29" s="2" t="str">
        <x:f>IF(G29=0,"n.a.",INDEX($K$41:$K$656,G29))</x:f>
        <x:v>Prioridad</x:v>
      </x:c>
      <x:c r="F29" s="32" t="str">
        <x:f>IF(G29=0,"n.a.",INDEX($L$41:$L$656,G29))</x:f>
        <x:v>Magnitud</x:v>
      </x:c>
      <x:c r="G29" s="2" t="n">
        <x:f>IF(COUNTIFS($A$41:$A$656,$B$4,$B$41:$B$656,A29)=1,SUMIFS($M$41:$M$656,$A$41:$A$656,$B$4,$B$41:$B$656,A29),0)</x:f>
        <x:v>615</x:v>
      </x:c>
      <x:c r="H29" s="2"/>
      <x:c r="I29" s="2"/>
      <x:c r="J29" s="2"/>
      <x:c r="K29" s="2"/>
      <x:c r="L29" s="2"/>
      <x:c r="M29" s="2"/>
    </x:row>
    <x:row r="30" ht="48" customHeight="1">
      <x:c r="A30" s="32" t="str">
        <x:v>Extracción de petróleo</x:v>
      </x:c>
      <x:c r="B30" s="10" t="n">
        <x:f>IF(G30=0,"n.a.",INDEX($E$41:$E$656,G30))</x:f>
        <x:v>9.60641263440857</x:v>
      </x:c>
      <x:c r="C30" s="11" t="n">
        <x:f>IF(G30=0,"n.a.",INDEX($F$41:$F$656,G30))</x:f>
        <x:v>0.06623544933185327</x:v>
      </x:c>
      <x:c r="D30" s="2" t="n">
        <x:f>IF(G30=0,"n.a.",INDEX($I$41:$I$656,G30))</x:f>
        <x:v>0</x:v>
      </x:c>
      <x:c r="E30" s="2" t="str">
        <x:f>IF(G30=0,"n.a.",INDEX($K$41:$K$656,G30))</x:f>
        <x:v>Sin umbral</x:v>
      </x:c>
      <x:c r="F30" s="32" t="str">
        <x:f>IF(G30=0,"n.a.",INDEX($L$41:$L$656,G30))</x:f>
        <x:v>Sin umbral</x:v>
      </x:c>
      <x:c r="G30" s="2" t="n">
        <x:f>IF(COUNTIFS($A$41:$A$656,$B$4,$B$41:$B$656,A30)=1,SUMIFS($M$41:$M$656,$A$41:$A$656,$B$4,$B$41:$B$656,A30),0)</x:f>
        <x:v>616</x:v>
      </x:c>
      <x:c r="H30" s="2"/>
      <x:c r="I30" s="2"/>
      <x:c r="J30" s="2"/>
      <x:c r="K30" s="2"/>
      <x:c r="L30" s="2"/>
      <x:c r="M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4" customHeight="1">
      <x:c r="A32" s="2" t="str">
        <x:v>Cálculo histórico: 44 meses comparables. Al inicio puede faltar historia para una racha de tres meses.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4" customHeight="1">
      <x:c r="A33" s="2" t="str">
        <x:v>Datos eléctricos enlazados a Actividades. La hoja conserva sus originales y fuentes.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4" customHeight="1">
      <x:c r="A34" s="2" t="str">
        <x:v>Regla: https://github.com/ignapetit25-tech/energy-demand-lab/blob/main/data/sector_alert_rules.json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4" customHeight="1">
      <x:c r="A35" s="2" t="str">
        <x:v>La racha cuenta meses consecutivos con observación y mismo signo, no meses de prioridad por magnitud.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4" customHeight="1">
      <x:c r="A36" s="2" t="str">
        <x:v>Futuro: protocolo independiente, octubre 2026–septiembre 2027. No hay resultados prospectivos.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4" customHeight="1">
      <x:c r="A37" s="2" t="str">
        <x:v>https://github.com/ignapetit25-tech/energy-demand-lab/blob/main/docs/validacion-sectorial-prospectiva.md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42" customHeight="1">
      <x:c r="A40" s="70" t="str">
        <x:v>Mes</x:v>
      </x:c>
      <x:c r="B40" s="70" t="str">
        <x:v>Actividad</x:v>
      </x:c>
      <x:c r="C40" s="70" t="str">
        <x:v>MW actual</x:v>
      </x:c>
      <x:c r="D40" s="70" t="str">
        <x:v>MW año anterior</x:v>
      </x:c>
      <x:c r="E40" s="70" t="str">
        <x:v>Cambio MW</x:v>
      </x:c>
      <x:c r="F40" s="70" t="str">
        <x:v>Interanual</x:v>
      </x:c>
      <x:c r="G40" s="70" t="str">
        <x:v>Observación</x:v>
      </x:c>
      <x:c r="H40" s="70" t="str">
        <x:v>Signo</x:v>
      </x:c>
      <x:c r="I40" s="70" t="str">
        <x:v>Racha meses</x:v>
      </x:c>
      <x:c r="J40" s="70" t="str">
        <x:v>Magnitud alta</x:v>
      </x:c>
      <x:c r="K40" s="70" t="str">
        <x:v>Estado</x:v>
      </x:c>
      <x:c r="L40" s="70" t="str">
        <x:v>Motivo</x:v>
      </x:c>
      <x:c r="M40" s="70" t="str">
        <x:v>Registro</x:v>
      </x:c>
    </x:row>
    <x:row r="41" ht="48" customHeight="1">
      <x:c r="A41" s="4" t="n">
        <x:v>44927</x:v>
      </x:c>
      <x:c r="B41" s="32" t="str">
        <x:v>Cargas y puertos</x:v>
      </x:c>
      <x:c r="C41" s="10" t="n">
        <x:f>IF(ISNUMBER('Actividades'!F178),'Actividades'!F178,"n.a.")</x:f>
        <x:v>9.867298387096774</x:v>
      </x:c>
      <x:c r="D41" s="10" t="n">
        <x:f>IF(ISNUMBER('Actividades'!G178),'Actividades'!G178,"n.a.")</x:f>
        <x:v>9.15655510752688</x:v>
      </x:c>
      <x:c r="E41" s="10" t="n">
        <x:f>IF(AND(ISNUMBER(C41),ISNUMBER(D41),C41&gt;=0,D41&gt;0),C41-D41,"n.a.")</x:f>
        <x:v>0.7107432795698934</x:v>
      </x:c>
      <x:c r="F41" s="12" t="n">
        <x:f>IF(ISNUMBER(E41),E41/D41,"n.a.")</x:f>
        <x:v>0.07762125288643187</x:v>
      </x:c>
      <x:c r="G41" s="2" t="n">
        <x:f>IF(ISNUMBER(F41),IF(AND(ABS(F41)+0.00000000001&gt;=$B$6,ABS(E41)+0.000000001&gt;=$D$6),1,0),"n.a.")</x:f>
        <x:v>0</x:v>
      </x:c>
      <x:c r="H41" s="2" t="n">
        <x:f>IF(ISNUMBER(E41),SIGN(E41),"n.a.")</x:f>
        <x:v>1</x:v>
      </x:c>
      <x:c r="I41" s="2" t="n">
        <x:f>IF(ISNUMBER(G41),G41,"n.a.")</x:f>
        <x:v>0</x:v>
      </x:c>
      <x:c r="J41" s="2" t="n">
        <x:f>IF(ISNUMBER(F41),IF(AND(ABS(F41)+0.00000000001&gt;=$B$7,ABS(E41)+0.000000001&gt;=$D$7),1,0),"n.a.")</x:f>
        <x:v>0</x:v>
      </x:c>
      <x:c r="K41" s="2" t="str">
        <x:f>IF(NOT(ISNUMBER(F41)),"No evaluable",IF(OR(J41=1,I41&gt;=$B$8),"Prioridad",IF(G41=1,"Observar","Sin umbral")))</x:f>
        <x:v>Sin umbral</x:v>
      </x:c>
      <x:c r="L41" s="2" t="str">
        <x:f>IF(K41="No evaluable","Faltan datos",IF(J41=1,"Magnitud",IF(I41&gt;=$B$8,"Persistencia",IF(G41=1,"Cambio del mes","Sin umbral"))))</x:f>
        <x:v>Sin umbral</x:v>
      </x:c>
      <x:c r="M41" s="2" t="n">
        <x:f>ROW()-40</x:f>
        <x:v>1</x:v>
      </x:c>
    </x:row>
    <x:row r="42" ht="48" customHeight="1">
      <x:c r="A42" s="4" t="n">
        <x:v>44927</x:v>
      </x:c>
      <x:c r="B42" s="32" t="str">
        <x:v>Comercio y servicios: principalmente supermercados y centros comerciales</x:v>
      </x:c>
      <x:c r="C42" s="10" t="n">
        <x:f>IF(ISNUMBER('Actividades'!F179),'Actividades'!F179,"n.a.")</x:f>
        <x:v>39.40074462365592</x:v>
      </x:c>
      <x:c r="D42" s="10" t="n">
        <x:f>IF(ISNUMBER('Actividades'!G179),'Actividades'!G179,"n.a.")</x:f>
        <x:v>34.46153897849462</x:v>
      </x:c>
      <x:c r="E42" s="10" t="n">
        <x:f>IF(AND(ISNUMBER(C42),ISNUMBER(D42),C42&gt;=0,D42&gt;0),C42-D42,"n.a.")</x:f>
        <x:v>4.9392056451612945</x:v>
      </x:c>
      <x:c r="F42" s="12" t="n">
        <x:f>IF(ISNUMBER(E42),E42/D42,"n.a.")</x:f>
        <x:v>0.14332516166046896</x:v>
      </x:c>
      <x:c r="G42" s="2" t="n">
        <x:f>IF(ISNUMBER(F42),IF(AND(ABS(F42)+0.00000000001&gt;=$B$6,ABS(E42)+0.000000001&gt;=$D$6),1,0),"n.a.")</x:f>
        <x:v>0</x:v>
      </x:c>
      <x:c r="H42" s="2" t="n">
        <x:f>IF(ISNUMBER(E42),SIGN(E42),"n.a.")</x:f>
        <x:v>1</x:v>
      </x:c>
      <x:c r="I42" s="2" t="n">
        <x:f>IF(ISNUMBER(G42),G42,"n.a.")</x:f>
        <x:v>0</x:v>
      </x:c>
      <x:c r="J42" s="2" t="n">
        <x:f>IF(ISNUMBER(F42),IF(AND(ABS(F42)+0.00000000001&gt;=$B$7,ABS(E42)+0.000000001&gt;=$D$7),1,0),"n.a.")</x:f>
        <x:v>0</x:v>
      </x:c>
      <x:c r="K42" s="2" t="str">
        <x:f>IF(NOT(ISNUMBER(F42)),"No evaluable",IF(OR(J42=1,I42&gt;=$B$8),"Prioridad",IF(G42=1,"Observar","Sin umbral")))</x:f>
        <x:v>Sin umbral</x:v>
      </x:c>
      <x:c r="L42" s="2" t="str">
        <x:f>IF(K42="No evaluable","Faltan datos",IF(J42=1,"Magnitud",IF(I42&gt;=$B$8,"Persistencia",IF(G42=1,"Cambio del mes","Sin umbral"))))</x:f>
        <x:v>Sin umbral</x:v>
      </x:c>
      <x:c r="M42" s="2" t="n">
        <x:f>ROW()-40</x:f>
        <x:v>2</x:v>
      </x:c>
    </x:row>
    <x:row r="43" ht="48" customHeight="1">
      <x:c r="A43" s="4" t="n">
        <x:v>44927</x:v>
      </x:c>
      <x:c r="B43" s="32" t="str">
        <x:v>Alimentación y artículos de consumo masivo</x:v>
      </x:c>
      <x:c r="C43" s="10" t="n">
        <x:f>IF(ISNUMBER('Actividades'!F180),'Actividades'!F180,"n.a.")</x:f>
        <x:v>253.06402956989245</x:v>
      </x:c>
      <x:c r="D43" s="10" t="n">
        <x:f>IF(ISNUMBER('Actividades'!G180),'Actividades'!G180,"n.a.")</x:f>
        <x:v>252.2577674731183</x:v>
      </x:c>
      <x:c r="E43" s="10" t="n">
        <x:f>IF(AND(ISNUMBER(C43),ISNUMBER(D43),C43&gt;=0,D43&gt;0),C43-D43,"n.a.")</x:f>
        <x:v>0.8062620967741623</x:v>
      </x:c>
      <x:c r="F43" s="12" t="n">
        <x:f>IF(ISNUMBER(E43),E43/D43,"n.a.")</x:f>
        <x:v>0.0031961834311408513</x:v>
      </x:c>
      <x:c r="G43" s="2" t="n">
        <x:f>IF(ISNUMBER(F43),IF(AND(ABS(F43)+0.00000000001&gt;=$B$6,ABS(E43)+0.000000001&gt;=$D$6),1,0),"n.a.")</x:f>
        <x:v>0</x:v>
      </x:c>
      <x:c r="H43" s="2" t="n">
        <x:f>IF(ISNUMBER(E43),SIGN(E43),"n.a.")</x:f>
        <x:v>1</x:v>
      </x:c>
      <x:c r="I43" s="2" t="n">
        <x:f>IF(ISNUMBER(G43),G43,"n.a.")</x:f>
        <x:v>0</x:v>
      </x:c>
      <x:c r="J43" s="2" t="n">
        <x:f>IF(ISNUMBER(F43),IF(AND(ABS(F43)+0.00000000001&gt;=$B$7,ABS(E43)+0.000000001&gt;=$D$7),1,0),"n.a.")</x:f>
        <x:v>0</x:v>
      </x:c>
      <x:c r="K43" s="2" t="str">
        <x:f>IF(NOT(ISNUMBER(F43)),"No evaluable",IF(OR(J43=1,I43&gt;=$B$8),"Prioridad",IF(G43=1,"Observar","Sin umbral")))</x:f>
        <x:v>Sin umbral</x:v>
      </x:c>
      <x:c r="L43" s="2" t="str">
        <x:f>IF(K43="No evaluable","Faltan datos",IF(J43=1,"Magnitud",IF(I43&gt;=$B$8,"Persistencia",IF(G43=1,"Cambio del mes","Sin umbral"))))</x:f>
        <x:v>Sin umbral</x:v>
      </x:c>
      <x:c r="M43" s="2" t="n">
        <x:f>ROW()-40</x:f>
        <x:v>3</x:v>
      </x:c>
    </x:row>
    <x:row r="44" ht="48" customHeight="1">
      <x:c r="A44" s="4" t="n">
        <x:v>44927</x:v>
      </x:c>
      <x:c r="B44" s="32" t="str">
        <x:v>Servicios públicos y transporte: agua y transporte en GBA</x:v>
      </x:c>
      <x:c r="C44" s="10" t="n">
        <x:f>IF(ISNUMBER('Actividades'!F181),'Actividades'!F181,"n.a.")</x:f>
        <x:v>91.0561115591398</x:v>
      </x:c>
      <x:c r="D44" s="10" t="n">
        <x:f>IF(ISNUMBER('Actividades'!G181),'Actividades'!G181,"n.a.")</x:f>
        <x:v>82.11238440860215</x:v>
      </x:c>
      <x:c r="E44" s="10" t="n">
        <x:f>IF(AND(ISNUMBER(C44),ISNUMBER(D44),C44&gt;=0,D44&gt;0),C44-D44,"n.a.")</x:f>
        <x:v>8.94372715053764</x:v>
      </x:c>
      <x:c r="F44" s="12" t="n">
        <x:f>IF(ISNUMBER(E44),E44/D44,"n.a.")</x:f>
        <x:v>0.10892056313981169</x:v>
      </x:c>
      <x:c r="G44" s="2" t="n">
        <x:f>IF(ISNUMBER(F44),IF(AND(ABS(F44)+0.00000000001&gt;=$B$6,ABS(E44)+0.000000001&gt;=$D$6),1,0),"n.a.")</x:f>
        <x:v>1</x:v>
      </x:c>
      <x:c r="H44" s="2" t="n">
        <x:f>IF(ISNUMBER(E44),SIGN(E44),"n.a.")</x:f>
        <x:v>1</x:v>
      </x:c>
      <x:c r="I44" s="2" t="n">
        <x:f>IF(ISNUMBER(G44),G44,"n.a.")</x:f>
        <x:v>1</x:v>
      </x:c>
      <x:c r="J44" s="2" t="n">
        <x:f>IF(ISNUMBER(F44),IF(AND(ABS(F44)+0.00000000001&gt;=$B$7,ABS(E44)+0.000000001&gt;=$D$7),1,0),"n.a.")</x:f>
        <x:v>0</x:v>
      </x:c>
      <x:c r="K44" s="2" t="str">
        <x:f>IF(NOT(ISNUMBER(F44)),"No evaluable",IF(OR(J44=1,I44&gt;=$B$8),"Prioridad",IF(G44=1,"Observar","Sin umbral")))</x:f>
        <x:v>Observar</x:v>
      </x:c>
      <x:c r="L44" s="2" t="str">
        <x:f>IF(K44="No evaluable","Faltan datos",IF(J44=1,"Magnitud",IF(I44&gt;=$B$8,"Persistencia",IF(G44=1,"Cambio del mes","Sin umbral"))))</x:f>
        <x:v>Cambio del mes</x:v>
      </x:c>
      <x:c r="M44" s="2" t="n">
        <x:f>ROW()-40</x:f>
        <x:v>4</x:v>
      </x:c>
    </x:row>
    <x:row r="45" ht="48" customHeight="1">
      <x:c r="A45" s="4" t="n">
        <x:v>44927</x:v>
      </x:c>
      <x:c r="B45" s="32" t="str">
        <x:v>Industria automotriz</x:v>
      </x:c>
      <x:c r="C45" s="10" t="n">
        <x:f>IF(ISNUMBER('Actividades'!F182),'Actividades'!F182,"n.a.")</x:f>
        <x:v>30.346767473118277</x:v>
      </x:c>
      <x:c r="D45" s="10" t="n">
        <x:f>IF(ISNUMBER('Actividades'!G182),'Actividades'!G182,"n.a.")</x:f>
        <x:v>27.15961559139785</x:v>
      </x:c>
      <x:c r="E45" s="10" t="n">
        <x:f>IF(AND(ISNUMBER(C45),ISNUMBER(D45),C45&gt;=0,D45&gt;0),C45-D45,"n.a.")</x:f>
        <x:v>3.1871518817204283</x:v>
      </x:c>
      <x:c r="F45" s="12" t="n">
        <x:f>IF(ISNUMBER(E45),E45/D45,"n.a.")</x:f>
        <x:v>0.11734893194621951</x:v>
      </x:c>
      <x:c r="G45" s="2" t="n">
        <x:f>IF(ISNUMBER(F45),IF(AND(ABS(F45)+0.00000000001&gt;=$B$6,ABS(E45)+0.000000001&gt;=$D$6),1,0),"n.a.")</x:f>
        <x:v>0</x:v>
      </x:c>
      <x:c r="H45" s="2" t="n">
        <x:f>IF(ISNUMBER(E45),SIGN(E45),"n.a.")</x:f>
        <x:v>1</x:v>
      </x:c>
      <x:c r="I45" s="2" t="n">
        <x:f>IF(ISNUMBER(G45),G45,"n.a.")</x:f>
        <x:v>0</x:v>
      </x:c>
      <x:c r="J45" s="2" t="n">
        <x:f>IF(ISNUMBER(F45),IF(AND(ABS(F45)+0.00000000001&gt;=$B$7,ABS(E45)+0.000000001&gt;=$D$7),1,0),"n.a.")</x:f>
        <x:v>0</x:v>
      </x:c>
      <x:c r="K45" s="2" t="str">
        <x:f>IF(NOT(ISNUMBER(F45)),"No evaluable",IF(OR(J45=1,I45&gt;=$B$8),"Prioridad",IF(G45=1,"Observar","Sin umbral")))</x:f>
        <x:v>Sin umbral</x:v>
      </x:c>
      <x:c r="L45" s="2" t="str">
        <x:f>IF(K45="No evaluable","Faltan datos",IF(J45=1,"Magnitud",IF(I45&gt;=$B$8,"Persistencia",IF(G45=1,"Cambio del mes","Sin umbral"))))</x:f>
        <x:v>Sin umbral</x:v>
      </x:c>
      <x:c r="M45" s="2" t="n">
        <x:f>ROW()-40</x:f>
        <x:v>5</x:v>
      </x:c>
    </x:row>
    <x:row r="46" ht="48" customHeight="1">
      <x:c r="A46" s="4" t="n">
        <x:v>44927</x:v>
      </x:c>
      <x:c r="B46" s="32" t="str">
        <x:v>Derivados de petróleo</x:v>
      </x:c>
      <x:c r="C46" s="10" t="n">
        <x:f>IF(ISNUMBER('Actividades'!F183),'Actividades'!F183,"n.a.")</x:f>
        <x:v>161.63064516129032</x:v>
      </x:c>
      <x:c r="D46" s="10" t="n">
        <x:f>IF(ISNUMBER('Actividades'!G183),'Actividades'!G183,"n.a.")</x:f>
        <x:v>166.43643279569895</x:v>
      </x:c>
      <x:c r="E46" s="10" t="n">
        <x:f>IF(AND(ISNUMBER(C46),ISNUMBER(D46),C46&gt;=0,D46&gt;0),C46-D46,"n.a.")</x:f>
        <x:v>-4.805787634408631</x:v>
      </x:c>
      <x:c r="F46" s="12" t="n">
        <x:f>IF(ISNUMBER(E46),E46/D46,"n.a.")</x:f>
        <x:v>-0.02887461329039505</x:v>
      </x:c>
      <x:c r="G46" s="2" t="n">
        <x:f>IF(ISNUMBER(F46),IF(AND(ABS(F46)+0.00000000001&gt;=$B$6,ABS(E46)+0.000000001&gt;=$D$6),1,0),"n.a.")</x:f>
        <x:v>0</x:v>
      </x:c>
      <x:c r="H46" s="2" t="n">
        <x:f>IF(ISNUMBER(E46),SIGN(E46),"n.a.")</x:f>
        <x:v>-1</x:v>
      </x:c>
      <x:c r="I46" s="2" t="n">
        <x:f>IF(ISNUMBER(G46),G46,"n.a.")</x:f>
        <x:v>0</x:v>
      </x:c>
      <x:c r="J46" s="2" t="n">
        <x:f>IF(ISNUMBER(F46),IF(AND(ABS(F46)+0.00000000001&gt;=$B$7,ABS(E46)+0.000000001&gt;=$D$7),1,0),"n.a.")</x:f>
        <x:v>0</x:v>
      </x:c>
      <x:c r="K46" s="2" t="str">
        <x:f>IF(NOT(ISNUMBER(F46)),"No evaluable",IF(OR(J46=1,I46&gt;=$B$8),"Prioridad",IF(G46=1,"Observar","Sin umbral")))</x:f>
        <x:v>Sin umbral</x:v>
      </x:c>
      <x:c r="L46" s="2" t="str">
        <x:f>IF(K46="No evaluable","Faltan datos",IF(J46=1,"Magnitud",IF(I46&gt;=$B$8,"Persistencia",IF(G46=1,"Cambio del mes","Sin umbral"))))</x:f>
        <x:v>Sin umbral</x:v>
      </x:c>
      <x:c r="M46" s="2" t="n">
        <x:f>ROW()-40</x:f>
        <x:v>6</x:v>
      </x:c>
    </x:row>
    <x:row r="47" ht="48" customHeight="1">
      <x:c r="A47" s="4" t="n">
        <x:v>44927</x:v>
      </x:c>
      <x:c r="B47" s="32" t="str">
        <x:v>Construcción: elaboración de cemento y canteras</x:v>
      </x:c>
      <x:c r="C47" s="10" t="n">
        <x:f>IF(ISNUMBER('Actividades'!F184),'Actividades'!F184,"n.a.")</x:f>
        <x:v>155.53374059139784</x:v>
      </x:c>
      <x:c r="D47" s="10" t="n">
        <x:f>IF(ISNUMBER('Actividades'!G184),'Actividades'!G184,"n.a.")</x:f>
        <x:v>169.1680806451613</x:v>
      </x:c>
      <x:c r="E47" s="10" t="n">
        <x:f>IF(AND(ISNUMBER(C47),ISNUMBER(D47),C47&gt;=0,D47&gt;0),C47-D47,"n.a.")</x:f>
        <x:v>-13.634340053763452</x:v>
      </x:c>
      <x:c r="F47" s="12" t="n">
        <x:f>IF(ISNUMBER(E47),E47/D47,"n.a.")</x:f>
        <x:v>-0.08059641039707827</x:v>
      </x:c>
      <x:c r="G47" s="2" t="n">
        <x:f>IF(ISNUMBER(F47),IF(AND(ABS(F47)+0.00000000001&gt;=$B$6,ABS(E47)+0.000000001&gt;=$D$6),1,0),"n.a.")</x:f>
        <x:v>0</x:v>
      </x:c>
      <x:c r="H47" s="2" t="n">
        <x:f>IF(ISNUMBER(E47),SIGN(E47),"n.a.")</x:f>
        <x:v>-1</x:v>
      </x:c>
      <x:c r="I47" s="2" t="n">
        <x:f>IF(ISNUMBER(G47),G47,"n.a.")</x:f>
        <x:v>0</x:v>
      </x:c>
      <x:c r="J47" s="2" t="n">
        <x:f>IF(ISNUMBER(F47),IF(AND(ABS(F47)+0.00000000001&gt;=$B$7,ABS(E47)+0.000000001&gt;=$D$7),1,0),"n.a.")</x:f>
        <x:v>0</x:v>
      </x:c>
      <x:c r="K47" s="2" t="str">
        <x:f>IF(NOT(ISNUMBER(F47)),"No evaluable",IF(OR(J47=1,I47&gt;=$B$8),"Prioridad",IF(G47=1,"Observar","Sin umbral")))</x:f>
        <x:v>Sin umbral</x:v>
      </x:c>
      <x:c r="L47" s="2" t="str">
        <x:f>IF(K47="No evaluable","Faltan datos",IF(J47=1,"Magnitud",IF(I47&gt;=$B$8,"Persistencia",IF(G47=1,"Cambio del mes","Sin umbral"))))</x:f>
        <x:v>Sin umbral</x:v>
      </x:c>
      <x:c r="M47" s="2" t="n">
        <x:f>ROW()-40</x:f>
        <x:v>7</x:v>
      </x:c>
    </x:row>
    <x:row r="48" ht="48" customHeight="1">
      <x:c r="A48" s="4" t="n">
        <x:v>44927</x:v>
      </x:c>
      <x:c r="B48" s="32" t="str">
        <x:v>Madera y papel</x:v>
      </x:c>
      <x:c r="C48" s="10" t="n">
        <x:f>IF(ISNUMBER('Actividades'!F185),'Actividades'!F185,"n.a.")</x:f>
        <x:v>109.55588844086022</x:v>
      </x:c>
      <x:c r="D48" s="10" t="n">
        <x:f>IF(ISNUMBER('Actividades'!G185),'Actividades'!G185,"n.a.")</x:f>
        <x:v>102.87712499999999</x:v>
      </x:c>
      <x:c r="E48" s="10" t="n">
        <x:f>IF(AND(ISNUMBER(C48),ISNUMBER(D48),C48&gt;=0,D48&gt;0),C48-D48,"n.a.")</x:f>
        <x:v>6.678763440860223</x:v>
      </x:c>
      <x:c r="F48" s="12" t="n">
        <x:f>IF(ISNUMBER(E48),E48/D48,"n.a.")</x:f>
        <x:v>0.06491981031604668</x:v>
      </x:c>
      <x:c r="G48" s="2" t="n">
        <x:f>IF(ISNUMBER(F48),IF(AND(ABS(F48)+0.00000000001&gt;=$B$6,ABS(E48)+0.000000001&gt;=$D$6),1,0),"n.a.")</x:f>
        <x:v>0</x:v>
      </x:c>
      <x:c r="H48" s="2" t="n">
        <x:f>IF(ISNUMBER(E48),SIGN(E48),"n.a.")</x:f>
        <x:v>1</x:v>
      </x:c>
      <x:c r="I48" s="2" t="n">
        <x:f>IF(ISNUMBER(G48),G48,"n.a.")</x:f>
        <x:v>0</x:v>
      </x:c>
      <x:c r="J48" s="2" t="n">
        <x:f>IF(ISNUMBER(F48),IF(AND(ABS(F48)+0.00000000001&gt;=$B$7,ABS(E48)+0.000000001&gt;=$D$7),1,0),"n.a.")</x:f>
        <x:v>0</x:v>
      </x:c>
      <x:c r="K48" s="2" t="str">
        <x:f>IF(NOT(ISNUMBER(F48)),"No evaluable",IF(OR(J48=1,I48&gt;=$B$8),"Prioridad",IF(G48=1,"Observar","Sin umbral")))</x:f>
        <x:v>Sin umbral</x:v>
      </x:c>
      <x:c r="L48" s="2" t="str">
        <x:f>IF(K48="No evaluable","Faltan datos",IF(J48=1,"Magnitud",IF(I48&gt;=$B$8,"Persistencia",IF(G48=1,"Cambio del mes","Sin umbral"))))</x:f>
        <x:v>Sin umbral</x:v>
      </x:c>
      <x:c r="M48" s="2" t="n">
        <x:f>ROW()-40</x:f>
        <x:v>8</x:v>
      </x:c>
    </x:row>
    <x:row r="49" ht="48" customHeight="1">
      <x:c r="A49" s="4" t="n">
        <x:v>44927</x:v>
      </x:c>
      <x:c r="B49" s="32" t="str">
        <x:v>Productos metálicos no automotores</x:v>
      </x:c>
      <x:c r="C49" s="10" t="n">
        <x:f>IF(ISNUMBER('Actividades'!F186),'Actividades'!F186,"n.a.")</x:f>
        <x:v>44.24393548387097</x:v>
      </x:c>
      <x:c r="D49" s="10" t="n">
        <x:f>IF(ISNUMBER('Actividades'!G186),'Actividades'!G186,"n.a.")</x:f>
        <x:v>54.45709274193548</x:v>
      </x:c>
      <x:c r="E49" s="10" t="n">
        <x:f>IF(AND(ISNUMBER(C49),ISNUMBER(D49),C49&gt;=0,D49&gt;0),C49-D49,"n.a.")</x:f>
        <x:v>-10.213157258064513</x:v>
      </x:c>
      <x:c r="F49" s="12" t="n">
        <x:f>IF(ISNUMBER(E49),E49/D49,"n.a.")</x:f>
        <x:v>-0.18754503304947312</x:v>
      </x:c>
      <x:c r="G49" s="2" t="n">
        <x:f>IF(ISNUMBER(F49),IF(AND(ABS(F49)+0.00000000001&gt;=$B$6,ABS(E49)+0.000000001&gt;=$D$6),1,0),"n.a.")</x:f>
        <x:v>1</x:v>
      </x:c>
      <x:c r="H49" s="2" t="n">
        <x:f>IF(ISNUMBER(E49),SIGN(E49),"n.a.")</x:f>
        <x:v>-1</x:v>
      </x:c>
      <x:c r="I49" s="2" t="n">
        <x:f>IF(ISNUMBER(G49),G49,"n.a.")</x:f>
        <x:v>1</x:v>
      </x:c>
      <x:c r="J49" s="2" t="n">
        <x:f>IF(ISNUMBER(F49),IF(AND(ABS(F49)+0.00000000001&gt;=$B$7,ABS(E49)+0.000000001&gt;=$D$7),1,0),"n.a.")</x:f>
        <x:v>0</x:v>
      </x:c>
      <x:c r="K49" s="2" t="str">
        <x:f>IF(NOT(ISNUMBER(F49)),"No evaluable",IF(OR(J49=1,I49&gt;=$B$8),"Prioridad",IF(G49=1,"Observar","Sin umbral")))</x:f>
        <x:v>Observar</x:v>
      </x:c>
      <x:c r="L49" s="2" t="str">
        <x:f>IF(K49="No evaluable","Faltan datos",IF(J49=1,"Magnitud",IF(I49&gt;=$B$8,"Persistencia",IF(G49=1,"Cambio del mes","Sin umbral"))))</x:f>
        <x:v>Cambio del mes</x:v>
      </x:c>
      <x:c r="M49" s="2" t="n">
        <x:f>ROW()-40</x:f>
        <x:v>9</x:v>
      </x:c>
    </x:row>
    <x:row r="50" ht="48" customHeight="1">
      <x:c r="A50" s="4" t="n">
        <x:v>44927</x:v>
      </x:c>
      <x:c r="B50" s="32" t="str">
        <x:v>Gran siderurgia</x:v>
      </x:c>
      <x:c r="C50" s="10" t="n">
        <x:f>IF(ISNUMBER('Actividades'!F187),'Actividades'!F187,"n.a.")</x:f>
        <x:v>335.34868951612907</x:v>
      </x:c>
      <x:c r="D50" s="10" t="n">
        <x:f>IF(ISNUMBER('Actividades'!G187),'Actividades'!G187,"n.a.")</x:f>
        <x:v>255.77257258064515</x:v>
      </x:c>
      <x:c r="E50" s="10" t="n">
        <x:f>IF(AND(ISNUMBER(C50),ISNUMBER(D50),C50&gt;=0,D50&gt;0),C50-D50,"n.a.")</x:f>
        <x:v>79.57611693548392</x:v>
      </x:c>
      <x:c r="F50" s="12" t="n">
        <x:f>IF(ISNUMBER(E50),E50/D50,"n.a.")</x:f>
        <x:v>0.31112060270025066</x:v>
      </x:c>
      <x:c r="G50" s="2" t="n">
        <x:f>IF(ISNUMBER(F50),IF(AND(ABS(F50)+0.00000000001&gt;=$B$6,ABS(E50)+0.000000001&gt;=$D$6),1,0),"n.a.")</x:f>
        <x:v>1</x:v>
      </x:c>
      <x:c r="H50" s="2" t="n">
        <x:f>IF(ISNUMBER(E50),SIGN(E50),"n.a.")</x:f>
        <x:v>1</x:v>
      </x:c>
      <x:c r="I50" s="2" t="n">
        <x:f>IF(ISNUMBER(G50),G50,"n.a.")</x:f>
        <x:v>1</x:v>
      </x:c>
      <x:c r="J50" s="2" t="n">
        <x:f>IF(ISNUMBER(F50),IF(AND(ABS(F50)+0.00000000001&gt;=$B$7,ABS(E50)+0.000000001&gt;=$D$7),1,0),"n.a.")</x:f>
        <x:v>1</x:v>
      </x:c>
      <x:c r="K50" s="2" t="str">
        <x:f>IF(NOT(ISNUMBER(F50)),"No evaluable",IF(OR(J50=1,I50&gt;=$B$8),"Prioridad",IF(G50=1,"Observar","Sin umbral")))</x:f>
        <x:v>Prioridad</x:v>
      </x:c>
      <x:c r="L50" s="2" t="str">
        <x:f>IF(K50="No evaluable","Faltan datos",IF(J50=1,"Magnitud",IF(I50&gt;=$B$8,"Persistencia",IF(G50=1,"Cambio del mes","Sin umbral"))))</x:f>
        <x:v>Magnitud</x:v>
      </x:c>
      <x:c r="M50" s="2" t="n">
        <x:f>ROW()-40</x:f>
        <x:v>10</x:v>
      </x:c>
    </x:row>
    <x:row r="51" ht="48" customHeight="1">
      <x:c r="A51" s="4" t="n">
        <x:v>44927</x:v>
      </x:c>
      <x:c r="B51" s="32" t="str">
        <x:v>Industria textil</x:v>
      </x:c>
      <x:c r="C51" s="10" t="n">
        <x:f>IF(ISNUMBER('Actividades'!F188),'Actividades'!F188,"n.a.")</x:f>
        <x:v>43.68027688172043</x:v>
      </x:c>
      <x:c r="D51" s="10" t="n">
        <x:f>IF(ISNUMBER('Actividades'!G188),'Actividades'!G188,"n.a.")</x:f>
        <x:v>47.675805107526884</x:v>
      </x:c>
      <x:c r="E51" s="10" t="n">
        <x:f>IF(AND(ISNUMBER(C51),ISNUMBER(D51),C51&gt;=0,D51&gt;0),C51-D51,"n.a.")</x:f>
        <x:v>-3.995528225806453</x:v>
      </x:c>
      <x:c r="F51" s="12" t="n">
        <x:f>IF(ISNUMBER(E51),E51/D51,"n.a.")</x:f>
        <x:v>-0.08380620351968955</x:v>
      </x:c>
      <x:c r="G51" s="2" t="n">
        <x:f>IF(ISNUMBER(F51),IF(AND(ABS(F51)+0.00000000001&gt;=$B$6,ABS(E51)+0.000000001&gt;=$D$6),1,0),"n.a.")</x:f>
        <x:v>0</x:v>
      </x:c>
      <x:c r="H51" s="2" t="n">
        <x:f>IF(ISNUMBER(E51),SIGN(E51),"n.a.")</x:f>
        <x:v>-1</x:v>
      </x:c>
      <x:c r="I51" s="2" t="n">
        <x:f>IF(ISNUMBER(G51),G51,"n.a.")</x:f>
        <x:v>0</x:v>
      </x:c>
      <x:c r="J51" s="2" t="n">
        <x:f>IF(ISNUMBER(F51),IF(AND(ABS(F51)+0.00000000001&gt;=$B$7,ABS(E51)+0.000000001&gt;=$D$7),1,0),"n.a.")</x:f>
        <x:v>0</x:v>
      </x:c>
      <x:c r="K51" s="2" t="str">
        <x:f>IF(NOT(ISNUMBER(F51)),"No evaluable",IF(OR(J51=1,I51&gt;=$B$8),"Prioridad",IF(G51=1,"Observar","Sin umbral")))</x:f>
        <x:v>Sin umbral</x:v>
      </x:c>
      <x:c r="L51" s="2" t="str">
        <x:f>IF(K51="No evaluable","Faltan datos",IF(J51=1,"Magnitud",IF(I51&gt;=$B$8,"Persistencia",IF(G51=1,"Cambio del mes","Sin umbral"))))</x:f>
        <x:v>Sin umbral</x:v>
      </x:c>
      <x:c r="M51" s="2" t="n">
        <x:f>ROW()-40</x:f>
        <x:v>11</x:v>
      </x:c>
    </x:row>
    <x:row r="52" ht="48" customHeight="1">
      <x:c r="A52" s="4" t="n">
        <x:v>44927</x:v>
      </x:c>
      <x:c r="B52" s="32" t="str">
        <x:v>Químicas, caucho, plástico y otros minerales no metálicos</x:v>
      </x:c>
      <x:c r="C52" s="10" t="n">
        <x:f>IF(ISNUMBER('Actividades'!F189),'Actividades'!F189,"n.a.")</x:f>
        <x:v>322.3582688172043</x:v>
      </x:c>
      <x:c r="D52" s="10" t="n">
        <x:f>IF(ISNUMBER('Actividades'!G189),'Actividades'!G189,"n.a.")</x:f>
        <x:v>327.0321008064516</x:v>
      </x:c>
      <x:c r="E52" s="10" t="n">
        <x:f>IF(AND(ISNUMBER(C52),ISNUMBER(D52),C52&gt;=0,D52&gt;0),C52-D52,"n.a.")</x:f>
        <x:v>-4.673831989247276</x:v>
      </x:c>
      <x:c r="F52" s="12" t="n">
        <x:f>IF(ISNUMBER(E52),E52/D52,"n.a.")</x:f>
        <x:v>-0.01429166120916492</x:v>
      </x:c>
      <x:c r="G52" s="2" t="n">
        <x:f>IF(ISNUMBER(F52),IF(AND(ABS(F52)+0.00000000001&gt;=$B$6,ABS(E52)+0.000000001&gt;=$D$6),1,0),"n.a.")</x:f>
        <x:v>0</x:v>
      </x:c>
      <x:c r="H52" s="2" t="n">
        <x:f>IF(ISNUMBER(E52),SIGN(E52),"n.a.")</x:f>
        <x:v>-1</x:v>
      </x:c>
      <x:c r="I52" s="2" t="n">
        <x:f>IF(ISNUMBER(G52),G52,"n.a.")</x:f>
        <x:v>0</x:v>
      </x:c>
      <x:c r="J52" s="2" t="n">
        <x:f>IF(ISNUMBER(F52),IF(AND(ABS(F52)+0.00000000001&gt;=$B$7,ABS(E52)+0.000000001&gt;=$D$7),1,0),"n.a.")</x:f>
        <x:v>0</x:v>
      </x:c>
      <x:c r="K52" s="2" t="str">
        <x:f>IF(NOT(ISNUMBER(F52)),"No evaluable",IF(OR(J52=1,I52&gt;=$B$8),"Prioridad",IF(G52=1,"Observar","Sin umbral")))</x:f>
        <x:v>Sin umbral</x:v>
      </x:c>
      <x:c r="L52" s="2" t="str">
        <x:f>IF(K52="No evaluable","Faltan datos",IF(J52=1,"Magnitud",IF(I52&gt;=$B$8,"Persistencia",IF(G52=1,"Cambio del mes","Sin umbral"))))</x:f>
        <x:v>Sin umbral</x:v>
      </x:c>
      <x:c r="M52" s="2" t="n">
        <x:f>ROW()-40</x:f>
        <x:v>12</x:v>
      </x:c>
    </x:row>
    <x:row r="53" ht="48" customHeight="1">
      <x:c r="A53" s="4" t="n">
        <x:v>44927</x:v>
      </x:c>
      <x:c r="B53" s="32" t="str">
        <x:v>Extracción de minerales</x:v>
      </x:c>
      <x:c r="C53" s="10" t="n">
        <x:f>IF(ISNUMBER('Actividades'!F190),'Actividades'!F190,"n.a.")</x:f>
        <x:v>19.24130510752688</x:v>
      </x:c>
      <x:c r="D53" s="10" t="n">
        <x:f>IF(ISNUMBER('Actividades'!G190),'Actividades'!G190,"n.a.")</x:f>
        <x:v>14.804048387096774</x:v>
      </x:c>
      <x:c r="E53" s="10" t="n">
        <x:f>IF(AND(ISNUMBER(C53),ISNUMBER(D53),C53&gt;=0,D53&gt;0),C53-D53,"n.a.")</x:f>
        <x:v>4.437256720430106</x:v>
      </x:c>
      <x:c r="F53" s="12" t="n">
        <x:f>IF(ISNUMBER(E53),E53/D53,"n.a.")</x:f>
        <x:v>0.2997326545012933</x:v>
      </x:c>
      <x:c r="G53" s="2" t="n">
        <x:f>IF(ISNUMBER(F53),IF(AND(ABS(F53)+0.00000000001&gt;=$B$6,ABS(E53)+0.000000001&gt;=$D$6),1,0),"n.a.")</x:f>
        <x:v>0</x:v>
      </x:c>
      <x:c r="H53" s="2" t="n">
        <x:f>IF(ISNUMBER(E53),SIGN(E53),"n.a.")</x:f>
        <x:v>1</x:v>
      </x:c>
      <x:c r="I53" s="2" t="n">
        <x:f>IF(ISNUMBER(G53),G53,"n.a.")</x:f>
        <x:v>0</x:v>
      </x:c>
      <x:c r="J53" s="2" t="n">
        <x:f>IF(ISNUMBER(F53),IF(AND(ABS(F53)+0.00000000001&gt;=$B$7,ABS(E53)+0.000000001&gt;=$D$7),1,0),"n.a.")</x:f>
        <x:v>0</x:v>
      </x:c>
      <x:c r="K53" s="2" t="str">
        <x:f>IF(NOT(ISNUMBER(F53)),"No evaluable",IF(OR(J53=1,I53&gt;=$B$8),"Prioridad",IF(G53=1,"Observar","Sin umbral")))</x:f>
        <x:v>Sin umbral</x:v>
      </x:c>
      <x:c r="L53" s="2" t="str">
        <x:f>IF(K53="No evaluable","Faltan datos",IF(J53=1,"Magnitud",IF(I53&gt;=$B$8,"Persistencia",IF(G53=1,"Cambio del mes","Sin umbral"))))</x:f>
        <x:v>Sin umbral</x:v>
      </x:c>
      <x:c r="M53" s="2" t="n">
        <x:f>ROW()-40</x:f>
        <x:v>13</x:v>
      </x:c>
    </x:row>
    <x:row r="54" ht="48" customHeight="1">
      <x:c r="A54" s="4" t="n">
        <x:v>44927</x:v>
      </x:c>
      <x:c r="B54" s="32" t="str">
        <x:v>Extracción de petróleo</x:v>
      </x:c>
      <x:c r="C54" s="10" t="n">
        <x:f>IF(ISNUMBER('Actividades'!F191),'Actividades'!F191,"n.a.")</x:f>
        <x:v>146.68221639784946</x:v>
      </x:c>
      <x:c r="D54" s="10" t="n">
        <x:f>IF(ISNUMBER('Actividades'!G191),'Actividades'!G191,"n.a.")</x:f>
        <x:v>163.31348387096773</x:v>
      </x:c>
      <x:c r="E54" s="10" t="n">
        <x:f>IF(AND(ISNUMBER(C54),ISNUMBER(D54),C54&gt;=0,D54&gt;0),C54-D54,"n.a.")</x:f>
        <x:v>-16.63126747311827</x:v>
      </x:c>
      <x:c r="F54" s="12" t="n">
        <x:f>IF(ISNUMBER(E54),E54/D54,"n.a.")</x:f>
        <x:v>-0.10183646248253733</x:v>
      </x:c>
      <x:c r="G54" s="2" t="n">
        <x:f>IF(ISNUMBER(F54),IF(AND(ABS(F54)+0.00000000001&gt;=$B$6,ABS(E54)+0.000000001&gt;=$D$6),1,0),"n.a.")</x:f>
        <x:v>1</x:v>
      </x:c>
      <x:c r="H54" s="2" t="n">
        <x:f>IF(ISNUMBER(E54),SIGN(E54),"n.a.")</x:f>
        <x:v>-1</x:v>
      </x:c>
      <x:c r="I54" s="2" t="n">
        <x:f>IF(ISNUMBER(G54),G54,"n.a.")</x:f>
        <x:v>1</x:v>
      </x:c>
      <x:c r="J54" s="2" t="n">
        <x:f>IF(ISNUMBER(F54),IF(AND(ABS(F54)+0.00000000001&gt;=$B$7,ABS(E54)+0.000000001&gt;=$D$7),1,0),"n.a.")</x:f>
        <x:v>0</x:v>
      </x:c>
      <x:c r="K54" s="2" t="str">
        <x:f>IF(NOT(ISNUMBER(F54)),"No evaluable",IF(OR(J54=1,I54&gt;=$B$8),"Prioridad",IF(G54=1,"Observar","Sin umbral")))</x:f>
        <x:v>Observar</x:v>
      </x:c>
      <x:c r="L54" s="2" t="str">
        <x:f>IF(K54="No evaluable","Faltan datos",IF(J54=1,"Magnitud",IF(I54&gt;=$B$8,"Persistencia",IF(G54=1,"Cambio del mes","Sin umbral"))))</x:f>
        <x:v>Cambio del mes</x:v>
      </x:c>
      <x:c r="M54" s="2" t="n">
        <x:f>ROW()-40</x:f>
        <x:v>14</x:v>
      </x:c>
    </x:row>
    <x:row r="55" ht="48" customHeight="1">
      <x:c r="A55" s="4" t="n">
        <x:v>44958</x:v>
      </x:c>
      <x:c r="B55" s="32" t="str">
        <x:v>Cargas y puertos</x:v>
      </x:c>
      <x:c r="C55" s="10" t="n">
        <x:f>IF(ISNUMBER('Actividades'!F192),'Actividades'!F192,"n.a.")</x:f>
        <x:v>9.33863392857143</x:v>
      </x:c>
      <x:c r="D55" s="10" t="n">
        <x:f>IF(ISNUMBER('Actividades'!G192),'Actividades'!G192,"n.a.")</x:f>
        <x:v>8.332269345238094</x:v>
      </x:c>
      <x:c r="E55" s="10" t="n">
        <x:f>IF(AND(ISNUMBER(C55),ISNUMBER(D55),C55&gt;=0,D55&gt;0),C55-D55,"n.a.")</x:f>
        <x:v>1.006364583333335</x:v>
      </x:c>
      <x:c r="F55" s="12" t="n">
        <x:f>IF(ISNUMBER(E55),E55/D55,"n.a.")</x:f>
        <x:v>0.12077917091200059</x:v>
      </x:c>
      <x:c r="G55" s="2" t="n">
        <x:f>IF(ISNUMBER(F55),IF(AND(ABS(F55)+0.00000000001&gt;=$B$6,ABS(E55)+0.000000001&gt;=$D$6),1,0),"n.a.")</x:f>
        <x:v>0</x:v>
      </x:c>
      <x:c r="H55" s="2" t="n">
        <x:f>IF(ISNUMBER(E55),SIGN(E55),"n.a.")</x:f>
        <x:v>1</x:v>
      </x:c>
      <x:c r="I55" s="2" t="n">
        <x:f>IF(NOT(ISNUMBER(G55)),"n.a.",IF(G55=0,0,IF(AND(B55=B41,A55=EDATE(A41,1),H55=H41,ISNUMBER(I41)),I41+1,1)))</x:f>
        <x:v>0</x:v>
      </x:c>
      <x:c r="J55" s="2" t="n">
        <x:f>IF(ISNUMBER(F55),IF(AND(ABS(F55)+0.00000000001&gt;=$B$7,ABS(E55)+0.000000001&gt;=$D$7),1,0),"n.a.")</x:f>
        <x:v>0</x:v>
      </x:c>
      <x:c r="K55" s="2" t="str">
        <x:f>IF(NOT(ISNUMBER(F55)),"No evaluable",IF(OR(J55=1,I55&gt;=$B$8),"Prioridad",IF(G55=1,"Observar","Sin umbral")))</x:f>
        <x:v>Sin umbral</x:v>
      </x:c>
      <x:c r="L55" s="2" t="str">
        <x:f>IF(K55="No evaluable","Faltan datos",IF(J55=1,"Magnitud",IF(I55&gt;=$B$8,"Persistencia",IF(G55=1,"Cambio del mes","Sin umbral"))))</x:f>
        <x:v>Sin umbral</x:v>
      </x:c>
      <x:c r="M55" s="2" t="n">
        <x:f>ROW()-40</x:f>
        <x:v>15</x:v>
      </x:c>
    </x:row>
    <x:row r="56" ht="48" customHeight="1">
      <x:c r="A56" s="4" t="n">
        <x:v>44958</x:v>
      </x:c>
      <x:c r="B56" s="32" t="str">
        <x:v>Comercio y servicios: principalmente supermercados y centros comerciales</x:v>
      </x:c>
      <x:c r="C56" s="10" t="n">
        <x:f>IF(ISNUMBER('Actividades'!F193),'Actividades'!F193,"n.a.")</x:f>
        <x:v>38.53780952380952</x:v>
      </x:c>
      <x:c r="D56" s="10" t="n">
        <x:f>IF(ISNUMBER('Actividades'!G193),'Actividades'!G193,"n.a.")</x:f>
        <x:v>32.13583035714286</x:v>
      </x:c>
      <x:c r="E56" s="10" t="n">
        <x:f>IF(AND(ISNUMBER(C56),ISNUMBER(D56),C56&gt;=0,D56&gt;0),C56-D56,"n.a.")</x:f>
        <x:v>6.4019791666666634</x:v>
      </x:c>
      <x:c r="F56" s="12" t="n">
        <x:f>IF(ISNUMBER(E56),E56/D56,"n.a.")</x:f>
        <x:v>0.19921623606790326</x:v>
      </x:c>
      <x:c r="G56" s="2" t="n">
        <x:f>IF(ISNUMBER(F56),IF(AND(ABS(F56)+0.00000000001&gt;=$B$6,ABS(E56)+0.000000001&gt;=$D$6),1,0),"n.a.")</x:f>
        <x:v>1</x:v>
      </x:c>
      <x:c r="H56" s="2" t="n">
        <x:f>IF(ISNUMBER(E56),SIGN(E56),"n.a.")</x:f>
        <x:v>1</x:v>
      </x:c>
      <x:c r="I56" s="2" t="n">
        <x:f>IF(NOT(ISNUMBER(G56)),"n.a.",IF(G56=0,0,IF(AND(B56=B42,A56=EDATE(A42,1),H56=H42,ISNUMBER(I42)),I42+1,1)))</x:f>
        <x:v>1</x:v>
      </x:c>
      <x:c r="J56" s="2" t="n">
        <x:f>IF(ISNUMBER(F56),IF(AND(ABS(F56)+0.00000000001&gt;=$B$7,ABS(E56)+0.000000001&gt;=$D$7),1,0),"n.a.")</x:f>
        <x:v>0</x:v>
      </x:c>
      <x:c r="K56" s="2" t="str">
        <x:f>IF(NOT(ISNUMBER(F56)),"No evaluable",IF(OR(J56=1,I56&gt;=$B$8),"Prioridad",IF(G56=1,"Observar","Sin umbral")))</x:f>
        <x:v>Observar</x:v>
      </x:c>
      <x:c r="L56" s="2" t="str">
        <x:f>IF(K56="No evaluable","Faltan datos",IF(J56=1,"Magnitud",IF(I56&gt;=$B$8,"Persistencia",IF(G56=1,"Cambio del mes","Sin umbral"))))</x:f>
        <x:v>Cambio del mes</x:v>
      </x:c>
      <x:c r="M56" s="2" t="n">
        <x:f>ROW()-40</x:f>
        <x:v>16</x:v>
      </x:c>
    </x:row>
    <x:row r="57" ht="48" customHeight="1">
      <x:c r="A57" s="4" t="n">
        <x:v>44958</x:v>
      </x:c>
      <x:c r="B57" s="32" t="str">
        <x:v>Alimentación y artículos de consumo masivo</x:v>
      </x:c>
      <x:c r="C57" s="10" t="n">
        <x:f>IF(ISNUMBER('Actividades'!F194),'Actividades'!F194,"n.a.")</x:f>
        <x:v>262.4367589285714</x:v>
      </x:c>
      <x:c r="D57" s="10" t="n">
        <x:f>IF(ISNUMBER('Actividades'!G194),'Actividades'!G194,"n.a.")</x:f>
        <x:v>280.3545535714286</x:v>
      </x:c>
      <x:c r="E57" s="10" t="n">
        <x:f>IF(AND(ISNUMBER(C57),ISNUMBER(D57),C57&gt;=0,D57&gt;0),C57-D57,"n.a.")</x:f>
        <x:v>-17.91779464285719</x:v>
      </x:c>
      <x:c r="F57" s="12" t="n">
        <x:f>IF(ISNUMBER(E57),E57/D57,"n.a.")</x:f>
        <x:v>-0.06391119535817384</x:v>
      </x:c>
      <x:c r="G57" s="2" t="n">
        <x:f>IF(ISNUMBER(F57),IF(AND(ABS(F57)+0.00000000001&gt;=$B$6,ABS(E57)+0.000000001&gt;=$D$6),1,0),"n.a.")</x:f>
        <x:v>0</x:v>
      </x:c>
      <x:c r="H57" s="2" t="n">
        <x:f>IF(ISNUMBER(E57),SIGN(E57),"n.a.")</x:f>
        <x:v>-1</x:v>
      </x:c>
      <x:c r="I57" s="2" t="n">
        <x:f>IF(NOT(ISNUMBER(G57)),"n.a.",IF(G57=0,0,IF(AND(B57=B43,A57=EDATE(A43,1),H57=H43,ISNUMBER(I43)),I43+1,1)))</x:f>
        <x:v>0</x:v>
      </x:c>
      <x:c r="J57" s="2" t="n">
        <x:f>IF(ISNUMBER(F57),IF(AND(ABS(F57)+0.00000000001&gt;=$B$7,ABS(E57)+0.000000001&gt;=$D$7),1,0),"n.a.")</x:f>
        <x:v>0</x:v>
      </x:c>
      <x:c r="K57" s="2" t="str">
        <x:f>IF(NOT(ISNUMBER(F57)),"No evaluable",IF(OR(J57=1,I57&gt;=$B$8),"Prioridad",IF(G57=1,"Observar","Sin umbral")))</x:f>
        <x:v>Sin umbral</x:v>
      </x:c>
      <x:c r="L57" s="2" t="str">
        <x:f>IF(K57="No evaluable","Faltan datos",IF(J57=1,"Magnitud",IF(I57&gt;=$B$8,"Persistencia",IF(G57=1,"Cambio del mes","Sin umbral"))))</x:f>
        <x:v>Sin umbral</x:v>
      </x:c>
      <x:c r="M57" s="2" t="n">
        <x:f>ROW()-40</x:f>
        <x:v>17</x:v>
      </x:c>
    </x:row>
    <x:row r="58" ht="48" customHeight="1">
      <x:c r="A58" s="4" t="n">
        <x:v>44958</x:v>
      </x:c>
      <x:c r="B58" s="32" t="str">
        <x:v>Servicios públicos y transporte: agua y transporte en GBA</x:v>
      </x:c>
      <x:c r="C58" s="10" t="n">
        <x:f>IF(ISNUMBER('Actividades'!F195),'Actividades'!F195,"n.a.")</x:f>
        <x:v>90.42203571428571</x:v>
      </x:c>
      <x:c r="D58" s="10" t="n">
        <x:f>IF(ISNUMBER('Actividades'!G195),'Actividades'!G195,"n.a.")</x:f>
        <x:v>82.4677068452381</x:v>
      </x:c>
      <x:c r="E58" s="10" t="n">
        <x:f>IF(AND(ISNUMBER(C58),ISNUMBER(D58),C58&gt;=0,D58&gt;0),C58-D58,"n.a.")</x:f>
        <x:v>7.954328869047615</x:v>
      </x:c>
      <x:c r="F58" s="12" t="n">
        <x:f>IF(ISNUMBER(E58),E58/D58,"n.a.")</x:f>
        <x:v>0.09645386264923066</x:v>
      </x:c>
      <x:c r="G58" s="2" t="n">
        <x:f>IF(ISNUMBER(F58),IF(AND(ABS(F58)+0.00000000001&gt;=$B$6,ABS(E58)+0.000000001&gt;=$D$6),1,0),"n.a.")</x:f>
        <x:v>0</x:v>
      </x:c>
      <x:c r="H58" s="2" t="n">
        <x:f>IF(ISNUMBER(E58),SIGN(E58),"n.a.")</x:f>
        <x:v>1</x:v>
      </x:c>
      <x:c r="I58" s="2" t="n">
        <x:f>IF(NOT(ISNUMBER(G58)),"n.a.",IF(G58=0,0,IF(AND(B58=B44,A58=EDATE(A44,1),H58=H44,ISNUMBER(I44)),I44+1,1)))</x:f>
        <x:v>0</x:v>
      </x:c>
      <x:c r="J58" s="2" t="n">
        <x:f>IF(ISNUMBER(F58),IF(AND(ABS(F58)+0.00000000001&gt;=$B$7,ABS(E58)+0.000000001&gt;=$D$7),1,0),"n.a.")</x:f>
        <x:v>0</x:v>
      </x:c>
      <x:c r="K58" s="2" t="str">
        <x:f>IF(NOT(ISNUMBER(F58)),"No evaluable",IF(OR(J58=1,I58&gt;=$B$8),"Prioridad",IF(G58=1,"Observar","Sin umbral")))</x:f>
        <x:v>Sin umbral</x:v>
      </x:c>
      <x:c r="L58" s="2" t="str">
        <x:f>IF(K58="No evaluable","Faltan datos",IF(J58=1,"Magnitud",IF(I58&gt;=$B$8,"Persistencia",IF(G58=1,"Cambio del mes","Sin umbral"))))</x:f>
        <x:v>Sin umbral</x:v>
      </x:c>
      <x:c r="M58" s="2" t="n">
        <x:f>ROW()-40</x:f>
        <x:v>18</x:v>
      </x:c>
    </x:row>
    <x:row r="59" ht="48" customHeight="1">
      <x:c r="A59" s="4" t="n">
        <x:v>44958</x:v>
      </x:c>
      <x:c r="B59" s="32" t="str">
        <x:v>Industria automotriz</x:v>
      </x:c>
      <x:c r="C59" s="10" t="n">
        <x:f>IF(ISNUMBER('Actividades'!F196),'Actividades'!F196,"n.a.")</x:f>
        <x:v>41.615912202380954</x:v>
      </x:c>
      <x:c r="D59" s="10" t="n">
        <x:f>IF(ISNUMBER('Actividades'!G196),'Actividades'!G196,"n.a.")</x:f>
        <x:v>37.02190773809524</x:v>
      </x:c>
      <x:c r="E59" s="10" t="n">
        <x:f>IF(AND(ISNUMBER(C59),ISNUMBER(D59),C59&gt;=0,D59&gt;0),C59-D59,"n.a.")</x:f>
        <x:v>4.594004464285717</x:v>
      </x:c>
      <x:c r="F59" s="12" t="n">
        <x:f>IF(ISNUMBER(E59),E59/D59,"n.a.")</x:f>
        <x:v>0.12408880970654369</x:v>
      </x:c>
      <x:c r="G59" s="2" t="n">
        <x:f>IF(ISNUMBER(F59),IF(AND(ABS(F59)+0.00000000001&gt;=$B$6,ABS(E59)+0.000000001&gt;=$D$6),1,0),"n.a.")</x:f>
        <x:v>0</x:v>
      </x:c>
      <x:c r="H59" s="2" t="n">
        <x:f>IF(ISNUMBER(E59),SIGN(E59),"n.a.")</x:f>
        <x:v>1</x:v>
      </x:c>
      <x:c r="I59" s="2" t="n">
        <x:f>IF(NOT(ISNUMBER(G59)),"n.a.",IF(G59=0,0,IF(AND(B59=B45,A59=EDATE(A45,1),H59=H45,ISNUMBER(I45)),I45+1,1)))</x:f>
        <x:v>0</x:v>
      </x:c>
      <x:c r="J59" s="2" t="n">
        <x:f>IF(ISNUMBER(F59),IF(AND(ABS(F59)+0.00000000001&gt;=$B$7,ABS(E59)+0.000000001&gt;=$D$7),1,0),"n.a.")</x:f>
        <x:v>0</x:v>
      </x:c>
      <x:c r="K59" s="2" t="str">
        <x:f>IF(NOT(ISNUMBER(F59)),"No evaluable",IF(OR(J59=1,I59&gt;=$B$8),"Prioridad",IF(G59=1,"Observar","Sin umbral")))</x:f>
        <x:v>Sin umbral</x:v>
      </x:c>
      <x:c r="L59" s="2" t="str">
        <x:f>IF(K59="No evaluable","Faltan datos",IF(J59=1,"Magnitud",IF(I59&gt;=$B$8,"Persistencia",IF(G59=1,"Cambio del mes","Sin umbral"))))</x:f>
        <x:v>Sin umbral</x:v>
      </x:c>
      <x:c r="M59" s="2" t="n">
        <x:f>ROW()-40</x:f>
        <x:v>19</x:v>
      </x:c>
    </x:row>
    <x:row r="60" ht="48" customHeight="1">
      <x:c r="A60" s="4" t="n">
        <x:v>44958</x:v>
      </x:c>
      <x:c r="B60" s="32" t="str">
        <x:v>Derivados de petróleo</x:v>
      </x:c>
      <x:c r="C60" s="10" t="n">
        <x:f>IF(ISNUMBER('Actividades'!F197),'Actividades'!F197,"n.a.")</x:f>
        <x:v>154.5521681547619</x:v>
      </x:c>
      <x:c r="D60" s="10" t="n">
        <x:f>IF(ISNUMBER('Actividades'!G197),'Actividades'!G197,"n.a.")</x:f>
        <x:v>147.58782291666668</x:v>
      </x:c>
      <x:c r="E60" s="10" t="n">
        <x:f>IF(AND(ISNUMBER(C60),ISNUMBER(D60),C60&gt;=0,D60&gt;0),C60-D60,"n.a.")</x:f>
        <x:v>6.964345238095206</x:v>
      </x:c>
      <x:c r="F60" s="12" t="n">
        <x:f>IF(ISNUMBER(E60),E60/D60,"n.a.")</x:f>
        <x:v>0.047187803847662434</x:v>
      </x:c>
      <x:c r="G60" s="2" t="n">
        <x:f>IF(ISNUMBER(F60),IF(AND(ABS(F60)+0.00000000001&gt;=$B$6,ABS(E60)+0.000000001&gt;=$D$6),1,0),"n.a.")</x:f>
        <x:v>0</x:v>
      </x:c>
      <x:c r="H60" s="2" t="n">
        <x:f>IF(ISNUMBER(E60),SIGN(E60),"n.a.")</x:f>
        <x:v>1</x:v>
      </x:c>
      <x:c r="I60" s="2" t="n">
        <x:f>IF(NOT(ISNUMBER(G60)),"n.a.",IF(G60=0,0,IF(AND(B60=B46,A60=EDATE(A46,1),H60=H46,ISNUMBER(I46)),I46+1,1)))</x:f>
        <x:v>0</x:v>
      </x:c>
      <x:c r="J60" s="2" t="n">
        <x:f>IF(ISNUMBER(F60),IF(AND(ABS(F60)+0.00000000001&gt;=$B$7,ABS(E60)+0.000000001&gt;=$D$7),1,0),"n.a.")</x:f>
        <x:v>0</x:v>
      </x:c>
      <x:c r="K60" s="2" t="str">
        <x:f>IF(NOT(ISNUMBER(F60)),"No evaluable",IF(OR(J60=1,I60&gt;=$B$8),"Prioridad",IF(G60=1,"Observar","Sin umbral")))</x:f>
        <x:v>Sin umbral</x:v>
      </x:c>
      <x:c r="L60" s="2" t="str">
        <x:f>IF(K60="No evaluable","Faltan datos",IF(J60=1,"Magnitud",IF(I60&gt;=$B$8,"Persistencia",IF(G60=1,"Cambio del mes","Sin umbral"))))</x:f>
        <x:v>Sin umbral</x:v>
      </x:c>
      <x:c r="M60" s="2" t="n">
        <x:f>ROW()-40</x:f>
        <x:v>20</x:v>
      </x:c>
    </x:row>
    <x:row r="61" ht="48" customHeight="1">
      <x:c r="A61" s="4" t="n">
        <x:v>44958</x:v>
      </x:c>
      <x:c r="B61" s="32" t="str">
        <x:v>Construcción: elaboración de cemento y canteras</x:v>
      </x:c>
      <x:c r="C61" s="10" t="n">
        <x:f>IF(ISNUMBER('Actividades'!F198),'Actividades'!F198,"n.a.")</x:f>
        <x:v>173.6812857142857</x:v>
      </x:c>
      <x:c r="D61" s="10" t="n">
        <x:f>IF(ISNUMBER('Actividades'!G198),'Actividades'!G198,"n.a.")</x:f>
        <x:v>177.95991220238096</x:v>
      </x:c>
      <x:c r="E61" s="10" t="n">
        <x:f>IF(AND(ISNUMBER(C61),ISNUMBER(D61),C61&gt;=0,D61&gt;0),C61-D61,"n.a.")</x:f>
        <x:v>-4.278626488095256</x:v>
      </x:c>
      <x:c r="F61" s="12" t="n">
        <x:f>IF(ISNUMBER(E61),E61/D61,"n.a.")</x:f>
        <x:v>-0.024042642161058624</x:v>
      </x:c>
      <x:c r="G61" s="2" t="n">
        <x:f>IF(ISNUMBER(F61),IF(AND(ABS(F61)+0.00000000001&gt;=$B$6,ABS(E61)+0.000000001&gt;=$D$6),1,0),"n.a.")</x:f>
        <x:v>0</x:v>
      </x:c>
      <x:c r="H61" s="2" t="n">
        <x:f>IF(ISNUMBER(E61),SIGN(E61),"n.a.")</x:f>
        <x:v>-1</x:v>
      </x:c>
      <x:c r="I61" s="2" t="n">
        <x:f>IF(NOT(ISNUMBER(G61)),"n.a.",IF(G61=0,0,IF(AND(B61=B47,A61=EDATE(A47,1),H61=H47,ISNUMBER(I47)),I47+1,1)))</x:f>
        <x:v>0</x:v>
      </x:c>
      <x:c r="J61" s="2" t="n">
        <x:f>IF(ISNUMBER(F61),IF(AND(ABS(F61)+0.00000000001&gt;=$B$7,ABS(E61)+0.000000001&gt;=$D$7),1,0),"n.a.")</x:f>
        <x:v>0</x:v>
      </x:c>
      <x:c r="K61" s="2" t="str">
        <x:f>IF(NOT(ISNUMBER(F61)),"No evaluable",IF(OR(J61=1,I61&gt;=$B$8),"Prioridad",IF(G61=1,"Observar","Sin umbral")))</x:f>
        <x:v>Sin umbral</x:v>
      </x:c>
      <x:c r="L61" s="2" t="str">
        <x:f>IF(K61="No evaluable","Faltan datos",IF(J61=1,"Magnitud",IF(I61&gt;=$B$8,"Persistencia",IF(G61=1,"Cambio del mes","Sin umbral"))))</x:f>
        <x:v>Sin umbral</x:v>
      </x:c>
      <x:c r="M61" s="2" t="n">
        <x:f>ROW()-40</x:f>
        <x:v>21</x:v>
      </x:c>
    </x:row>
    <x:row r="62" ht="48" customHeight="1">
      <x:c r="A62" s="4" t="n">
        <x:v>44958</x:v>
      </x:c>
      <x:c r="B62" s="32" t="str">
        <x:v>Madera y papel</x:v>
      </x:c>
      <x:c r="C62" s="10" t="n">
        <x:f>IF(ISNUMBER('Actividades'!F199),'Actividades'!F199,"n.a.")</x:f>
        <x:v>109.72295982142857</x:v>
      </x:c>
      <x:c r="D62" s="10" t="n">
        <x:f>IF(ISNUMBER('Actividades'!G199),'Actividades'!G199,"n.a.")</x:f>
        <x:v>110.09395833333333</x:v>
      </x:c>
      <x:c r="E62" s="10" t="n">
        <x:f>IF(AND(ISNUMBER(C62),ISNUMBER(D62),C62&gt;=0,D62&gt;0),C62-D62,"n.a.")</x:f>
        <x:v>-0.37099851190475874</x:v>
      </x:c>
      <x:c r="F62" s="12" t="n">
        <x:f>IF(ISNUMBER(E62),E62/D62,"n.a.")</x:f>
        <x:v>-0.0033698353435660864</x:v>
      </x:c>
      <x:c r="G62" s="2" t="n">
        <x:f>IF(ISNUMBER(F62),IF(AND(ABS(F62)+0.00000000001&gt;=$B$6,ABS(E62)+0.000000001&gt;=$D$6),1,0),"n.a.")</x:f>
        <x:v>0</x:v>
      </x:c>
      <x:c r="H62" s="2" t="n">
        <x:f>IF(ISNUMBER(E62),SIGN(E62),"n.a.")</x:f>
        <x:v>-1</x:v>
      </x:c>
      <x:c r="I62" s="2" t="n">
        <x:f>IF(NOT(ISNUMBER(G62)),"n.a.",IF(G62=0,0,IF(AND(B62=B48,A62=EDATE(A48,1),H62=H48,ISNUMBER(I48)),I48+1,1)))</x:f>
        <x:v>0</x:v>
      </x:c>
      <x:c r="J62" s="2" t="n">
        <x:f>IF(ISNUMBER(F62),IF(AND(ABS(F62)+0.00000000001&gt;=$B$7,ABS(E62)+0.000000001&gt;=$D$7),1,0),"n.a.")</x:f>
        <x:v>0</x:v>
      </x:c>
      <x:c r="K62" s="2" t="str">
        <x:f>IF(NOT(ISNUMBER(F62)),"No evaluable",IF(OR(J62=1,I62&gt;=$B$8),"Prioridad",IF(G62=1,"Observar","Sin umbral")))</x:f>
        <x:v>Sin umbral</x:v>
      </x:c>
      <x:c r="L62" s="2" t="str">
        <x:f>IF(K62="No evaluable","Faltan datos",IF(J62=1,"Magnitud",IF(I62&gt;=$B$8,"Persistencia",IF(G62=1,"Cambio del mes","Sin umbral"))))</x:f>
        <x:v>Sin umbral</x:v>
      </x:c>
      <x:c r="M62" s="2" t="n">
        <x:f>ROW()-40</x:f>
        <x:v>22</x:v>
      </x:c>
    </x:row>
    <x:row r="63" ht="48" customHeight="1">
      <x:c r="A63" s="4" t="n">
        <x:v>44958</x:v>
      </x:c>
      <x:c r="B63" s="32" t="str">
        <x:v>Productos metálicos no automotores</x:v>
      </x:c>
      <x:c r="C63" s="10" t="n">
        <x:f>IF(ISNUMBER('Actividades'!F200),'Actividades'!F200,"n.a.")</x:f>
        <x:v>43.812755952380954</x:v>
      </x:c>
      <x:c r="D63" s="10" t="n">
        <x:f>IF(ISNUMBER('Actividades'!G200),'Actividades'!G200,"n.a.")</x:f>
        <x:v>64.37421875</x:v>
      </x:c>
      <x:c r="E63" s="10" t="n">
        <x:f>IF(AND(ISNUMBER(C63),ISNUMBER(D63),C63&gt;=0,D63&gt;0),C63-D63,"n.a.")</x:f>
        <x:v>-20.561462797619043</x:v>
      </x:c>
      <x:c r="F63" s="12" t="n">
        <x:f>IF(ISNUMBER(E63),E63/D63,"n.a.")</x:f>
        <x:v>-0.31940524012369537</x:v>
      </x:c>
      <x:c r="G63" s="2" t="n">
        <x:f>IF(ISNUMBER(F63),IF(AND(ABS(F63)+0.00000000001&gt;=$B$6,ABS(E63)+0.000000001&gt;=$D$6),1,0),"n.a.")</x:f>
        <x:v>1</x:v>
      </x:c>
      <x:c r="H63" s="2" t="n">
        <x:f>IF(ISNUMBER(E63),SIGN(E63),"n.a.")</x:f>
        <x:v>-1</x:v>
      </x:c>
      <x:c r="I63" s="2" t="n">
        <x:f>IF(NOT(ISNUMBER(G63)),"n.a.",IF(G63=0,0,IF(AND(B63=B49,A63=EDATE(A49,1),H63=H49,ISNUMBER(I49)),I49+1,1)))</x:f>
        <x:v>2</x:v>
      </x:c>
      <x:c r="J63" s="2" t="n">
        <x:f>IF(ISNUMBER(F63),IF(AND(ABS(F63)+0.00000000001&gt;=$B$7,ABS(E63)+0.000000001&gt;=$D$7),1,0),"n.a.")</x:f>
        <x:v>1</x:v>
      </x:c>
      <x:c r="K63" s="2" t="str">
        <x:f>IF(NOT(ISNUMBER(F63)),"No evaluable",IF(OR(J63=1,I63&gt;=$B$8),"Prioridad",IF(G63=1,"Observar","Sin umbral")))</x:f>
        <x:v>Prioridad</x:v>
      </x:c>
      <x:c r="L63" s="2" t="str">
        <x:f>IF(K63="No evaluable","Faltan datos",IF(J63=1,"Magnitud",IF(I63&gt;=$B$8,"Persistencia",IF(G63=1,"Cambio del mes","Sin umbral"))))</x:f>
        <x:v>Magnitud</x:v>
      </x:c>
      <x:c r="M63" s="2" t="n">
        <x:f>ROW()-40</x:f>
        <x:v>23</x:v>
      </x:c>
    </x:row>
    <x:row r="64" ht="48" customHeight="1">
      <x:c r="A64" s="4" t="n">
        <x:v>44958</x:v>
      </x:c>
      <x:c r="B64" s="32" t="str">
        <x:v>Gran siderurgia</x:v>
      </x:c>
      <x:c r="C64" s="10" t="n">
        <x:f>IF(ISNUMBER('Actividades'!F201),'Actividades'!F201,"n.a.")</x:f>
        <x:v>276.4356294642857</x:v>
      </x:c>
      <x:c r="D64" s="10" t="n">
        <x:f>IF(ISNUMBER('Actividades'!G201),'Actividades'!G201,"n.a.")</x:f>
        <x:v>289.5002470238095</x:v>
      </x:c>
      <x:c r="E64" s="10" t="n">
        <x:f>IF(AND(ISNUMBER(C64),ISNUMBER(D64),C64&gt;=0,D64&gt;0),C64-D64,"n.a.")</x:f>
        <x:v>-13.06461755952381</x:v>
      </x:c>
      <x:c r="F64" s="12" t="n">
        <x:f>IF(ISNUMBER(E64),E64/D64,"n.a.")</x:f>
        <x:v>-0.04512817413399074</x:v>
      </x:c>
      <x:c r="G64" s="2" t="n">
        <x:f>IF(ISNUMBER(F64),IF(AND(ABS(F64)+0.00000000001&gt;=$B$6,ABS(E64)+0.000000001&gt;=$D$6),1,0),"n.a.")</x:f>
        <x:v>0</x:v>
      </x:c>
      <x:c r="H64" s="2" t="n">
        <x:f>IF(ISNUMBER(E64),SIGN(E64),"n.a.")</x:f>
        <x:v>-1</x:v>
      </x:c>
      <x:c r="I64" s="2" t="n">
        <x:f>IF(NOT(ISNUMBER(G64)),"n.a.",IF(G64=0,0,IF(AND(B64=B50,A64=EDATE(A50,1),H64=H50,ISNUMBER(I50)),I50+1,1)))</x:f>
        <x:v>0</x:v>
      </x:c>
      <x:c r="J64" s="2" t="n">
        <x:f>IF(ISNUMBER(F64),IF(AND(ABS(F64)+0.00000000001&gt;=$B$7,ABS(E64)+0.000000001&gt;=$D$7),1,0),"n.a.")</x:f>
        <x:v>0</x:v>
      </x:c>
      <x:c r="K64" s="2" t="str">
        <x:f>IF(NOT(ISNUMBER(F64)),"No evaluable",IF(OR(J64=1,I64&gt;=$B$8),"Prioridad",IF(G64=1,"Observar","Sin umbral")))</x:f>
        <x:v>Sin umbral</x:v>
      </x:c>
      <x:c r="L64" s="2" t="str">
        <x:f>IF(K64="No evaluable","Faltan datos",IF(J64=1,"Magnitud",IF(I64&gt;=$B$8,"Persistencia",IF(G64=1,"Cambio del mes","Sin umbral"))))</x:f>
        <x:v>Sin umbral</x:v>
      </x:c>
      <x:c r="M64" s="2" t="n">
        <x:f>ROW()-40</x:f>
        <x:v>24</x:v>
      </x:c>
    </x:row>
    <x:row r="65" ht="48" customHeight="1">
      <x:c r="A65" s="4" t="n">
        <x:v>44958</x:v>
      </x:c>
      <x:c r="B65" s="32" t="str">
        <x:v>Industria textil</x:v>
      </x:c>
      <x:c r="C65" s="10" t="n">
        <x:f>IF(ISNUMBER('Actividades'!F202),'Actividades'!F202,"n.a.")</x:f>
        <x:v>64.85231398809523</x:v>
      </x:c>
      <x:c r="D65" s="10" t="n">
        <x:f>IF(ISNUMBER('Actividades'!G202),'Actividades'!G202,"n.a.")</x:f>
        <x:v>64.0452261904762</x:v>
      </x:c>
      <x:c r="E65" s="10" t="n">
        <x:f>IF(AND(ISNUMBER(C65),ISNUMBER(D65),C65&gt;=0,D65&gt;0),C65-D65,"n.a.")</x:f>
        <x:v>0.8070877976190332</x:v>
      </x:c>
      <x:c r="F65" s="12" t="n">
        <x:f>IF(ISNUMBER(E65),E65/D65,"n.a.")</x:f>
        <x:v>0.01260184163014246</x:v>
      </x:c>
      <x:c r="G65" s="2" t="n">
        <x:f>IF(ISNUMBER(F65),IF(AND(ABS(F65)+0.00000000001&gt;=$B$6,ABS(E65)+0.000000001&gt;=$D$6),1,0),"n.a.")</x:f>
        <x:v>0</x:v>
      </x:c>
      <x:c r="H65" s="2" t="n">
        <x:f>IF(ISNUMBER(E65),SIGN(E65),"n.a.")</x:f>
        <x:v>1</x:v>
      </x:c>
      <x:c r="I65" s="2" t="n">
        <x:f>IF(NOT(ISNUMBER(G65)),"n.a.",IF(G65=0,0,IF(AND(B65=B51,A65=EDATE(A51,1),H65=H51,ISNUMBER(I51)),I51+1,1)))</x:f>
        <x:v>0</x:v>
      </x:c>
      <x:c r="J65" s="2" t="n">
        <x:f>IF(ISNUMBER(F65),IF(AND(ABS(F65)+0.00000000001&gt;=$B$7,ABS(E65)+0.000000001&gt;=$D$7),1,0),"n.a.")</x:f>
        <x:v>0</x:v>
      </x:c>
      <x:c r="K65" s="2" t="str">
        <x:f>IF(NOT(ISNUMBER(F65)),"No evaluable",IF(OR(J65=1,I65&gt;=$B$8),"Prioridad",IF(G65=1,"Observar","Sin umbral")))</x:f>
        <x:v>Sin umbral</x:v>
      </x:c>
      <x:c r="L65" s="2" t="str">
        <x:f>IF(K65="No evaluable","Faltan datos",IF(J65=1,"Magnitud",IF(I65&gt;=$B$8,"Persistencia",IF(G65=1,"Cambio del mes","Sin umbral"))))</x:f>
        <x:v>Sin umbral</x:v>
      </x:c>
      <x:c r="M65" s="2" t="n">
        <x:f>ROW()-40</x:f>
        <x:v>25</x:v>
      </x:c>
    </x:row>
    <x:row r="66" ht="48" customHeight="1">
      <x:c r="A66" s="4" t="n">
        <x:v>44958</x:v>
      </x:c>
      <x:c r="B66" s="32" t="str">
        <x:v>Químicas, caucho, plástico y otros minerales no metálicos</x:v>
      </x:c>
      <x:c r="C66" s="10" t="n">
        <x:f>IF(ISNUMBER('Actividades'!F203),'Actividades'!F203,"n.a.")</x:f>
        <x:v>327.07293601190474</x:v>
      </x:c>
      <x:c r="D66" s="10" t="n">
        <x:f>IF(ISNUMBER('Actividades'!G203),'Actividades'!G203,"n.a.")</x:f>
        <x:v>326.57456845238096</x:v>
      </x:c>
      <x:c r="E66" s="10" t="n">
        <x:f>IF(AND(ISNUMBER(C66),ISNUMBER(D66),C66&gt;=0,D66&gt;0),C66-D66,"n.a.")</x:f>
        <x:v>0.49836755952378553</x:v>
      </x:c>
      <x:c r="F66" s="12" t="n">
        <x:f>IF(ISNUMBER(E66),E66/D66,"n.a.")</x:f>
        <x:v>0.001526045221112967</x:v>
      </x:c>
      <x:c r="G66" s="2" t="n">
        <x:f>IF(ISNUMBER(F66),IF(AND(ABS(F66)+0.00000000001&gt;=$B$6,ABS(E66)+0.000000001&gt;=$D$6),1,0),"n.a.")</x:f>
        <x:v>0</x:v>
      </x:c>
      <x:c r="H66" s="2" t="n">
        <x:f>IF(ISNUMBER(E66),SIGN(E66),"n.a.")</x:f>
        <x:v>1</x:v>
      </x:c>
      <x:c r="I66" s="2" t="n">
        <x:f>IF(NOT(ISNUMBER(G66)),"n.a.",IF(G66=0,0,IF(AND(B66=B52,A66=EDATE(A52,1),H66=H52,ISNUMBER(I52)),I52+1,1)))</x:f>
        <x:v>0</x:v>
      </x:c>
      <x:c r="J66" s="2" t="n">
        <x:f>IF(ISNUMBER(F66),IF(AND(ABS(F66)+0.00000000001&gt;=$B$7,ABS(E66)+0.000000001&gt;=$D$7),1,0),"n.a.")</x:f>
        <x:v>0</x:v>
      </x:c>
      <x:c r="K66" s="2" t="str">
        <x:f>IF(NOT(ISNUMBER(F66)),"No evaluable",IF(OR(J66=1,I66&gt;=$B$8),"Prioridad",IF(G66=1,"Observar","Sin umbral")))</x:f>
        <x:v>Sin umbral</x:v>
      </x:c>
      <x:c r="L66" s="2" t="str">
        <x:f>IF(K66="No evaluable","Faltan datos",IF(J66=1,"Magnitud",IF(I66&gt;=$B$8,"Persistencia",IF(G66=1,"Cambio del mes","Sin umbral"))))</x:f>
        <x:v>Sin umbral</x:v>
      </x:c>
      <x:c r="M66" s="2" t="n">
        <x:f>ROW()-40</x:f>
        <x:v>26</x:v>
      </x:c>
    </x:row>
    <x:row r="67" ht="48" customHeight="1">
      <x:c r="A67" s="4" t="n">
        <x:v>44958</x:v>
      </x:c>
      <x:c r="B67" s="32" t="str">
        <x:v>Extracción de minerales</x:v>
      </x:c>
      <x:c r="C67" s="10" t="n">
        <x:f>IF(ISNUMBER('Actividades'!F204),'Actividades'!F204,"n.a.")</x:f>
        <x:v>17.571998511904763</x:v>
      </x:c>
      <x:c r="D67" s="10" t="n">
        <x:f>IF(ISNUMBER('Actividades'!G204),'Actividades'!G204,"n.a.")</x:f>
        <x:v>16.29373363095238</x:v>
      </x:c>
      <x:c r="E67" s="10" t="n">
        <x:f>IF(AND(ISNUMBER(C67),ISNUMBER(D67),C67&gt;=0,D67&gt;0),C67-D67,"n.a.")</x:f>
        <x:v>1.2782648809523813</x:v>
      </x:c>
      <x:c r="F67" s="12" t="n">
        <x:f>IF(ISNUMBER(E67),E67/D67,"n.a.")</x:f>
        <x:v>0.07845131815117723</x:v>
      </x:c>
      <x:c r="G67" s="2" t="n">
        <x:f>IF(ISNUMBER(F67),IF(AND(ABS(F67)+0.00000000001&gt;=$B$6,ABS(E67)+0.000000001&gt;=$D$6),1,0),"n.a.")</x:f>
        <x:v>0</x:v>
      </x:c>
      <x:c r="H67" s="2" t="n">
        <x:f>IF(ISNUMBER(E67),SIGN(E67),"n.a.")</x:f>
        <x:v>1</x:v>
      </x:c>
      <x:c r="I67" s="2" t="n">
        <x:f>IF(NOT(ISNUMBER(G67)),"n.a.",IF(G67=0,0,IF(AND(B67=B53,A67=EDATE(A53,1),H67=H53,ISNUMBER(I53)),I53+1,1)))</x:f>
        <x:v>0</x:v>
      </x:c>
      <x:c r="J67" s="2" t="n">
        <x:f>IF(ISNUMBER(F67),IF(AND(ABS(F67)+0.00000000001&gt;=$B$7,ABS(E67)+0.000000001&gt;=$D$7),1,0),"n.a.")</x:f>
        <x:v>0</x:v>
      </x:c>
      <x:c r="K67" s="2" t="str">
        <x:f>IF(NOT(ISNUMBER(F67)),"No evaluable",IF(OR(J67=1,I67&gt;=$B$8),"Prioridad",IF(G67=1,"Observar","Sin umbral")))</x:f>
        <x:v>Sin umbral</x:v>
      </x:c>
      <x:c r="L67" s="2" t="str">
        <x:f>IF(K67="No evaluable","Faltan datos",IF(J67=1,"Magnitud",IF(I67&gt;=$B$8,"Persistencia",IF(G67=1,"Cambio del mes","Sin umbral"))))</x:f>
        <x:v>Sin umbral</x:v>
      </x:c>
      <x:c r="M67" s="2" t="n">
        <x:f>ROW()-40</x:f>
        <x:v>27</x:v>
      </x:c>
    </x:row>
    <x:row r="68" ht="48" customHeight="1">
      <x:c r="A68" s="4" t="n">
        <x:v>44958</x:v>
      </x:c>
      <x:c r="B68" s="32" t="str">
        <x:v>Extracción de petróleo</x:v>
      </x:c>
      <x:c r="C68" s="10" t="n">
        <x:f>IF(ISNUMBER('Actividades'!F205),'Actividades'!F205,"n.a.")</x:f>
        <x:v>160.39171577380952</x:v>
      </x:c>
      <x:c r="D68" s="10" t="n">
        <x:f>IF(ISNUMBER('Actividades'!G205),'Actividades'!G205,"n.a.")</x:f>
        <x:v>166.90400595238094</x:v>
      </x:c>
      <x:c r="E68" s="10" t="n">
        <x:f>IF(AND(ISNUMBER(C68),ISNUMBER(D68),C68&gt;=0,D68&gt;0),C68-D68,"n.a.")</x:f>
        <x:v>-6.512290178571419</x:v>
      </x:c>
      <x:c r="F68" s="12" t="n">
        <x:f>IF(ISNUMBER(E68),E68/D68,"n.a.")</x:f>
        <x:v>-0.0390181777927453</x:v>
      </x:c>
      <x:c r="G68" s="2" t="n">
        <x:f>IF(ISNUMBER(F68),IF(AND(ABS(F68)+0.00000000001&gt;=$B$6,ABS(E68)+0.000000001&gt;=$D$6),1,0),"n.a.")</x:f>
        <x:v>0</x:v>
      </x:c>
      <x:c r="H68" s="2" t="n">
        <x:f>IF(ISNUMBER(E68),SIGN(E68),"n.a.")</x:f>
        <x:v>-1</x:v>
      </x:c>
      <x:c r="I68" s="2" t="n">
        <x:f>IF(NOT(ISNUMBER(G68)),"n.a.",IF(G68=0,0,IF(AND(B68=B54,A68=EDATE(A54,1),H68=H54,ISNUMBER(I54)),I54+1,1)))</x:f>
        <x:v>0</x:v>
      </x:c>
      <x:c r="J68" s="2" t="n">
        <x:f>IF(ISNUMBER(F68),IF(AND(ABS(F68)+0.00000000001&gt;=$B$7,ABS(E68)+0.000000001&gt;=$D$7),1,0),"n.a.")</x:f>
        <x:v>0</x:v>
      </x:c>
      <x:c r="K68" s="2" t="str">
        <x:f>IF(NOT(ISNUMBER(F68)),"No evaluable",IF(OR(J68=1,I68&gt;=$B$8),"Prioridad",IF(G68=1,"Observar","Sin umbral")))</x:f>
        <x:v>Sin umbral</x:v>
      </x:c>
      <x:c r="L68" s="2" t="str">
        <x:f>IF(K68="No evaluable","Faltan datos",IF(J68=1,"Magnitud",IF(I68&gt;=$B$8,"Persistencia",IF(G68=1,"Cambio del mes","Sin umbral"))))</x:f>
        <x:v>Sin umbral</x:v>
      </x:c>
      <x:c r="M68" s="2" t="n">
        <x:f>ROW()-40</x:f>
        <x:v>28</x:v>
      </x:c>
    </x:row>
    <x:row r="69" ht="48" customHeight="1">
      <x:c r="A69" s="4" t="n">
        <x:v>44986</x:v>
      </x:c>
      <x:c r="B69" s="32" t="str">
        <x:v>Cargas y puertos</x:v>
      </x:c>
      <x:c r="C69" s="10" t="n">
        <x:f>IF(ISNUMBER('Actividades'!F206),'Actividades'!F206,"n.a.")</x:f>
        <x:v>9.396623655913977</x:v>
      </x:c>
      <x:c r="D69" s="10" t="n">
        <x:f>IF(ISNUMBER('Actividades'!G206),'Actividades'!G206,"n.a.")</x:f>
        <x:v>7.846103494623656</x:v>
      </x:c>
      <x:c r="E69" s="10" t="n">
        <x:f>IF(AND(ISNUMBER(C69),ISNUMBER(D69),C69&gt;=0,D69&gt;0),C69-D69,"n.a.")</x:f>
        <x:v>1.5505201612903212</x:v>
      </x:c>
      <x:c r="F69" s="12" t="n">
        <x:f>IF(ISNUMBER(E69),E69/D69,"n.a.")</x:f>
        <x:v>0.19761658284940747</x:v>
      </x:c>
      <x:c r="G69" s="2" t="n">
        <x:f>IF(ISNUMBER(F69),IF(AND(ABS(F69)+0.00000000001&gt;=$B$6,ABS(E69)+0.000000001&gt;=$D$6),1,0),"n.a.")</x:f>
        <x:v>0</x:v>
      </x:c>
      <x:c r="H69" s="2" t="n">
        <x:f>IF(ISNUMBER(E69),SIGN(E69),"n.a.")</x:f>
        <x:v>1</x:v>
      </x:c>
      <x:c r="I69" s="2" t="n">
        <x:f>IF(NOT(ISNUMBER(G69)),"n.a.",IF(G69=0,0,IF(AND(B69=B55,A69=EDATE(A55,1),H69=H55,ISNUMBER(I55)),I55+1,1)))</x:f>
        <x:v>0</x:v>
      </x:c>
      <x:c r="J69" s="2" t="n">
        <x:f>IF(ISNUMBER(F69),IF(AND(ABS(F69)+0.00000000001&gt;=$B$7,ABS(E69)+0.000000001&gt;=$D$7),1,0),"n.a.")</x:f>
        <x:v>0</x:v>
      </x:c>
      <x:c r="K69" s="2" t="str">
        <x:f>IF(NOT(ISNUMBER(F69)),"No evaluable",IF(OR(J69=1,I69&gt;=$B$8),"Prioridad",IF(G69=1,"Observar","Sin umbral")))</x:f>
        <x:v>Sin umbral</x:v>
      </x:c>
      <x:c r="L69" s="2" t="str">
        <x:f>IF(K69="No evaluable","Faltan datos",IF(J69=1,"Magnitud",IF(I69&gt;=$B$8,"Persistencia",IF(G69=1,"Cambio del mes","Sin umbral"))))</x:f>
        <x:v>Sin umbral</x:v>
      </x:c>
      <x:c r="M69" s="2" t="n">
        <x:f>ROW()-40</x:f>
        <x:v>29</x:v>
      </x:c>
    </x:row>
    <x:row r="70" ht="48" customHeight="1">
      <x:c r="A70" s="4" t="n">
        <x:v>44986</x:v>
      </x:c>
      <x:c r="B70" s="32" t="str">
        <x:v>Comercio y servicios: principalmente supermercados y centros comerciales</x:v>
      </x:c>
      <x:c r="C70" s="10" t="n">
        <x:f>IF(ISNUMBER('Actividades'!F207),'Actividades'!F207,"n.a.")</x:f>
        <x:v>39.80274193548387</x:v>
      </x:c>
      <x:c r="D70" s="10" t="n">
        <x:f>IF(ISNUMBER('Actividades'!G207),'Actividades'!G207,"n.a.")</x:f>
        <x:v>29.484176075268817</x:v>
      </x:c>
      <x:c r="E70" s="10" t="n">
        <x:f>IF(AND(ISNUMBER(C70),ISNUMBER(D70),C70&gt;=0,D70&gt;0),C70-D70,"n.a.")</x:f>
        <x:v>10.318565860215056</x:v>
      </x:c>
      <x:c r="F70" s="12" t="n">
        <x:f>IF(ISNUMBER(E70),E70/D70,"n.a.")</x:f>
        <x:v>0.3499696187498425</x:v>
      </x:c>
      <x:c r="G70" s="2" t="n">
        <x:f>IF(ISNUMBER(F70),IF(AND(ABS(F70)+0.00000000001&gt;=$B$6,ABS(E70)+0.000000001&gt;=$D$6),1,0),"n.a.")</x:f>
        <x:v>1</x:v>
      </x:c>
      <x:c r="H70" s="2" t="n">
        <x:f>IF(ISNUMBER(E70),SIGN(E70),"n.a.")</x:f>
        <x:v>1</x:v>
      </x:c>
      <x:c r="I70" s="2" t="n">
        <x:f>IF(NOT(ISNUMBER(G70)),"n.a.",IF(G70=0,0,IF(AND(B70=B56,A70=EDATE(A56,1),H70=H56,ISNUMBER(I56)),I56+1,1)))</x:f>
        <x:v>2</x:v>
      </x:c>
      <x:c r="J70" s="2" t="n">
        <x:f>IF(ISNUMBER(F70),IF(AND(ABS(F70)+0.00000000001&gt;=$B$7,ABS(E70)+0.000000001&gt;=$D$7),1,0),"n.a.")</x:f>
        <x:v>1</x:v>
      </x:c>
      <x:c r="K70" s="2" t="str">
        <x:f>IF(NOT(ISNUMBER(F70)),"No evaluable",IF(OR(J70=1,I70&gt;=$B$8),"Prioridad",IF(G70=1,"Observar","Sin umbral")))</x:f>
        <x:v>Prioridad</x:v>
      </x:c>
      <x:c r="L70" s="2" t="str">
        <x:f>IF(K70="No evaluable","Faltan datos",IF(J70=1,"Magnitud",IF(I70&gt;=$B$8,"Persistencia",IF(G70=1,"Cambio del mes","Sin umbral"))))</x:f>
        <x:v>Magnitud</x:v>
      </x:c>
      <x:c r="M70" s="2" t="n">
        <x:f>ROW()-40</x:f>
        <x:v>30</x:v>
      </x:c>
    </x:row>
    <x:row r="71" ht="48" customHeight="1">
      <x:c r="A71" s="4" t="n">
        <x:v>44986</x:v>
      </x:c>
      <x:c r="B71" s="32" t="str">
        <x:v>Alimentación y artículos de consumo masivo</x:v>
      </x:c>
      <x:c r="C71" s="10" t="n">
        <x:f>IF(ISNUMBER('Actividades'!F208),'Actividades'!F208,"n.a.")</x:f>
        <x:v>289.14820967741935</x:v>
      </x:c>
      <x:c r="D71" s="10" t="n">
        <x:f>IF(ISNUMBER('Actividades'!G208),'Actividades'!G208,"n.a.")</x:f>
        <x:v>277.9242338709677</x:v>
      </x:c>
      <x:c r="E71" s="10" t="n">
        <x:f>IF(AND(ISNUMBER(C71),ISNUMBER(D71),C71&gt;=0,D71&gt;0),C71-D71,"n.a.")</x:f>
        <x:v>11.22397580645162</x:v>
      </x:c>
      <x:c r="F71" s="12" t="n">
        <x:f>IF(ISNUMBER(E71),E71/D71,"n.a.")</x:f>
        <x:v>0.0403850202269968</x:v>
      </x:c>
      <x:c r="G71" s="2" t="n">
        <x:f>IF(ISNUMBER(F71),IF(AND(ABS(F71)+0.00000000001&gt;=$B$6,ABS(E71)+0.000000001&gt;=$D$6),1,0),"n.a.")</x:f>
        <x:v>0</x:v>
      </x:c>
      <x:c r="H71" s="2" t="n">
        <x:f>IF(ISNUMBER(E71),SIGN(E71),"n.a.")</x:f>
        <x:v>1</x:v>
      </x:c>
      <x:c r="I71" s="2" t="n">
        <x:f>IF(NOT(ISNUMBER(G71)),"n.a.",IF(G71=0,0,IF(AND(B71=B57,A71=EDATE(A57,1),H71=H57,ISNUMBER(I57)),I57+1,1)))</x:f>
        <x:v>0</x:v>
      </x:c>
      <x:c r="J71" s="2" t="n">
        <x:f>IF(ISNUMBER(F71),IF(AND(ABS(F71)+0.00000000001&gt;=$B$7,ABS(E71)+0.000000001&gt;=$D$7),1,0),"n.a.")</x:f>
        <x:v>0</x:v>
      </x:c>
      <x:c r="K71" s="2" t="str">
        <x:f>IF(NOT(ISNUMBER(F71)),"No evaluable",IF(OR(J71=1,I71&gt;=$B$8),"Prioridad",IF(G71=1,"Observar","Sin umbral")))</x:f>
        <x:v>Sin umbral</x:v>
      </x:c>
      <x:c r="L71" s="2" t="str">
        <x:f>IF(K71="No evaluable","Faltan datos",IF(J71=1,"Magnitud",IF(I71&gt;=$B$8,"Persistencia",IF(G71=1,"Cambio del mes","Sin umbral"))))</x:f>
        <x:v>Sin umbral</x:v>
      </x:c>
      <x:c r="M71" s="2" t="n">
        <x:f>ROW()-40</x:f>
        <x:v>31</x:v>
      </x:c>
    </x:row>
    <x:row r="72" ht="48" customHeight="1">
      <x:c r="A72" s="4" t="n">
        <x:v>44986</x:v>
      </x:c>
      <x:c r="B72" s="32" t="str">
        <x:v>Servicios públicos y transporte: agua y transporte en GBA</x:v>
      </x:c>
      <x:c r="C72" s="10" t="n">
        <x:f>IF(ISNUMBER('Actividades'!F209),'Actividades'!F209,"n.a.")</x:f>
        <x:v>92.39090994623656</x:v>
      </x:c>
      <x:c r="D72" s="10" t="n">
        <x:f>IF(ISNUMBER('Actividades'!G209),'Actividades'!G209,"n.a.")</x:f>
        <x:v>82.28246774193548</x:v>
      </x:c>
      <x:c r="E72" s="10" t="n">
        <x:f>IF(AND(ISNUMBER(C72),ISNUMBER(D72),C72&gt;=0,D72&gt;0),C72-D72,"n.a.")</x:f>
        <x:v>10.108442204301085</x:v>
      </x:c>
      <x:c r="F72" s="12" t="n">
        <x:f>IF(ISNUMBER(E72),E72/D72,"n.a.")</x:f>
        <x:v>0.12285049879646828</x:v>
      </x:c>
      <x:c r="G72" s="2" t="n">
        <x:f>IF(ISNUMBER(F72),IF(AND(ABS(F72)+0.00000000001&gt;=$B$6,ABS(E72)+0.000000001&gt;=$D$6),1,0),"n.a.")</x:f>
        <x:v>1</x:v>
      </x:c>
      <x:c r="H72" s="2" t="n">
        <x:f>IF(ISNUMBER(E72),SIGN(E72),"n.a.")</x:f>
        <x:v>1</x:v>
      </x:c>
      <x:c r="I72" s="2" t="n">
        <x:f>IF(NOT(ISNUMBER(G72)),"n.a.",IF(G72=0,0,IF(AND(B72=B58,A72=EDATE(A58,1),H72=H58,ISNUMBER(I58)),I58+1,1)))</x:f>
        <x:v>1</x:v>
      </x:c>
      <x:c r="J72" s="2" t="n">
        <x:f>IF(ISNUMBER(F72),IF(AND(ABS(F72)+0.00000000001&gt;=$B$7,ABS(E72)+0.000000001&gt;=$D$7),1,0),"n.a.")</x:f>
        <x:v>0</x:v>
      </x:c>
      <x:c r="K72" s="2" t="str">
        <x:f>IF(NOT(ISNUMBER(F72)),"No evaluable",IF(OR(J72=1,I72&gt;=$B$8),"Prioridad",IF(G72=1,"Observar","Sin umbral")))</x:f>
        <x:v>Observar</x:v>
      </x:c>
      <x:c r="L72" s="2" t="str">
        <x:f>IF(K72="No evaluable","Faltan datos",IF(J72=1,"Magnitud",IF(I72&gt;=$B$8,"Persistencia",IF(G72=1,"Cambio del mes","Sin umbral"))))</x:f>
        <x:v>Cambio del mes</x:v>
      </x:c>
      <x:c r="M72" s="2" t="n">
        <x:f>ROW()-40</x:f>
        <x:v>32</x:v>
      </x:c>
    </x:row>
    <x:row r="73" ht="48" customHeight="1">
      <x:c r="A73" s="4" t="n">
        <x:v>44986</x:v>
      </x:c>
      <x:c r="B73" s="32" t="str">
        <x:v>Industria automotriz</x:v>
      </x:c>
      <x:c r="C73" s="10" t="n">
        <x:f>IF(ISNUMBER('Actividades'!F210),'Actividades'!F210,"n.a.")</x:f>
        <x:v>46.577749999999995</x:v>
      </x:c>
      <x:c r="D73" s="10" t="n">
        <x:f>IF(ISNUMBER('Actividades'!G210),'Actividades'!G210,"n.a.")</x:f>
        <x:v>37.392795698924736</x:v>
      </x:c>
      <x:c r="E73" s="10" t="n">
        <x:f>IF(AND(ISNUMBER(C73),ISNUMBER(D73),C73&gt;=0,D73&gt;0),C73-D73,"n.a.")</x:f>
        <x:v>9.184954301075258</x:v>
      </x:c>
      <x:c r="F73" s="12" t="n">
        <x:f>IF(ISNUMBER(E73),E73/D73,"n.a.")</x:f>
        <x:v>0.24563432953849396</x:v>
      </x:c>
      <x:c r="G73" s="2" t="n">
        <x:f>IF(ISNUMBER(F73),IF(AND(ABS(F73)+0.00000000001&gt;=$B$6,ABS(E73)+0.000000001&gt;=$D$6),1,0),"n.a.")</x:f>
        <x:v>1</x:v>
      </x:c>
      <x:c r="H73" s="2" t="n">
        <x:f>IF(ISNUMBER(E73),SIGN(E73),"n.a.")</x:f>
        <x:v>1</x:v>
      </x:c>
      <x:c r="I73" s="2" t="n">
        <x:f>IF(NOT(ISNUMBER(G73)),"n.a.",IF(G73=0,0,IF(AND(B73=B59,A73=EDATE(A59,1),H73=H59,ISNUMBER(I59)),I59+1,1)))</x:f>
        <x:v>1</x:v>
      </x:c>
      <x:c r="J73" s="2" t="n">
        <x:f>IF(ISNUMBER(F73),IF(AND(ABS(F73)+0.00000000001&gt;=$B$7,ABS(E73)+0.000000001&gt;=$D$7),1,0),"n.a.")</x:f>
        <x:v>0</x:v>
      </x:c>
      <x:c r="K73" s="2" t="str">
        <x:f>IF(NOT(ISNUMBER(F73)),"No evaluable",IF(OR(J73=1,I73&gt;=$B$8),"Prioridad",IF(G73=1,"Observar","Sin umbral")))</x:f>
        <x:v>Observar</x:v>
      </x:c>
      <x:c r="L73" s="2" t="str">
        <x:f>IF(K73="No evaluable","Faltan datos",IF(J73=1,"Magnitud",IF(I73&gt;=$B$8,"Persistencia",IF(G73=1,"Cambio del mes","Sin umbral"))))</x:f>
        <x:v>Cambio del mes</x:v>
      </x:c>
      <x:c r="M73" s="2" t="n">
        <x:f>ROW()-40</x:f>
        <x:v>33</x:v>
      </x:c>
    </x:row>
    <x:row r="74" ht="48" customHeight="1">
      <x:c r="A74" s="4" t="n">
        <x:v>44986</x:v>
      </x:c>
      <x:c r="B74" s="32" t="str">
        <x:v>Derivados de petróleo</x:v>
      </x:c>
      <x:c r="C74" s="10" t="n">
        <x:f>IF(ISNUMBER('Actividades'!F211),'Actividades'!F211,"n.a.")</x:f>
        <x:v>154.19907930107527</x:v>
      </x:c>
      <x:c r="D74" s="10" t="n">
        <x:f>IF(ISNUMBER('Actividades'!G211),'Actividades'!G211,"n.a.")</x:f>
        <x:v>164.19376478494624</x:v>
      </x:c>
      <x:c r="E74" s="10" t="n">
        <x:f>IF(AND(ISNUMBER(C74),ISNUMBER(D74),C74&gt;=0,D74&gt;0),C74-D74,"n.a.")</x:f>
        <x:v>-9.994685483870967</x:v>
      </x:c>
      <x:c r="F74" s="12" t="n">
        <x:f>IF(ISNUMBER(E74),E74/D74,"n.a.")</x:f>
        <x:v>-0.0608712851974712</x:v>
      </x:c>
      <x:c r="G74" s="2" t="n">
        <x:f>IF(ISNUMBER(F74),IF(AND(ABS(F74)+0.00000000001&gt;=$B$6,ABS(E74)+0.000000001&gt;=$D$6),1,0),"n.a.")</x:f>
        <x:v>0</x:v>
      </x:c>
      <x:c r="H74" s="2" t="n">
        <x:f>IF(ISNUMBER(E74),SIGN(E74),"n.a.")</x:f>
        <x:v>-1</x:v>
      </x:c>
      <x:c r="I74" s="2" t="n">
        <x:f>IF(NOT(ISNUMBER(G74)),"n.a.",IF(G74=0,0,IF(AND(B74=B60,A74=EDATE(A60,1),H74=H60,ISNUMBER(I60)),I60+1,1)))</x:f>
        <x:v>0</x:v>
      </x:c>
      <x:c r="J74" s="2" t="n">
        <x:f>IF(ISNUMBER(F74),IF(AND(ABS(F74)+0.00000000001&gt;=$B$7,ABS(E74)+0.000000001&gt;=$D$7),1,0),"n.a.")</x:f>
        <x:v>0</x:v>
      </x:c>
      <x:c r="K74" s="2" t="str">
        <x:f>IF(NOT(ISNUMBER(F74)),"No evaluable",IF(OR(J74=1,I74&gt;=$B$8),"Prioridad",IF(G74=1,"Observar","Sin umbral")))</x:f>
        <x:v>Sin umbral</x:v>
      </x:c>
      <x:c r="L74" s="2" t="str">
        <x:f>IF(K74="No evaluable","Faltan datos",IF(J74=1,"Magnitud",IF(I74&gt;=$B$8,"Persistencia",IF(G74=1,"Cambio del mes","Sin umbral"))))</x:f>
        <x:v>Sin umbral</x:v>
      </x:c>
      <x:c r="M74" s="2" t="n">
        <x:f>ROW()-40</x:f>
        <x:v>34</x:v>
      </x:c>
    </x:row>
    <x:row r="75" ht="48" customHeight="1">
      <x:c r="A75" s="4" t="n">
        <x:v>44986</x:v>
      </x:c>
      <x:c r="B75" s="32" t="str">
        <x:v>Construcción: elaboración de cemento y canteras</x:v>
      </x:c>
      <x:c r="C75" s="10" t="n">
        <x:f>IF(ISNUMBER('Actividades'!F212),'Actividades'!F212,"n.a.")</x:f>
        <x:v>180.8219072580645</x:v>
      </x:c>
      <x:c r="D75" s="10" t="n">
        <x:f>IF(ISNUMBER('Actividades'!G212),'Actividades'!G212,"n.a.")</x:f>
        <x:v>173.1340806451613</x:v>
      </x:c>
      <x:c r="E75" s="10" t="n">
        <x:f>IF(AND(ISNUMBER(C75),ISNUMBER(D75),C75&gt;=0,D75&gt;0),C75-D75,"n.a.")</x:f>
        <x:v>7.687826612903194</x:v>
      </x:c>
      <x:c r="F75" s="12" t="n">
        <x:f>IF(ISNUMBER(E75),E75/D75,"n.a.")</x:f>
        <x:v>0.04440388965740034</x:v>
      </x:c>
      <x:c r="G75" s="2" t="n">
        <x:f>IF(ISNUMBER(F75),IF(AND(ABS(F75)+0.00000000001&gt;=$B$6,ABS(E75)+0.000000001&gt;=$D$6),1,0),"n.a.")</x:f>
        <x:v>0</x:v>
      </x:c>
      <x:c r="H75" s="2" t="n">
        <x:f>IF(ISNUMBER(E75),SIGN(E75),"n.a.")</x:f>
        <x:v>1</x:v>
      </x:c>
      <x:c r="I75" s="2" t="n">
        <x:f>IF(NOT(ISNUMBER(G75)),"n.a.",IF(G75=0,0,IF(AND(B75=B61,A75=EDATE(A61,1),H75=H61,ISNUMBER(I61)),I61+1,1)))</x:f>
        <x:v>0</x:v>
      </x:c>
      <x:c r="J75" s="2" t="n">
        <x:f>IF(ISNUMBER(F75),IF(AND(ABS(F75)+0.00000000001&gt;=$B$7,ABS(E75)+0.000000001&gt;=$D$7),1,0),"n.a.")</x:f>
        <x:v>0</x:v>
      </x:c>
      <x:c r="K75" s="2" t="str">
        <x:f>IF(NOT(ISNUMBER(F75)),"No evaluable",IF(OR(J75=1,I75&gt;=$B$8),"Prioridad",IF(G75=1,"Observar","Sin umbral")))</x:f>
        <x:v>Sin umbral</x:v>
      </x:c>
      <x:c r="L75" s="2" t="str">
        <x:f>IF(K75="No evaluable","Faltan datos",IF(J75=1,"Magnitud",IF(I75&gt;=$B$8,"Persistencia",IF(G75=1,"Cambio del mes","Sin umbral"))))</x:f>
        <x:v>Sin umbral</x:v>
      </x:c>
      <x:c r="M75" s="2" t="n">
        <x:f>ROW()-40</x:f>
        <x:v>35</x:v>
      </x:c>
    </x:row>
    <x:row r="76" ht="48" customHeight="1">
      <x:c r="A76" s="4" t="n">
        <x:v>44986</x:v>
      </x:c>
      <x:c r="B76" s="32" t="str">
        <x:v>Madera y papel</x:v>
      </x:c>
      <x:c r="C76" s="10" t="n">
        <x:f>IF(ISNUMBER('Actividades'!F213),'Actividades'!F213,"n.a.")</x:f>
        <x:v>108.11033870967742</x:v>
      </x:c>
      <x:c r="D76" s="10" t="n">
        <x:f>IF(ISNUMBER('Actividades'!G213),'Actividades'!G213,"n.a.")</x:f>
        <x:v>105.10348521505377</x:v>
      </x:c>
      <x:c r="E76" s="10" t="n">
        <x:f>IF(AND(ISNUMBER(C76),ISNUMBER(D76),C76&gt;=0,D76&gt;0),C76-D76,"n.a.")</x:f>
        <x:v>3.0068534946236554</x:v>
      </x:c>
      <x:c r="F76" s="12" t="n">
        <x:f>IF(ISNUMBER(E76),E76/D76,"n.a.")</x:f>
        <x:v>0.02860850416588269</x:v>
      </x:c>
      <x:c r="G76" s="2" t="n">
        <x:f>IF(ISNUMBER(F76),IF(AND(ABS(F76)+0.00000000001&gt;=$B$6,ABS(E76)+0.000000001&gt;=$D$6),1,0),"n.a.")</x:f>
        <x:v>0</x:v>
      </x:c>
      <x:c r="H76" s="2" t="n">
        <x:f>IF(ISNUMBER(E76),SIGN(E76),"n.a.")</x:f>
        <x:v>1</x:v>
      </x:c>
      <x:c r="I76" s="2" t="n">
        <x:f>IF(NOT(ISNUMBER(G76)),"n.a.",IF(G76=0,0,IF(AND(B76=B62,A76=EDATE(A62,1),H76=H62,ISNUMBER(I62)),I62+1,1)))</x:f>
        <x:v>0</x:v>
      </x:c>
      <x:c r="J76" s="2" t="n">
        <x:f>IF(ISNUMBER(F76),IF(AND(ABS(F76)+0.00000000001&gt;=$B$7,ABS(E76)+0.000000001&gt;=$D$7),1,0),"n.a.")</x:f>
        <x:v>0</x:v>
      </x:c>
      <x:c r="K76" s="2" t="str">
        <x:f>IF(NOT(ISNUMBER(F76)),"No evaluable",IF(OR(J76=1,I76&gt;=$B$8),"Prioridad",IF(G76=1,"Observar","Sin umbral")))</x:f>
        <x:v>Sin umbral</x:v>
      </x:c>
      <x:c r="L76" s="2" t="str">
        <x:f>IF(K76="No evaluable","Faltan datos",IF(J76=1,"Magnitud",IF(I76&gt;=$B$8,"Persistencia",IF(G76=1,"Cambio del mes","Sin umbral"))))</x:f>
        <x:v>Sin umbral</x:v>
      </x:c>
      <x:c r="M76" s="2" t="n">
        <x:f>ROW()-40</x:f>
        <x:v>36</x:v>
      </x:c>
    </x:row>
    <x:row r="77" ht="48" customHeight="1">
      <x:c r="A77" s="4" t="n">
        <x:v>44986</x:v>
      </x:c>
      <x:c r="B77" s="32" t="str">
        <x:v>Productos metálicos no automotores</x:v>
      </x:c>
      <x:c r="C77" s="10" t="n">
        <x:f>IF(ISNUMBER('Actividades'!F214),'Actividades'!F214,"n.a.")</x:f>
        <x:v>49.636471774193545</x:v>
      </x:c>
      <x:c r="D77" s="10" t="n">
        <x:f>IF(ISNUMBER('Actividades'!G214),'Actividades'!G214,"n.a.")</x:f>
        <x:v>62.94465725806452</x:v>
      </x:c>
      <x:c r="E77" s="10" t="n">
        <x:f>IF(AND(ISNUMBER(C77),ISNUMBER(D77),C77&gt;=0,D77&gt;0),C77-D77,"n.a.")</x:f>
        <x:v>-13.308185483870972</x:v>
      </x:c>
      <x:c r="F77" s="12" t="n">
        <x:f>IF(ISNUMBER(E77),E77/D77,"n.a.")</x:f>
        <x:v>-0.2114267685867162</x:v>
      </x:c>
      <x:c r="G77" s="2" t="n">
        <x:f>IF(ISNUMBER(F77),IF(AND(ABS(F77)+0.00000000001&gt;=$B$6,ABS(E77)+0.000000001&gt;=$D$6),1,0),"n.a.")</x:f>
        <x:v>1</x:v>
      </x:c>
      <x:c r="H77" s="2" t="n">
        <x:f>IF(ISNUMBER(E77),SIGN(E77),"n.a.")</x:f>
        <x:v>-1</x:v>
      </x:c>
      <x:c r="I77" s="2" t="n">
        <x:f>IF(NOT(ISNUMBER(G77)),"n.a.",IF(G77=0,0,IF(AND(B77=B63,A77=EDATE(A63,1),H77=H63,ISNUMBER(I63)),I63+1,1)))</x:f>
        <x:v>3</x:v>
      </x:c>
      <x:c r="J77" s="2" t="n">
        <x:f>IF(ISNUMBER(F77),IF(AND(ABS(F77)+0.00000000001&gt;=$B$7,ABS(E77)+0.000000001&gt;=$D$7),1,0),"n.a.")</x:f>
        <x:v>1</x:v>
      </x:c>
      <x:c r="K77" s="2" t="str">
        <x:f>IF(NOT(ISNUMBER(F77)),"No evaluable",IF(OR(J77=1,I77&gt;=$B$8),"Prioridad",IF(G77=1,"Observar","Sin umbral")))</x:f>
        <x:v>Prioridad</x:v>
      </x:c>
      <x:c r="L77" s="2" t="str">
        <x:f>IF(K77="No evaluable","Faltan datos",IF(J77=1,"Magnitud",IF(I77&gt;=$B$8,"Persistencia",IF(G77=1,"Cambio del mes","Sin umbral"))))</x:f>
        <x:v>Magnitud</x:v>
      </x:c>
      <x:c r="M77" s="2" t="n">
        <x:f>ROW()-40</x:f>
        <x:v>37</x:v>
      </x:c>
    </x:row>
    <x:row r="78" ht="48" customHeight="1">
      <x:c r="A78" s="4" t="n">
        <x:v>44986</x:v>
      </x:c>
      <x:c r="B78" s="32" t="str">
        <x:v>Gran siderurgia</x:v>
      </x:c>
      <x:c r="C78" s="10" t="n">
        <x:f>IF(ISNUMBER('Actividades'!F215),'Actividades'!F215,"n.a.")</x:f>
        <x:v>322.6856801075269</x:v>
      </x:c>
      <x:c r="D78" s="10" t="n">
        <x:f>IF(ISNUMBER('Actividades'!G215),'Actividades'!G215,"n.a.")</x:f>
        <x:v>330.94274462365587</x:v>
      </x:c>
      <x:c r="E78" s="10" t="n">
        <x:f>IF(AND(ISNUMBER(C78),ISNUMBER(D78),C78&gt;=0,D78&gt;0),C78-D78,"n.a.")</x:f>
        <x:v>-8.257064516128992</x:v>
      </x:c>
      <x:c r="F78" s="12" t="n">
        <x:f>IF(ISNUMBER(E78),E78/D78,"n.a.")</x:f>
        <x:v>-0.024950130045965583</x:v>
      </x:c>
      <x:c r="G78" s="2" t="n">
        <x:f>IF(ISNUMBER(F78),IF(AND(ABS(F78)+0.00000000001&gt;=$B$6,ABS(E78)+0.000000001&gt;=$D$6),1,0),"n.a.")</x:f>
        <x:v>0</x:v>
      </x:c>
      <x:c r="H78" s="2" t="n">
        <x:f>IF(ISNUMBER(E78),SIGN(E78),"n.a.")</x:f>
        <x:v>-1</x:v>
      </x:c>
      <x:c r="I78" s="2" t="n">
        <x:f>IF(NOT(ISNUMBER(G78)),"n.a.",IF(G78=0,0,IF(AND(B78=B64,A78=EDATE(A64,1),H78=H64,ISNUMBER(I64)),I64+1,1)))</x:f>
        <x:v>0</x:v>
      </x:c>
      <x:c r="J78" s="2" t="n">
        <x:f>IF(ISNUMBER(F78),IF(AND(ABS(F78)+0.00000000001&gt;=$B$7,ABS(E78)+0.000000001&gt;=$D$7),1,0),"n.a.")</x:f>
        <x:v>0</x:v>
      </x:c>
      <x:c r="K78" s="2" t="str">
        <x:f>IF(NOT(ISNUMBER(F78)),"No evaluable",IF(OR(J78=1,I78&gt;=$B$8),"Prioridad",IF(G78=1,"Observar","Sin umbral")))</x:f>
        <x:v>Sin umbral</x:v>
      </x:c>
      <x:c r="L78" s="2" t="str">
        <x:f>IF(K78="No evaluable","Faltan datos",IF(J78=1,"Magnitud",IF(I78&gt;=$B$8,"Persistencia",IF(G78=1,"Cambio del mes","Sin umbral"))))</x:f>
        <x:v>Sin umbral</x:v>
      </x:c>
      <x:c r="M78" s="2" t="n">
        <x:f>ROW()-40</x:f>
        <x:v>38</x:v>
      </x:c>
    </x:row>
    <x:row r="79" ht="48" customHeight="1">
      <x:c r="A79" s="4" t="n">
        <x:v>44986</x:v>
      </x:c>
      <x:c r="B79" s="32" t="str">
        <x:v>Industria textil</x:v>
      </x:c>
      <x:c r="C79" s="10" t="n">
        <x:f>IF(ISNUMBER('Actividades'!F216),'Actividades'!F216,"n.a.")</x:f>
        <x:v>68.00813709677419</x:v>
      </x:c>
      <x:c r="D79" s="10" t="n">
        <x:f>IF(ISNUMBER('Actividades'!G216),'Actividades'!G216,"n.a.")</x:f>
        <x:v>63.16328225806452</x:v>
      </x:c>
      <x:c r="E79" s="10" t="n">
        <x:f>IF(AND(ISNUMBER(C79),ISNUMBER(D79),C79&gt;=0,D79&gt;0),C79-D79,"n.a.")</x:f>
        <x:v>4.844854838709672</x:v>
      </x:c>
      <x:c r="F79" s="12" t="n">
        <x:f>IF(ISNUMBER(E79),E79/D79,"n.a.")</x:f>
        <x:v>0.07670365860525075</x:v>
      </x:c>
      <x:c r="G79" s="2" t="n">
        <x:f>IF(ISNUMBER(F79),IF(AND(ABS(F79)+0.00000000001&gt;=$B$6,ABS(E79)+0.000000001&gt;=$D$6),1,0),"n.a.")</x:f>
        <x:v>0</x:v>
      </x:c>
      <x:c r="H79" s="2" t="n">
        <x:f>IF(ISNUMBER(E79),SIGN(E79),"n.a.")</x:f>
        <x:v>1</x:v>
      </x:c>
      <x:c r="I79" s="2" t="n">
        <x:f>IF(NOT(ISNUMBER(G79)),"n.a.",IF(G79=0,0,IF(AND(B79=B65,A79=EDATE(A65,1),H79=H65,ISNUMBER(I65)),I65+1,1)))</x:f>
        <x:v>0</x:v>
      </x:c>
      <x:c r="J79" s="2" t="n">
        <x:f>IF(ISNUMBER(F79),IF(AND(ABS(F79)+0.00000000001&gt;=$B$7,ABS(E79)+0.000000001&gt;=$D$7),1,0),"n.a.")</x:f>
        <x:v>0</x:v>
      </x:c>
      <x:c r="K79" s="2" t="str">
        <x:f>IF(NOT(ISNUMBER(F79)),"No evaluable",IF(OR(J79=1,I79&gt;=$B$8),"Prioridad",IF(G79=1,"Observar","Sin umbral")))</x:f>
        <x:v>Sin umbral</x:v>
      </x:c>
      <x:c r="L79" s="2" t="str">
        <x:f>IF(K79="No evaluable","Faltan datos",IF(J79=1,"Magnitud",IF(I79&gt;=$B$8,"Persistencia",IF(G79=1,"Cambio del mes","Sin umbral"))))</x:f>
        <x:v>Sin umbral</x:v>
      </x:c>
      <x:c r="M79" s="2" t="n">
        <x:f>ROW()-40</x:f>
        <x:v>39</x:v>
      </x:c>
    </x:row>
    <x:row r="80" ht="48" customHeight="1">
      <x:c r="A80" s="4" t="n">
        <x:v>44986</x:v>
      </x:c>
      <x:c r="B80" s="32" t="str">
        <x:v>Químicas, caucho, plástico y otros minerales no metálicos</x:v>
      </x:c>
      <x:c r="C80" s="10" t="n">
        <x:f>IF(ISNUMBER('Actividades'!F217),'Actividades'!F217,"n.a.")</x:f>
        <x:v>331.04001344086026</x:v>
      </x:c>
      <x:c r="D80" s="10" t="n">
        <x:f>IF(ISNUMBER('Actividades'!G217),'Actividades'!G217,"n.a.")</x:f>
        <x:v>356.29222043010753</x:v>
      </x:c>
      <x:c r="E80" s="10" t="n">
        <x:f>IF(AND(ISNUMBER(C80),ISNUMBER(D80),C80&gt;=0,D80&gt;0),C80-D80,"n.a.")</x:f>
        <x:v>-25.25220698924727</x:v>
      </x:c>
      <x:c r="F80" s="12" t="n">
        <x:f>IF(ISNUMBER(E80),E80/D80,"n.a.")</x:f>
        <x:v>-0.07087498839790385</x:v>
      </x:c>
      <x:c r="G80" s="2" t="n">
        <x:f>IF(ISNUMBER(F80),IF(AND(ABS(F80)+0.00000000001&gt;=$B$6,ABS(E80)+0.000000001&gt;=$D$6),1,0),"n.a.")</x:f>
        <x:v>0</x:v>
      </x:c>
      <x:c r="H80" s="2" t="n">
        <x:f>IF(ISNUMBER(E80),SIGN(E80),"n.a.")</x:f>
        <x:v>-1</x:v>
      </x:c>
      <x:c r="I80" s="2" t="n">
        <x:f>IF(NOT(ISNUMBER(G80)),"n.a.",IF(G80=0,0,IF(AND(B80=B66,A80=EDATE(A66,1),H80=H66,ISNUMBER(I66)),I66+1,1)))</x:f>
        <x:v>0</x:v>
      </x:c>
      <x:c r="J80" s="2" t="n">
        <x:f>IF(ISNUMBER(F80),IF(AND(ABS(F80)+0.00000000001&gt;=$B$7,ABS(E80)+0.000000001&gt;=$D$7),1,0),"n.a.")</x:f>
        <x:v>0</x:v>
      </x:c>
      <x:c r="K80" s="2" t="str">
        <x:f>IF(NOT(ISNUMBER(F80)),"No evaluable",IF(OR(J80=1,I80&gt;=$B$8),"Prioridad",IF(G80=1,"Observar","Sin umbral")))</x:f>
        <x:v>Sin umbral</x:v>
      </x:c>
      <x:c r="L80" s="2" t="str">
        <x:f>IF(K80="No evaluable","Faltan datos",IF(J80=1,"Magnitud",IF(I80&gt;=$B$8,"Persistencia",IF(G80=1,"Cambio del mes","Sin umbral"))))</x:f>
        <x:v>Sin umbral</x:v>
      </x:c>
      <x:c r="M80" s="2" t="n">
        <x:f>ROW()-40</x:f>
        <x:v>40</x:v>
      </x:c>
    </x:row>
    <x:row r="81" ht="48" customHeight="1">
      <x:c r="A81" s="4" t="n">
        <x:v>44986</x:v>
      </x:c>
      <x:c r="B81" s="32" t="str">
        <x:v>Extracción de minerales</x:v>
      </x:c>
      <x:c r="C81" s="10" t="n">
        <x:f>IF(ISNUMBER('Actividades'!F218),'Actividades'!F218,"n.a.")</x:f>
        <x:v>19.676653225806454</x:v>
      </x:c>
      <x:c r="D81" s="10" t="n">
        <x:f>IF(ISNUMBER('Actividades'!G218),'Actividades'!G218,"n.a.")</x:f>
        <x:v>17.75885752688172</x:v>
      </x:c>
      <x:c r="E81" s="10" t="n">
        <x:f>IF(AND(ISNUMBER(C81),ISNUMBER(D81),C81&gt;=0,D81&gt;0),C81-D81,"n.a.")</x:f>
        <x:v>1.917795698924735</x:v>
      </x:c>
      <x:c r="F81" s="12" t="n">
        <x:f>IF(ISNUMBER(E81),E81/D81,"n.a.")</x:f>
        <x:v>0.10799093894535461</x:v>
      </x:c>
      <x:c r="G81" s="2" t="n">
        <x:f>IF(ISNUMBER(F81),IF(AND(ABS(F81)+0.00000000001&gt;=$B$6,ABS(E81)+0.000000001&gt;=$D$6),1,0),"n.a.")</x:f>
        <x:v>0</x:v>
      </x:c>
      <x:c r="H81" s="2" t="n">
        <x:f>IF(ISNUMBER(E81),SIGN(E81),"n.a.")</x:f>
        <x:v>1</x:v>
      </x:c>
      <x:c r="I81" s="2" t="n">
        <x:f>IF(NOT(ISNUMBER(G81)),"n.a.",IF(G81=0,0,IF(AND(B81=B67,A81=EDATE(A67,1),H81=H67,ISNUMBER(I67)),I67+1,1)))</x:f>
        <x:v>0</x:v>
      </x:c>
      <x:c r="J81" s="2" t="n">
        <x:f>IF(ISNUMBER(F81),IF(AND(ABS(F81)+0.00000000001&gt;=$B$7,ABS(E81)+0.000000001&gt;=$D$7),1,0),"n.a.")</x:f>
        <x:v>0</x:v>
      </x:c>
      <x:c r="K81" s="2" t="str">
        <x:f>IF(NOT(ISNUMBER(F81)),"No evaluable",IF(OR(J81=1,I81&gt;=$B$8),"Prioridad",IF(G81=1,"Observar","Sin umbral")))</x:f>
        <x:v>Sin umbral</x:v>
      </x:c>
      <x:c r="L81" s="2" t="str">
        <x:f>IF(K81="No evaluable","Faltan datos",IF(J81=1,"Magnitud",IF(I81&gt;=$B$8,"Persistencia",IF(G81=1,"Cambio del mes","Sin umbral"))))</x:f>
        <x:v>Sin umbral</x:v>
      </x:c>
      <x:c r="M81" s="2" t="n">
        <x:f>ROW()-40</x:f>
        <x:v>41</x:v>
      </x:c>
    </x:row>
    <x:row r="82" ht="48" customHeight="1">
      <x:c r="A82" s="4" t="n">
        <x:v>44986</x:v>
      </x:c>
      <x:c r="B82" s="32" t="str">
        <x:v>Extracción de petróleo</x:v>
      </x:c>
      <x:c r="C82" s="10" t="n">
        <x:f>IF(ISNUMBER('Actividades'!F219),'Actividades'!F219,"n.a.")</x:f>
        <x:v>167.60267069892473</x:v>
      </x:c>
      <x:c r="D82" s="10" t="n">
        <x:f>IF(ISNUMBER('Actividades'!G219),'Actividades'!G219,"n.a.")</x:f>
        <x:v>170.04050940860213</x:v>
      </x:c>
      <x:c r="E82" s="10" t="n">
        <x:f>IF(AND(ISNUMBER(C82),ISNUMBER(D82),C82&gt;=0,D82&gt;0),C82-D82,"n.a.")</x:f>
        <x:v>-2.4378387096774077</x:v>
      </x:c>
      <x:c r="F82" s="12" t="n">
        <x:f>IF(ISNUMBER(E82),E82/D82,"n.a.")</x:f>
        <x:v>-0.014336811376043082</x:v>
      </x:c>
      <x:c r="G82" s="2" t="n">
        <x:f>IF(ISNUMBER(F82),IF(AND(ABS(F82)+0.00000000001&gt;=$B$6,ABS(E82)+0.000000001&gt;=$D$6),1,0),"n.a.")</x:f>
        <x:v>0</x:v>
      </x:c>
      <x:c r="H82" s="2" t="n">
        <x:f>IF(ISNUMBER(E82),SIGN(E82),"n.a.")</x:f>
        <x:v>-1</x:v>
      </x:c>
      <x:c r="I82" s="2" t="n">
        <x:f>IF(NOT(ISNUMBER(G82)),"n.a.",IF(G82=0,0,IF(AND(B82=B68,A82=EDATE(A68,1),H82=H68,ISNUMBER(I68)),I68+1,1)))</x:f>
        <x:v>0</x:v>
      </x:c>
      <x:c r="J82" s="2" t="n">
        <x:f>IF(ISNUMBER(F82),IF(AND(ABS(F82)+0.00000000001&gt;=$B$7,ABS(E82)+0.000000001&gt;=$D$7),1,0),"n.a.")</x:f>
        <x:v>0</x:v>
      </x:c>
      <x:c r="K82" s="2" t="str">
        <x:f>IF(NOT(ISNUMBER(F82)),"No evaluable",IF(OR(J82=1,I82&gt;=$B$8),"Prioridad",IF(G82=1,"Observar","Sin umbral")))</x:f>
        <x:v>Sin umbral</x:v>
      </x:c>
      <x:c r="L82" s="2" t="str">
        <x:f>IF(K82="No evaluable","Faltan datos",IF(J82=1,"Magnitud",IF(I82&gt;=$B$8,"Persistencia",IF(G82=1,"Cambio del mes","Sin umbral"))))</x:f>
        <x:v>Sin umbral</x:v>
      </x:c>
      <x:c r="M82" s="2" t="n">
        <x:f>ROW()-40</x:f>
        <x:v>42</x:v>
      </x:c>
    </x:row>
    <x:row r="83" ht="48" customHeight="1">
      <x:c r="A83" s="4" t="n">
        <x:v>45017</x:v>
      </x:c>
      <x:c r="B83" s="32" t="str">
        <x:v>Cargas y puertos</x:v>
      </x:c>
      <x:c r="C83" s="10" t="n">
        <x:f>IF(ISNUMBER('Actividades'!F220),'Actividades'!F220,"n.a.")</x:f>
        <x:v>7.096625</x:v>
      </x:c>
      <x:c r="D83" s="10" t="n">
        <x:f>IF(ISNUMBER('Actividades'!G220),'Actividades'!G220,"n.a.")</x:f>
        <x:v>7.616648611111112</x:v>
      </x:c>
      <x:c r="E83" s="10" t="n">
        <x:f>IF(AND(ISNUMBER(C83),ISNUMBER(D83),C83&gt;=0,D83&gt;0),C83-D83,"n.a.")</x:f>
        <x:v>-0.5200236111111112</x:v>
      </x:c>
      <x:c r="F83" s="12" t="n">
        <x:f>IF(ISNUMBER(E83),E83/D83,"n.a.")</x:f>
        <x:v>-0.06827459656633031</x:v>
      </x:c>
      <x:c r="G83" s="2" t="n">
        <x:f>IF(ISNUMBER(F83),IF(AND(ABS(F83)+0.00000000001&gt;=$B$6,ABS(E83)+0.000000001&gt;=$D$6),1,0),"n.a.")</x:f>
        <x:v>0</x:v>
      </x:c>
      <x:c r="H83" s="2" t="n">
        <x:f>IF(ISNUMBER(E83),SIGN(E83),"n.a.")</x:f>
        <x:v>-1</x:v>
      </x:c>
      <x:c r="I83" s="2" t="n">
        <x:f>IF(NOT(ISNUMBER(G83)),"n.a.",IF(G83=0,0,IF(AND(B83=B69,A83=EDATE(A69,1),H83=H69,ISNUMBER(I69)),I69+1,1)))</x:f>
        <x:v>0</x:v>
      </x:c>
      <x:c r="J83" s="2" t="n">
        <x:f>IF(ISNUMBER(F83),IF(AND(ABS(F83)+0.00000000001&gt;=$B$7,ABS(E83)+0.000000001&gt;=$D$7),1,0),"n.a.")</x:f>
        <x:v>0</x:v>
      </x:c>
      <x:c r="K83" s="2" t="str">
        <x:f>IF(NOT(ISNUMBER(F83)),"No evaluable",IF(OR(J83=1,I83&gt;=$B$8),"Prioridad",IF(G83=1,"Observar","Sin umbral")))</x:f>
        <x:v>Sin umbral</x:v>
      </x:c>
      <x:c r="L83" s="2" t="str">
        <x:f>IF(K83="No evaluable","Faltan datos",IF(J83=1,"Magnitud",IF(I83&gt;=$B$8,"Persistencia",IF(G83=1,"Cambio del mes","Sin umbral"))))</x:f>
        <x:v>Sin umbral</x:v>
      </x:c>
      <x:c r="M83" s="2" t="n">
        <x:f>ROW()-40</x:f>
        <x:v>43</x:v>
      </x:c>
    </x:row>
    <x:row r="84" ht="48" customHeight="1">
      <x:c r="A84" s="4" t="n">
        <x:v>45017</x:v>
      </x:c>
      <x:c r="B84" s="32" t="str">
        <x:v>Comercio y servicios: principalmente supermercados y centros comerciales</x:v>
      </x:c>
      <x:c r="C84" s="10" t="n">
        <x:f>IF(ISNUMBER('Actividades'!F221),'Actividades'!F221,"n.a.")</x:f>
        <x:v>30.459856944444443</x:v>
      </x:c>
      <x:c r="D84" s="10" t="n">
        <x:f>IF(ISNUMBER('Actividades'!G221),'Actividades'!G221,"n.a.")</x:f>
        <x:v>26.603906944444443</x:v>
      </x:c>
      <x:c r="E84" s="10" t="n">
        <x:f>IF(AND(ISNUMBER(C84),ISNUMBER(D84),C84&gt;=0,D84&gt;0),C84-D84,"n.a.")</x:f>
        <x:v>3.85595</x:v>
      </x:c>
      <x:c r="F84" s="12" t="n">
        <x:f>IF(ISNUMBER(E84),E84/D84,"n.a.")</x:f>
        <x:v>0.14493923798681826</x:v>
      </x:c>
      <x:c r="G84" s="2" t="n">
        <x:f>IF(ISNUMBER(F84),IF(AND(ABS(F84)+0.00000000001&gt;=$B$6,ABS(E84)+0.000000001&gt;=$D$6),1,0),"n.a.")</x:f>
        <x:v>0</x:v>
      </x:c>
      <x:c r="H84" s="2" t="n">
        <x:f>IF(ISNUMBER(E84),SIGN(E84),"n.a.")</x:f>
        <x:v>1</x:v>
      </x:c>
      <x:c r="I84" s="2" t="n">
        <x:f>IF(NOT(ISNUMBER(G84)),"n.a.",IF(G84=0,0,IF(AND(B84=B70,A84=EDATE(A70,1),H84=H70,ISNUMBER(I70)),I70+1,1)))</x:f>
        <x:v>0</x:v>
      </x:c>
      <x:c r="J84" s="2" t="n">
        <x:f>IF(ISNUMBER(F84),IF(AND(ABS(F84)+0.00000000001&gt;=$B$7,ABS(E84)+0.000000001&gt;=$D$7),1,0),"n.a.")</x:f>
        <x:v>0</x:v>
      </x:c>
      <x:c r="K84" s="2" t="str">
        <x:f>IF(NOT(ISNUMBER(F84)),"No evaluable",IF(OR(J84=1,I84&gt;=$B$8),"Prioridad",IF(G84=1,"Observar","Sin umbral")))</x:f>
        <x:v>Sin umbral</x:v>
      </x:c>
      <x:c r="L84" s="2" t="str">
        <x:f>IF(K84="No evaluable","Faltan datos",IF(J84=1,"Magnitud",IF(I84&gt;=$B$8,"Persistencia",IF(G84=1,"Cambio del mes","Sin umbral"))))</x:f>
        <x:v>Sin umbral</x:v>
      </x:c>
      <x:c r="M84" s="2" t="n">
        <x:f>ROW()-40</x:f>
        <x:v>44</x:v>
      </x:c>
    </x:row>
    <x:row r="85" ht="48" customHeight="1">
      <x:c r="A85" s="4" t="n">
        <x:v>45017</x:v>
      </x:c>
      <x:c r="B85" s="32" t="str">
        <x:v>Alimentación y artículos de consumo masivo</x:v>
      </x:c>
      <x:c r="C85" s="10" t="n">
        <x:f>IF(ISNUMBER('Actividades'!F222),'Actividades'!F222,"n.a.")</x:f>
        <x:v>280.81244722222226</x:v>
      </x:c>
      <x:c r="D85" s="10" t="n">
        <x:f>IF(ISNUMBER('Actividades'!G222),'Actividades'!G222,"n.a.")</x:f>
        <x:v>286.55909722222225</x:v>
      </x:c>
      <x:c r="E85" s="10" t="n">
        <x:f>IF(AND(ISNUMBER(C85),ISNUMBER(D85),C85&gt;=0,D85&gt;0),C85-D85,"n.a.")</x:f>
        <x:v>-5.746649999999988</x:v>
      </x:c>
      <x:c r="F85" s="12" t="n">
        <x:f>IF(ISNUMBER(E85),E85/D85,"n.a.")</x:f>
        <x:v>-0.02005397858838014</x:v>
      </x:c>
      <x:c r="G85" s="2" t="n">
        <x:f>IF(ISNUMBER(F85),IF(AND(ABS(F85)+0.00000000001&gt;=$B$6,ABS(E85)+0.000000001&gt;=$D$6),1,0),"n.a.")</x:f>
        <x:v>0</x:v>
      </x:c>
      <x:c r="H85" s="2" t="n">
        <x:f>IF(ISNUMBER(E85),SIGN(E85),"n.a.")</x:f>
        <x:v>-1</x:v>
      </x:c>
      <x:c r="I85" s="2" t="n">
        <x:f>IF(NOT(ISNUMBER(G85)),"n.a.",IF(G85=0,0,IF(AND(B85=B71,A85=EDATE(A71,1),H85=H71,ISNUMBER(I71)),I71+1,1)))</x:f>
        <x:v>0</x:v>
      </x:c>
      <x:c r="J85" s="2" t="n">
        <x:f>IF(ISNUMBER(F85),IF(AND(ABS(F85)+0.00000000001&gt;=$B$7,ABS(E85)+0.000000001&gt;=$D$7),1,0),"n.a.")</x:f>
        <x:v>0</x:v>
      </x:c>
      <x:c r="K85" s="2" t="str">
        <x:f>IF(NOT(ISNUMBER(F85)),"No evaluable",IF(OR(J85=1,I85&gt;=$B$8),"Prioridad",IF(G85=1,"Observar","Sin umbral")))</x:f>
        <x:v>Sin umbral</x:v>
      </x:c>
      <x:c r="L85" s="2" t="str">
        <x:f>IF(K85="No evaluable","Faltan datos",IF(J85=1,"Magnitud",IF(I85&gt;=$B$8,"Persistencia",IF(G85=1,"Cambio del mes","Sin umbral"))))</x:f>
        <x:v>Sin umbral</x:v>
      </x:c>
      <x:c r="M85" s="2" t="n">
        <x:f>ROW()-40</x:f>
        <x:v>45</x:v>
      </x:c>
    </x:row>
    <x:row r="86" ht="48" customHeight="1">
      <x:c r="A86" s="4" t="n">
        <x:v>45017</x:v>
      </x:c>
      <x:c r="B86" s="32" t="str">
        <x:v>Servicios públicos y transporte: agua y transporte en GBA</x:v>
      </x:c>
      <x:c r="C86" s="10" t="n">
        <x:f>IF(ISNUMBER('Actividades'!F223),'Actividades'!F223,"n.a.")</x:f>
        <x:v>86.73067916666668</x:v>
      </x:c>
      <x:c r="D86" s="10" t="n">
        <x:f>IF(ISNUMBER('Actividades'!G223),'Actividades'!G223,"n.a.")</x:f>
        <x:v>83.04562638888889</x:v>
      </x:c>
      <x:c r="E86" s="10" t="n">
        <x:f>IF(AND(ISNUMBER(C86),ISNUMBER(D86),C86&gt;=0,D86&gt;0),C86-D86,"n.a.")</x:f>
        <x:v>3.685052777777784</x:v>
      </x:c>
      <x:c r="F86" s="12" t="n">
        <x:f>IF(ISNUMBER(E86),E86/D86,"n.a.")</x:f>
        <x:v>0.04437383325307576</x:v>
      </x:c>
      <x:c r="G86" s="2" t="n">
        <x:f>IF(ISNUMBER(F86),IF(AND(ABS(F86)+0.00000000001&gt;=$B$6,ABS(E86)+0.000000001&gt;=$D$6),1,0),"n.a.")</x:f>
        <x:v>0</x:v>
      </x:c>
      <x:c r="H86" s="2" t="n">
        <x:f>IF(ISNUMBER(E86),SIGN(E86),"n.a.")</x:f>
        <x:v>1</x:v>
      </x:c>
      <x:c r="I86" s="2" t="n">
        <x:f>IF(NOT(ISNUMBER(G86)),"n.a.",IF(G86=0,0,IF(AND(B86=B72,A86=EDATE(A72,1),H86=H72,ISNUMBER(I72)),I72+1,1)))</x:f>
        <x:v>0</x:v>
      </x:c>
      <x:c r="J86" s="2" t="n">
        <x:f>IF(ISNUMBER(F86),IF(AND(ABS(F86)+0.00000000001&gt;=$B$7,ABS(E86)+0.000000001&gt;=$D$7),1,0),"n.a.")</x:f>
        <x:v>0</x:v>
      </x:c>
      <x:c r="K86" s="2" t="str">
        <x:f>IF(NOT(ISNUMBER(F86)),"No evaluable",IF(OR(J86=1,I86&gt;=$B$8),"Prioridad",IF(G86=1,"Observar","Sin umbral")))</x:f>
        <x:v>Sin umbral</x:v>
      </x:c>
      <x:c r="L86" s="2" t="str">
        <x:f>IF(K86="No evaluable","Faltan datos",IF(J86=1,"Magnitud",IF(I86&gt;=$B$8,"Persistencia",IF(G86=1,"Cambio del mes","Sin umbral"))))</x:f>
        <x:v>Sin umbral</x:v>
      </x:c>
      <x:c r="M86" s="2" t="n">
        <x:f>ROW()-40</x:f>
        <x:v>46</x:v>
      </x:c>
    </x:row>
    <x:row r="87" ht="48" customHeight="1">
      <x:c r="A87" s="4" t="n">
        <x:v>45017</x:v>
      </x:c>
      <x:c r="B87" s="32" t="str">
        <x:v>Industria automotriz</x:v>
      </x:c>
      <x:c r="C87" s="10" t="n">
        <x:f>IF(ISNUMBER('Actividades'!F224),'Actividades'!F224,"n.a.")</x:f>
        <x:v>38.1571</x:v>
      </x:c>
      <x:c r="D87" s="10" t="n">
        <x:f>IF(ISNUMBER('Actividades'!G224),'Actividades'!G224,"n.a.")</x:f>
        <x:v>35.554947222222225</x:v>
      </x:c>
      <x:c r="E87" s="10" t="n">
        <x:f>IF(AND(ISNUMBER(C87),ISNUMBER(D87),C87&gt;=0,D87&gt;0),C87-D87,"n.a.")</x:f>
        <x:v>2.602152777777775</x:v>
      </x:c>
      <x:c r="F87" s="12" t="n">
        <x:f>IF(ISNUMBER(E87),E87/D87,"n.a.")</x:f>
        <x:v>0.07318679905539</x:v>
      </x:c>
      <x:c r="G87" s="2" t="n">
        <x:f>IF(ISNUMBER(F87),IF(AND(ABS(F87)+0.00000000001&gt;=$B$6,ABS(E87)+0.000000001&gt;=$D$6),1,0),"n.a.")</x:f>
        <x:v>0</x:v>
      </x:c>
      <x:c r="H87" s="2" t="n">
        <x:f>IF(ISNUMBER(E87),SIGN(E87),"n.a.")</x:f>
        <x:v>1</x:v>
      </x:c>
      <x:c r="I87" s="2" t="n">
        <x:f>IF(NOT(ISNUMBER(G87)),"n.a.",IF(G87=0,0,IF(AND(B87=B73,A87=EDATE(A73,1),H87=H73,ISNUMBER(I73)),I73+1,1)))</x:f>
        <x:v>0</x:v>
      </x:c>
      <x:c r="J87" s="2" t="n">
        <x:f>IF(ISNUMBER(F87),IF(AND(ABS(F87)+0.00000000001&gt;=$B$7,ABS(E87)+0.000000001&gt;=$D$7),1,0),"n.a.")</x:f>
        <x:v>0</x:v>
      </x:c>
      <x:c r="K87" s="2" t="str">
        <x:f>IF(NOT(ISNUMBER(F87)),"No evaluable",IF(OR(J87=1,I87&gt;=$B$8),"Prioridad",IF(G87=1,"Observar","Sin umbral")))</x:f>
        <x:v>Sin umbral</x:v>
      </x:c>
      <x:c r="L87" s="2" t="str">
        <x:f>IF(K87="No evaluable","Faltan datos",IF(J87=1,"Magnitud",IF(I87&gt;=$B$8,"Persistencia",IF(G87=1,"Cambio del mes","Sin umbral"))))</x:f>
        <x:v>Sin umbral</x:v>
      </x:c>
      <x:c r="M87" s="2" t="n">
        <x:f>ROW()-40</x:f>
        <x:v>47</x:v>
      </x:c>
    </x:row>
    <x:row r="88" ht="48" customHeight="1">
      <x:c r="A88" s="4" t="n">
        <x:v>45017</x:v>
      </x:c>
      <x:c r="B88" s="32" t="str">
        <x:v>Derivados de petróleo</x:v>
      </x:c>
      <x:c r="C88" s="10" t="n">
        <x:f>IF(ISNUMBER('Actividades'!F225),'Actividades'!F225,"n.a.")</x:f>
        <x:v>166.33599305555558</x:v>
      </x:c>
      <x:c r="D88" s="10" t="n">
        <x:f>IF(ISNUMBER('Actividades'!G225),'Actividades'!G225,"n.a.")</x:f>
        <x:v>200.17178194444443</x:v>
      </x:c>
      <x:c r="E88" s="10" t="n">
        <x:f>IF(AND(ISNUMBER(C88),ISNUMBER(D88),C88&gt;=0,D88&gt;0),C88-D88,"n.a.")</x:f>
        <x:v>-33.83578888888886</x:v>
      </x:c>
      <x:c r="F88" s="12" t="n">
        <x:f>IF(ISNUMBER(E88),E88/D88,"n.a.")</x:f>
        <x:v>-0.16903375970485002</x:v>
      </x:c>
      <x:c r="G88" s="2" t="n">
        <x:f>IF(ISNUMBER(F88),IF(AND(ABS(F88)+0.00000000001&gt;=$B$6,ABS(E88)+0.000000001&gt;=$D$6),1,0),"n.a.")</x:f>
        <x:v>1</x:v>
      </x:c>
      <x:c r="H88" s="2" t="n">
        <x:f>IF(ISNUMBER(E88),SIGN(E88),"n.a.")</x:f>
        <x:v>-1</x:v>
      </x:c>
      <x:c r="I88" s="2" t="n">
        <x:f>IF(NOT(ISNUMBER(G88)),"n.a.",IF(G88=0,0,IF(AND(B88=B74,A88=EDATE(A74,1),H88=H74,ISNUMBER(I74)),I74+1,1)))</x:f>
        <x:v>1</x:v>
      </x:c>
      <x:c r="J88" s="2" t="n">
        <x:f>IF(ISNUMBER(F88),IF(AND(ABS(F88)+0.00000000001&gt;=$B$7,ABS(E88)+0.000000001&gt;=$D$7),1,0),"n.a.")</x:f>
        <x:v>0</x:v>
      </x:c>
      <x:c r="K88" s="2" t="str">
        <x:f>IF(NOT(ISNUMBER(F88)),"No evaluable",IF(OR(J88=1,I88&gt;=$B$8),"Prioridad",IF(G88=1,"Observar","Sin umbral")))</x:f>
        <x:v>Observar</x:v>
      </x:c>
      <x:c r="L88" s="2" t="str">
        <x:f>IF(K88="No evaluable","Faltan datos",IF(J88=1,"Magnitud",IF(I88&gt;=$B$8,"Persistencia",IF(G88=1,"Cambio del mes","Sin umbral"))))</x:f>
        <x:v>Cambio del mes</x:v>
      </x:c>
      <x:c r="M88" s="2" t="n">
        <x:f>ROW()-40</x:f>
        <x:v>48</x:v>
      </x:c>
    </x:row>
    <x:row r="89" ht="48" customHeight="1">
      <x:c r="A89" s="4" t="n">
        <x:v>45017</x:v>
      </x:c>
      <x:c r="B89" s="32" t="str">
        <x:v>Construcción: elaboración de cemento y canteras</x:v>
      </x:c>
      <x:c r="C89" s="10" t="n">
        <x:f>IF(ISNUMBER('Actividades'!F226),'Actividades'!F226,"n.a.")</x:f>
        <x:v>178.35109305555554</x:v>
      </x:c>
      <x:c r="D89" s="10" t="n">
        <x:f>IF(ISNUMBER('Actividades'!G226),'Actividades'!G226,"n.a.")</x:f>
        <x:v>174.80569027777776</x:v>
      </x:c>
      <x:c r="E89" s="10" t="n">
        <x:f>IF(AND(ISNUMBER(C89),ISNUMBER(D89),C89&gt;=0,D89&gt;0),C89-D89,"n.a.")</x:f>
        <x:v>3.545402777777781</x:v>
      </x:c>
      <x:c r="F89" s="12" t="n">
        <x:f>IF(ISNUMBER(E89),E89/D89,"n.a.")</x:f>
        <x:v>0.020281964346491824</x:v>
      </x:c>
      <x:c r="G89" s="2" t="n">
        <x:f>IF(ISNUMBER(F89),IF(AND(ABS(F89)+0.00000000001&gt;=$B$6,ABS(E89)+0.000000001&gt;=$D$6),1,0),"n.a.")</x:f>
        <x:v>0</x:v>
      </x:c>
      <x:c r="H89" s="2" t="n">
        <x:f>IF(ISNUMBER(E89),SIGN(E89),"n.a.")</x:f>
        <x:v>1</x:v>
      </x:c>
      <x:c r="I89" s="2" t="n">
        <x:f>IF(NOT(ISNUMBER(G89)),"n.a.",IF(G89=0,0,IF(AND(B89=B75,A89=EDATE(A75,1),H89=H75,ISNUMBER(I75)),I75+1,1)))</x:f>
        <x:v>0</x:v>
      </x:c>
      <x:c r="J89" s="2" t="n">
        <x:f>IF(ISNUMBER(F89),IF(AND(ABS(F89)+0.00000000001&gt;=$B$7,ABS(E89)+0.000000001&gt;=$D$7),1,0),"n.a.")</x:f>
        <x:v>0</x:v>
      </x:c>
      <x:c r="K89" s="2" t="str">
        <x:f>IF(NOT(ISNUMBER(F89)),"No evaluable",IF(OR(J89=1,I89&gt;=$B$8),"Prioridad",IF(G89=1,"Observar","Sin umbral")))</x:f>
        <x:v>Sin umbral</x:v>
      </x:c>
      <x:c r="L89" s="2" t="str">
        <x:f>IF(K89="No evaluable","Faltan datos",IF(J89=1,"Magnitud",IF(I89&gt;=$B$8,"Persistencia",IF(G89=1,"Cambio del mes","Sin umbral"))))</x:f>
        <x:v>Sin umbral</x:v>
      </x:c>
      <x:c r="M89" s="2" t="n">
        <x:f>ROW()-40</x:f>
        <x:v>49</x:v>
      </x:c>
    </x:row>
    <x:row r="90" ht="48" customHeight="1">
      <x:c r="A90" s="4" t="n">
        <x:v>45017</x:v>
      </x:c>
      <x:c r="B90" s="32" t="str">
        <x:v>Madera y papel</x:v>
      </x:c>
      <x:c r="C90" s="10" t="n">
        <x:f>IF(ISNUMBER('Actividades'!F227),'Actividades'!F227,"n.a.")</x:f>
        <x:v>104.97321666666667</x:v>
      </x:c>
      <x:c r="D90" s="10" t="n">
        <x:f>IF(ISNUMBER('Actividades'!G227),'Actividades'!G227,"n.a.")</x:f>
        <x:v>104.13508888888889</x:v>
      </x:c>
      <x:c r="E90" s="10" t="n">
        <x:f>IF(AND(ISNUMBER(C90),ISNUMBER(D90),C90&gt;=0,D90&gt;0),C90-D90,"n.a.")</x:f>
        <x:v>0.8381277777777854</x:v>
      </x:c>
      <x:c r="F90" s="12" t="n">
        <x:f>IF(ISNUMBER(E90),E90/D90,"n.a.")</x:f>
        <x:v>0.008048466532467836</x:v>
      </x:c>
      <x:c r="G90" s="2" t="n">
        <x:f>IF(ISNUMBER(F90),IF(AND(ABS(F90)+0.00000000001&gt;=$B$6,ABS(E90)+0.000000001&gt;=$D$6),1,0),"n.a.")</x:f>
        <x:v>0</x:v>
      </x:c>
      <x:c r="H90" s="2" t="n">
        <x:f>IF(ISNUMBER(E90),SIGN(E90),"n.a.")</x:f>
        <x:v>1</x:v>
      </x:c>
      <x:c r="I90" s="2" t="n">
        <x:f>IF(NOT(ISNUMBER(G90)),"n.a.",IF(G90=0,0,IF(AND(B90=B76,A90=EDATE(A76,1),H90=H76,ISNUMBER(I76)),I76+1,1)))</x:f>
        <x:v>0</x:v>
      </x:c>
      <x:c r="J90" s="2" t="n">
        <x:f>IF(ISNUMBER(F90),IF(AND(ABS(F90)+0.00000000001&gt;=$B$7,ABS(E90)+0.000000001&gt;=$D$7),1,0),"n.a.")</x:f>
        <x:v>0</x:v>
      </x:c>
      <x:c r="K90" s="2" t="str">
        <x:f>IF(NOT(ISNUMBER(F90)),"No evaluable",IF(OR(J90=1,I90&gt;=$B$8),"Prioridad",IF(G90=1,"Observar","Sin umbral")))</x:f>
        <x:v>Sin umbral</x:v>
      </x:c>
      <x:c r="L90" s="2" t="str">
        <x:f>IF(K90="No evaluable","Faltan datos",IF(J90=1,"Magnitud",IF(I90&gt;=$B$8,"Persistencia",IF(G90=1,"Cambio del mes","Sin umbral"))))</x:f>
        <x:v>Sin umbral</x:v>
      </x:c>
      <x:c r="M90" s="2" t="n">
        <x:f>ROW()-40</x:f>
        <x:v>50</x:v>
      </x:c>
    </x:row>
    <x:row r="91" ht="48" customHeight="1">
      <x:c r="A91" s="4" t="n">
        <x:v>45017</x:v>
      </x:c>
      <x:c r="B91" s="32" t="str">
        <x:v>Productos metálicos no automotores</x:v>
      </x:c>
      <x:c r="C91" s="10" t="n">
        <x:f>IF(ISNUMBER('Actividades'!F228),'Actividades'!F228,"n.a.")</x:f>
        <x:v>48.040640277777776</x:v>
      </x:c>
      <x:c r="D91" s="10" t="n">
        <x:f>IF(ISNUMBER('Actividades'!G228),'Actividades'!G228,"n.a.")</x:f>
        <x:v>56.47754722222223</x:v>
      </x:c>
      <x:c r="E91" s="10" t="n">
        <x:f>IF(AND(ISNUMBER(C91),ISNUMBER(D91),C91&gt;=0,D91&gt;0),C91-D91,"n.a.")</x:f>
        <x:v>-8.436906944444452</x:v>
      </x:c>
      <x:c r="F91" s="12" t="n">
        <x:f>IF(ISNUMBER(E91),E91/D91,"n.a.")</x:f>
        <x:v>-0.1493851514345648</x:v>
      </x:c>
      <x:c r="G91" s="2" t="n">
        <x:f>IF(ISNUMBER(F91),IF(AND(ABS(F91)+0.00000000001&gt;=$B$6,ABS(E91)+0.000000001&gt;=$D$6),1,0),"n.a.")</x:f>
        <x:v>1</x:v>
      </x:c>
      <x:c r="H91" s="2" t="n">
        <x:f>IF(ISNUMBER(E91),SIGN(E91),"n.a.")</x:f>
        <x:v>-1</x:v>
      </x:c>
      <x:c r="I91" s="2" t="n">
        <x:f>IF(NOT(ISNUMBER(G91)),"n.a.",IF(G91=0,0,IF(AND(B91=B77,A91=EDATE(A77,1),H91=H77,ISNUMBER(I77)),I77+1,1)))</x:f>
        <x:v>4</x:v>
      </x:c>
      <x:c r="J91" s="2" t="n">
        <x:f>IF(ISNUMBER(F91),IF(AND(ABS(F91)+0.00000000001&gt;=$B$7,ABS(E91)+0.000000001&gt;=$D$7),1,0),"n.a.")</x:f>
        <x:v>0</x:v>
      </x:c>
      <x:c r="K91" s="2" t="str">
        <x:f>IF(NOT(ISNUMBER(F91)),"No evaluable",IF(OR(J91=1,I91&gt;=$B$8),"Prioridad",IF(G91=1,"Observar","Sin umbral")))</x:f>
        <x:v>Prioridad</x:v>
      </x:c>
      <x:c r="L91" s="2" t="str">
        <x:f>IF(K91="No evaluable","Faltan datos",IF(J91=1,"Magnitud",IF(I91&gt;=$B$8,"Persistencia",IF(G91=1,"Cambio del mes","Sin umbral"))))</x:f>
        <x:v>Persistencia</x:v>
      </x:c>
      <x:c r="M91" s="2" t="n">
        <x:f>ROW()-40</x:f>
        <x:v>51</x:v>
      </x:c>
    </x:row>
    <x:row r="92" ht="48" customHeight="1">
      <x:c r="A92" s="4" t="n">
        <x:v>45017</x:v>
      </x:c>
      <x:c r="B92" s="32" t="str">
        <x:v>Gran siderurgia</x:v>
      </x:c>
      <x:c r="C92" s="10" t="n">
        <x:f>IF(ISNUMBER('Actividades'!F229),'Actividades'!F229,"n.a.")</x:f>
        <x:v>321.56680694444447</x:v>
      </x:c>
      <x:c r="D92" s="10" t="n">
        <x:f>IF(ISNUMBER('Actividades'!G229),'Actividades'!G229,"n.a.")</x:f>
        <x:v>295.4892416666667</x:v>
      </x:c>
      <x:c r="E92" s="10" t="n">
        <x:f>IF(AND(ISNUMBER(C92),ISNUMBER(D92),C92&gt;=0,D92&gt;0),C92-D92,"n.a.")</x:f>
        <x:v>26.07756527777775</x:v>
      </x:c>
      <x:c r="F92" s="12" t="n">
        <x:f>IF(ISNUMBER(E92),E92/D92,"n.a.")</x:f>
        <x:v>0.08825216488658201</x:v>
      </x:c>
      <x:c r="G92" s="2" t="n">
        <x:f>IF(ISNUMBER(F92),IF(AND(ABS(F92)+0.00000000001&gt;=$B$6,ABS(E92)+0.000000001&gt;=$D$6),1,0),"n.a.")</x:f>
        <x:v>0</x:v>
      </x:c>
      <x:c r="H92" s="2" t="n">
        <x:f>IF(ISNUMBER(E92),SIGN(E92),"n.a.")</x:f>
        <x:v>1</x:v>
      </x:c>
      <x:c r="I92" s="2" t="n">
        <x:f>IF(NOT(ISNUMBER(G92)),"n.a.",IF(G92=0,0,IF(AND(B92=B78,A92=EDATE(A78,1),H92=H78,ISNUMBER(I78)),I78+1,1)))</x:f>
        <x:v>0</x:v>
      </x:c>
      <x:c r="J92" s="2" t="n">
        <x:f>IF(ISNUMBER(F92),IF(AND(ABS(F92)+0.00000000001&gt;=$B$7,ABS(E92)+0.000000001&gt;=$D$7),1,0),"n.a.")</x:f>
        <x:v>0</x:v>
      </x:c>
      <x:c r="K92" s="2" t="str">
        <x:f>IF(NOT(ISNUMBER(F92)),"No evaluable",IF(OR(J92=1,I92&gt;=$B$8),"Prioridad",IF(G92=1,"Observar","Sin umbral")))</x:f>
        <x:v>Sin umbral</x:v>
      </x:c>
      <x:c r="L92" s="2" t="str">
        <x:f>IF(K92="No evaluable","Faltan datos",IF(J92=1,"Magnitud",IF(I92&gt;=$B$8,"Persistencia",IF(G92=1,"Cambio del mes","Sin umbral"))))</x:f>
        <x:v>Sin umbral</x:v>
      </x:c>
      <x:c r="M92" s="2" t="n">
        <x:f>ROW()-40</x:f>
        <x:v>52</x:v>
      </x:c>
    </x:row>
    <x:row r="93" ht="48" customHeight="1">
      <x:c r="A93" s="4" t="n">
        <x:v>45017</x:v>
      </x:c>
      <x:c r="B93" s="32" t="str">
        <x:v>Industria textil</x:v>
      </x:c>
      <x:c r="C93" s="10" t="n">
        <x:f>IF(ISNUMBER('Actividades'!F230),'Actividades'!F230,"n.a.")</x:f>
        <x:v>63.00198472222222</x:v>
      </x:c>
      <x:c r="D93" s="10" t="n">
        <x:f>IF(ISNUMBER('Actividades'!G230),'Actividades'!G230,"n.a.")</x:f>
        <x:v>61.509987499999994</x:v>
      </x:c>
      <x:c r="E93" s="10" t="n">
        <x:f>IF(AND(ISNUMBER(C93),ISNUMBER(D93),C93&gt;=0,D93&gt;0),C93-D93,"n.a.")</x:f>
        <x:v>1.4919972222222242</x:v>
      </x:c>
      <x:c r="F93" s="12" t="n">
        <x:f>IF(ISNUMBER(E93),E93/D93,"n.a.")</x:f>
        <x:v>0.02425617827059751</x:v>
      </x:c>
      <x:c r="G93" s="2" t="n">
        <x:f>IF(ISNUMBER(F93),IF(AND(ABS(F93)+0.00000000001&gt;=$B$6,ABS(E93)+0.000000001&gt;=$D$6),1,0),"n.a.")</x:f>
        <x:v>0</x:v>
      </x:c>
      <x:c r="H93" s="2" t="n">
        <x:f>IF(ISNUMBER(E93),SIGN(E93),"n.a.")</x:f>
        <x:v>1</x:v>
      </x:c>
      <x:c r="I93" s="2" t="n">
        <x:f>IF(NOT(ISNUMBER(G93)),"n.a.",IF(G93=0,0,IF(AND(B93=B79,A93=EDATE(A79,1),H93=H79,ISNUMBER(I79)),I79+1,1)))</x:f>
        <x:v>0</x:v>
      </x:c>
      <x:c r="J93" s="2" t="n">
        <x:f>IF(ISNUMBER(F93),IF(AND(ABS(F93)+0.00000000001&gt;=$B$7,ABS(E93)+0.000000001&gt;=$D$7),1,0),"n.a.")</x:f>
        <x:v>0</x:v>
      </x:c>
      <x:c r="K93" s="2" t="str">
        <x:f>IF(NOT(ISNUMBER(F93)),"No evaluable",IF(OR(J93=1,I93&gt;=$B$8),"Prioridad",IF(G93=1,"Observar","Sin umbral")))</x:f>
        <x:v>Sin umbral</x:v>
      </x:c>
      <x:c r="L93" s="2" t="str">
        <x:f>IF(K93="No evaluable","Faltan datos",IF(J93=1,"Magnitud",IF(I93&gt;=$B$8,"Persistencia",IF(G93=1,"Cambio del mes","Sin umbral"))))</x:f>
        <x:v>Sin umbral</x:v>
      </x:c>
      <x:c r="M93" s="2" t="n">
        <x:f>ROW()-40</x:f>
        <x:v>53</x:v>
      </x:c>
    </x:row>
    <x:row r="94" ht="48" customHeight="1">
      <x:c r="A94" s="4" t="n">
        <x:v>45017</x:v>
      </x:c>
      <x:c r="B94" s="32" t="str">
        <x:v>Químicas, caucho, plástico y otros minerales no metálicos</x:v>
      </x:c>
      <x:c r="C94" s="10" t="n">
        <x:f>IF(ISNUMBER('Actividades'!F231),'Actividades'!F231,"n.a.")</x:f>
        <x:v>333.08837083333333</x:v>
      </x:c>
      <x:c r="D94" s="10" t="n">
        <x:f>IF(ISNUMBER('Actividades'!G231),'Actividades'!G231,"n.a.")</x:f>
        <x:v>398.57307777777777</x:v>
      </x:c>
      <x:c r="E94" s="10" t="n">
        <x:f>IF(AND(ISNUMBER(C94),ISNUMBER(D94),C94&gt;=0,D94&gt;0),C94-D94,"n.a.")</x:f>
        <x:v>-65.48470694444444</x:v>
      </x:c>
      <x:c r="F94" s="12" t="n">
        <x:f>IF(ISNUMBER(E94),E94/D94,"n.a.")</x:f>
        <x:v>-0.1642978680586025</x:v>
      </x:c>
      <x:c r="G94" s="2" t="n">
        <x:f>IF(ISNUMBER(F94),IF(AND(ABS(F94)+0.00000000001&gt;=$B$6,ABS(E94)+0.000000001&gt;=$D$6),1,0),"n.a.")</x:f>
        <x:v>1</x:v>
      </x:c>
      <x:c r="H94" s="2" t="n">
        <x:f>IF(ISNUMBER(E94),SIGN(E94),"n.a.")</x:f>
        <x:v>-1</x:v>
      </x:c>
      <x:c r="I94" s="2" t="n">
        <x:f>IF(NOT(ISNUMBER(G94)),"n.a.",IF(G94=0,0,IF(AND(B94=B80,A94=EDATE(A80,1),H94=H80,ISNUMBER(I80)),I80+1,1)))</x:f>
        <x:v>1</x:v>
      </x:c>
      <x:c r="J94" s="2" t="n">
        <x:f>IF(ISNUMBER(F94),IF(AND(ABS(F94)+0.00000000001&gt;=$B$7,ABS(E94)+0.000000001&gt;=$D$7),1,0),"n.a.")</x:f>
        <x:v>0</x:v>
      </x:c>
      <x:c r="K94" s="2" t="str">
        <x:f>IF(NOT(ISNUMBER(F94)),"No evaluable",IF(OR(J94=1,I94&gt;=$B$8),"Prioridad",IF(G94=1,"Observar","Sin umbral")))</x:f>
        <x:v>Observar</x:v>
      </x:c>
      <x:c r="L94" s="2" t="str">
        <x:f>IF(K94="No evaluable","Faltan datos",IF(J94=1,"Magnitud",IF(I94&gt;=$B$8,"Persistencia",IF(G94=1,"Cambio del mes","Sin umbral"))))</x:f>
        <x:v>Cambio del mes</x:v>
      </x:c>
      <x:c r="M94" s="2" t="n">
        <x:f>ROW()-40</x:f>
        <x:v>54</x:v>
      </x:c>
    </x:row>
    <x:row r="95" ht="48" customHeight="1">
      <x:c r="A95" s="4" t="n">
        <x:v>45017</x:v>
      </x:c>
      <x:c r="B95" s="32" t="str">
        <x:v>Extracción de minerales</x:v>
      </x:c>
      <x:c r="C95" s="10" t="n">
        <x:f>IF(ISNUMBER('Actividades'!F232),'Actividades'!F232,"n.a.")</x:f>
        <x:v>20.03678611111111</x:v>
      </x:c>
      <x:c r="D95" s="10" t="n">
        <x:f>IF(ISNUMBER('Actividades'!G232),'Actividades'!G232,"n.a.")</x:f>
        <x:v>18.193920833333333</x:v>
      </x:c>
      <x:c r="E95" s="10" t="n">
        <x:f>IF(AND(ISNUMBER(C95),ISNUMBER(D95),C95&gt;=0,D95&gt;0),C95-D95,"n.a.")</x:f>
        <x:v>1.8428652777777756</x:v>
      </x:c>
      <x:c r="F95" s="12" t="n">
        <x:f>IF(ISNUMBER(E95),E95/D95,"n.a.")</x:f>
        <x:v>0.10129016690022288</x:v>
      </x:c>
      <x:c r="G95" s="2" t="n">
        <x:f>IF(ISNUMBER(F95),IF(AND(ABS(F95)+0.00000000001&gt;=$B$6,ABS(E95)+0.000000001&gt;=$D$6),1,0),"n.a.")</x:f>
        <x:v>0</x:v>
      </x:c>
      <x:c r="H95" s="2" t="n">
        <x:f>IF(ISNUMBER(E95),SIGN(E95),"n.a.")</x:f>
        <x:v>1</x:v>
      </x:c>
      <x:c r="I95" s="2" t="n">
        <x:f>IF(NOT(ISNUMBER(G95)),"n.a.",IF(G95=0,0,IF(AND(B95=B81,A95=EDATE(A81,1),H95=H81,ISNUMBER(I81)),I81+1,1)))</x:f>
        <x:v>0</x:v>
      </x:c>
      <x:c r="J95" s="2" t="n">
        <x:f>IF(ISNUMBER(F95),IF(AND(ABS(F95)+0.00000000001&gt;=$B$7,ABS(E95)+0.000000001&gt;=$D$7),1,0),"n.a.")</x:f>
        <x:v>0</x:v>
      </x:c>
      <x:c r="K95" s="2" t="str">
        <x:f>IF(NOT(ISNUMBER(F95)),"No evaluable",IF(OR(J95=1,I95&gt;=$B$8),"Prioridad",IF(G95=1,"Observar","Sin umbral")))</x:f>
        <x:v>Sin umbral</x:v>
      </x:c>
      <x:c r="L95" s="2" t="str">
        <x:f>IF(K95="No evaluable","Faltan datos",IF(J95=1,"Magnitud",IF(I95&gt;=$B$8,"Persistencia",IF(G95=1,"Cambio del mes","Sin umbral"))))</x:f>
        <x:v>Sin umbral</x:v>
      </x:c>
      <x:c r="M95" s="2" t="n">
        <x:f>ROW()-40</x:f>
        <x:v>55</x:v>
      </x:c>
    </x:row>
    <x:row r="96" ht="48" customHeight="1">
      <x:c r="A96" s="4" t="n">
        <x:v>45017</x:v>
      </x:c>
      <x:c r="B96" s="32" t="str">
        <x:v>Extracción de petróleo</x:v>
      </x:c>
      <x:c r="C96" s="10" t="n">
        <x:f>IF(ISNUMBER('Actividades'!F233),'Actividades'!F233,"n.a.")</x:f>
        <x:v>168.23026666666667</x:v>
      </x:c>
      <x:c r="D96" s="10" t="n">
        <x:f>IF(ISNUMBER('Actividades'!G233),'Actividades'!G233,"n.a.")</x:f>
        <x:v>183.48032083333334</x:v>
      </x:c>
      <x:c r="E96" s="10" t="n">
        <x:f>IF(AND(ISNUMBER(C96),ISNUMBER(D96),C96&gt;=0,D96&gt;0),C96-D96,"n.a.")</x:f>
        <x:v>-15.250054166666672</x:v>
      </x:c>
      <x:c r="F96" s="12" t="n">
        <x:f>IF(ISNUMBER(E96),E96/D96,"n.a.")</x:f>
        <x:v>-0.0831154758036381</x:v>
      </x:c>
      <x:c r="G96" s="2" t="n">
        <x:f>IF(ISNUMBER(F96),IF(AND(ABS(F96)+0.00000000001&gt;=$B$6,ABS(E96)+0.000000001&gt;=$D$6),1,0),"n.a.")</x:f>
        <x:v>0</x:v>
      </x:c>
      <x:c r="H96" s="2" t="n">
        <x:f>IF(ISNUMBER(E96),SIGN(E96),"n.a.")</x:f>
        <x:v>-1</x:v>
      </x:c>
      <x:c r="I96" s="2" t="n">
        <x:f>IF(NOT(ISNUMBER(G96)),"n.a.",IF(G96=0,0,IF(AND(B96=B82,A96=EDATE(A82,1),H96=H82,ISNUMBER(I82)),I82+1,1)))</x:f>
        <x:v>0</x:v>
      </x:c>
      <x:c r="J96" s="2" t="n">
        <x:f>IF(ISNUMBER(F96),IF(AND(ABS(F96)+0.00000000001&gt;=$B$7,ABS(E96)+0.000000001&gt;=$D$7),1,0),"n.a.")</x:f>
        <x:v>0</x:v>
      </x:c>
      <x:c r="K96" s="2" t="str">
        <x:f>IF(NOT(ISNUMBER(F96)),"No evaluable",IF(OR(J96=1,I96&gt;=$B$8),"Prioridad",IF(G96=1,"Observar","Sin umbral")))</x:f>
        <x:v>Sin umbral</x:v>
      </x:c>
      <x:c r="L96" s="2" t="str">
        <x:f>IF(K96="No evaluable","Faltan datos",IF(J96=1,"Magnitud",IF(I96&gt;=$B$8,"Persistencia",IF(G96=1,"Cambio del mes","Sin umbral"))))</x:f>
        <x:v>Sin umbral</x:v>
      </x:c>
      <x:c r="M96" s="2" t="n">
        <x:f>ROW()-40</x:f>
        <x:v>56</x:v>
      </x:c>
    </x:row>
    <x:row r="97" ht="48" customHeight="1">
      <x:c r="A97" s="4" t="n">
        <x:v>45047</x:v>
      </x:c>
      <x:c r="B97" s="32" t="str">
        <x:v>Cargas y puertos</x:v>
      </x:c>
      <x:c r="C97" s="10" t="n">
        <x:f>IF(ISNUMBER('Actividades'!F234),'Actividades'!F234,"n.a.")</x:f>
        <x:v>6.715490591397849</x:v>
      </x:c>
      <x:c r="D97" s="10" t="n">
        <x:f>IF(ISNUMBER('Actividades'!G234),'Actividades'!G234,"n.a.")</x:f>
        <x:v>8.200380376344086</x:v>
      </x:c>
      <x:c r="E97" s="10" t="n">
        <x:f>IF(AND(ISNUMBER(C97),ISNUMBER(D97),C97&gt;=0,D97&gt;0),C97-D97,"n.a.")</x:f>
        <x:v>-1.4848897849462368</x:v>
      </x:c>
      <x:c r="F97" s="12" t="n">
        <x:f>IF(ISNUMBER(E97),E97/D97,"n.a.")</x:f>
        <x:v>-0.18107572049093582</x:v>
      </x:c>
      <x:c r="G97" s="2" t="n">
        <x:f>IF(ISNUMBER(F97),IF(AND(ABS(F97)+0.00000000001&gt;=$B$6,ABS(E97)+0.000000001&gt;=$D$6),1,0),"n.a.")</x:f>
        <x:v>0</x:v>
      </x:c>
      <x:c r="H97" s="2" t="n">
        <x:f>IF(ISNUMBER(E97),SIGN(E97),"n.a.")</x:f>
        <x:v>-1</x:v>
      </x:c>
      <x:c r="I97" s="2" t="n">
        <x:f>IF(NOT(ISNUMBER(G97)),"n.a.",IF(G97=0,0,IF(AND(B97=B83,A97=EDATE(A83,1),H97=H83,ISNUMBER(I83)),I83+1,1)))</x:f>
        <x:v>0</x:v>
      </x:c>
      <x:c r="J97" s="2" t="n">
        <x:f>IF(ISNUMBER(F97),IF(AND(ABS(F97)+0.00000000001&gt;=$B$7,ABS(E97)+0.000000001&gt;=$D$7),1,0),"n.a.")</x:f>
        <x:v>0</x:v>
      </x:c>
      <x:c r="K97" s="2" t="str">
        <x:f>IF(NOT(ISNUMBER(F97)),"No evaluable",IF(OR(J97=1,I97&gt;=$B$8),"Prioridad",IF(G97=1,"Observar","Sin umbral")))</x:f>
        <x:v>Sin umbral</x:v>
      </x:c>
      <x:c r="L97" s="2" t="str">
        <x:f>IF(K97="No evaluable","Faltan datos",IF(J97=1,"Magnitud",IF(I97&gt;=$B$8,"Persistencia",IF(G97=1,"Cambio del mes","Sin umbral"))))</x:f>
        <x:v>Sin umbral</x:v>
      </x:c>
      <x:c r="M97" s="2" t="n">
        <x:f>ROW()-40</x:f>
        <x:v>57</x:v>
      </x:c>
    </x:row>
    <x:row r="98" ht="48" customHeight="1">
      <x:c r="A98" s="4" t="n">
        <x:v>45047</x:v>
      </x:c>
      <x:c r="B98" s="32" t="str">
        <x:v>Comercio y servicios: principalmente supermercados y centros comerciales</x:v>
      </x:c>
      <x:c r="C98" s="10" t="n">
        <x:f>IF(ISNUMBER('Actividades'!F235),'Actividades'!F235,"n.a.")</x:f>
        <x:v>29.059623655913978</x:v>
      </x:c>
      <x:c r="D98" s="10" t="n">
        <x:f>IF(ISNUMBER('Actividades'!G235),'Actividades'!G235,"n.a.")</x:f>
        <x:v>26.370419354838713</x:v>
      </x:c>
      <x:c r="E98" s="10" t="n">
        <x:f>IF(AND(ISNUMBER(C98),ISNUMBER(D98),C98&gt;=0,D98&gt;0),C98-D98,"n.a.")</x:f>
        <x:v>2.6892043010752644</x:v>
      </x:c>
      <x:c r="F98" s="12" t="n">
        <x:f>IF(ISNUMBER(E98),E98/D98,"n.a.")</x:f>
        <x:v>0.1019780635601391</x:v>
      </x:c>
      <x:c r="G98" s="2" t="n">
        <x:f>IF(ISNUMBER(F98),IF(AND(ABS(F98)+0.00000000001&gt;=$B$6,ABS(E98)+0.000000001&gt;=$D$6),1,0),"n.a.")</x:f>
        <x:v>0</x:v>
      </x:c>
      <x:c r="H98" s="2" t="n">
        <x:f>IF(ISNUMBER(E98),SIGN(E98),"n.a.")</x:f>
        <x:v>1</x:v>
      </x:c>
      <x:c r="I98" s="2" t="n">
        <x:f>IF(NOT(ISNUMBER(G98)),"n.a.",IF(G98=0,0,IF(AND(B98=B84,A98=EDATE(A84,1),H98=H84,ISNUMBER(I84)),I84+1,1)))</x:f>
        <x:v>0</x:v>
      </x:c>
      <x:c r="J98" s="2" t="n">
        <x:f>IF(ISNUMBER(F98),IF(AND(ABS(F98)+0.00000000001&gt;=$B$7,ABS(E98)+0.000000001&gt;=$D$7),1,0),"n.a.")</x:f>
        <x:v>0</x:v>
      </x:c>
      <x:c r="K98" s="2" t="str">
        <x:f>IF(NOT(ISNUMBER(F98)),"No evaluable",IF(OR(J98=1,I98&gt;=$B$8),"Prioridad",IF(G98=1,"Observar","Sin umbral")))</x:f>
        <x:v>Sin umbral</x:v>
      </x:c>
      <x:c r="L98" s="2" t="str">
        <x:f>IF(K98="No evaluable","Faltan datos",IF(J98=1,"Magnitud",IF(I98&gt;=$B$8,"Persistencia",IF(G98=1,"Cambio del mes","Sin umbral"))))</x:f>
        <x:v>Sin umbral</x:v>
      </x:c>
      <x:c r="M98" s="2" t="n">
        <x:f>ROW()-40</x:f>
        <x:v>58</x:v>
      </x:c>
    </x:row>
    <x:row r="99" ht="48" customHeight="1">
      <x:c r="A99" s="4" t="n">
        <x:v>45047</x:v>
      </x:c>
      <x:c r="B99" s="32" t="str">
        <x:v>Alimentación y artículos de consumo masivo</x:v>
      </x:c>
      <x:c r="C99" s="10" t="n">
        <x:f>IF(ISNUMBER('Actividades'!F236),'Actividades'!F236,"n.a.")</x:f>
        <x:v>275.2428588709677</x:v>
      </x:c>
      <x:c r="D99" s="10" t="n">
        <x:f>IF(ISNUMBER('Actividades'!G236),'Actividades'!G236,"n.a.")</x:f>
        <x:v>280.4532822580645</x:v>
      </x:c>
      <x:c r="E99" s="10" t="n">
        <x:f>IF(AND(ISNUMBER(C99),ISNUMBER(D99),C99&gt;=0,D99&gt;0),C99-D99,"n.a.")</x:f>
        <x:v>-5.210423387096796</x:v>
      </x:c>
      <x:c r="F99" s="12" t="n">
        <x:f>IF(ISNUMBER(E99),E99/D99,"n.a.")</x:f>
        <x:v>-0.018578578739193802</x:v>
      </x:c>
      <x:c r="G99" s="2" t="n">
        <x:f>IF(ISNUMBER(F99),IF(AND(ABS(F99)+0.00000000001&gt;=$B$6,ABS(E99)+0.000000001&gt;=$D$6),1,0),"n.a.")</x:f>
        <x:v>0</x:v>
      </x:c>
      <x:c r="H99" s="2" t="n">
        <x:f>IF(ISNUMBER(E99),SIGN(E99),"n.a.")</x:f>
        <x:v>-1</x:v>
      </x:c>
      <x:c r="I99" s="2" t="n">
        <x:f>IF(NOT(ISNUMBER(G99)),"n.a.",IF(G99=0,0,IF(AND(B99=B85,A99=EDATE(A85,1),H99=H85,ISNUMBER(I85)),I85+1,1)))</x:f>
        <x:v>0</x:v>
      </x:c>
      <x:c r="J99" s="2" t="n">
        <x:f>IF(ISNUMBER(F99),IF(AND(ABS(F99)+0.00000000001&gt;=$B$7,ABS(E99)+0.000000001&gt;=$D$7),1,0),"n.a.")</x:f>
        <x:v>0</x:v>
      </x:c>
      <x:c r="K99" s="2" t="str">
        <x:f>IF(NOT(ISNUMBER(F99)),"No evaluable",IF(OR(J99=1,I99&gt;=$B$8),"Prioridad",IF(G99=1,"Observar","Sin umbral")))</x:f>
        <x:v>Sin umbral</x:v>
      </x:c>
      <x:c r="L99" s="2" t="str">
        <x:f>IF(K99="No evaluable","Faltan datos",IF(J99=1,"Magnitud",IF(I99&gt;=$B$8,"Persistencia",IF(G99=1,"Cambio del mes","Sin umbral"))))</x:f>
        <x:v>Sin umbral</x:v>
      </x:c>
      <x:c r="M99" s="2" t="n">
        <x:f>ROW()-40</x:f>
        <x:v>59</x:v>
      </x:c>
    </x:row>
    <x:row r="100" ht="48" customHeight="1">
      <x:c r="A100" s="4" t="n">
        <x:v>45047</x:v>
      </x:c>
      <x:c r="B100" s="32" t="str">
        <x:v>Servicios públicos y transporte: agua y transporte en GBA</x:v>
      </x:c>
      <x:c r="C100" s="10" t="n">
        <x:f>IF(ISNUMBER('Actividades'!F237),'Actividades'!F237,"n.a.")</x:f>
        <x:v>88.93069758064517</x:v>
      </x:c>
      <x:c r="D100" s="10" t="n">
        <x:f>IF(ISNUMBER('Actividades'!G237),'Actividades'!G237,"n.a.")</x:f>
        <x:v>82.54761155913978</x:v>
      </x:c>
      <x:c r="E100" s="10" t="n">
        <x:f>IF(AND(ISNUMBER(C100),ISNUMBER(D100),C100&gt;=0,D100&gt;0),C100-D100,"n.a.")</x:f>
        <x:v>6.383086021505392</x:v>
      </x:c>
      <x:c r="F100" s="12" t="n">
        <x:f>IF(ISNUMBER(E100),E100/D100,"n.a.")</x:f>
        <x:v>0.07732611399582824</x:v>
      </x:c>
      <x:c r="G100" s="2" t="n">
        <x:f>IF(ISNUMBER(F100),IF(AND(ABS(F100)+0.00000000001&gt;=$B$6,ABS(E100)+0.000000001&gt;=$D$6),1,0),"n.a.")</x:f>
        <x:v>0</x:v>
      </x:c>
      <x:c r="H100" s="2" t="n">
        <x:f>IF(ISNUMBER(E100),SIGN(E100),"n.a.")</x:f>
        <x:v>1</x:v>
      </x:c>
      <x:c r="I100" s="2" t="n">
        <x:f>IF(NOT(ISNUMBER(G100)),"n.a.",IF(G100=0,0,IF(AND(B100=B86,A100=EDATE(A86,1),H100=H86,ISNUMBER(I86)),I86+1,1)))</x:f>
        <x:v>0</x:v>
      </x:c>
      <x:c r="J100" s="2" t="n">
        <x:f>IF(ISNUMBER(F100),IF(AND(ABS(F100)+0.00000000001&gt;=$B$7,ABS(E100)+0.000000001&gt;=$D$7),1,0),"n.a.")</x:f>
        <x:v>0</x:v>
      </x:c>
      <x:c r="K100" s="2" t="str">
        <x:f>IF(NOT(ISNUMBER(F100)),"No evaluable",IF(OR(J100=1,I100&gt;=$B$8),"Prioridad",IF(G100=1,"Observar","Sin umbral")))</x:f>
        <x:v>Sin umbral</x:v>
      </x:c>
      <x:c r="L100" s="2" t="str">
        <x:f>IF(K100="No evaluable","Faltan datos",IF(J100=1,"Magnitud",IF(I100&gt;=$B$8,"Persistencia",IF(G100=1,"Cambio del mes","Sin umbral"))))</x:f>
        <x:v>Sin umbral</x:v>
      </x:c>
      <x:c r="M100" s="2" t="n">
        <x:f>ROW()-40</x:f>
        <x:v>60</x:v>
      </x:c>
    </x:row>
    <x:row r="101" ht="48" customHeight="1">
      <x:c r="A101" s="4" t="n">
        <x:v>45047</x:v>
      </x:c>
      <x:c r="B101" s="32" t="str">
        <x:v>Industria automotriz</x:v>
      </x:c>
      <x:c r="C101" s="10" t="n">
        <x:f>IF(ISNUMBER('Actividades'!F238),'Actividades'!F238,"n.a.")</x:f>
        <x:v>37.40162096774194</x:v>
      </x:c>
      <x:c r="D101" s="10" t="n">
        <x:f>IF(ISNUMBER('Actividades'!G238),'Actividades'!G238,"n.a.")</x:f>
        <x:v>33.78188172043011</x:v>
      </x:c>
      <x:c r="E101" s="10" t="n">
        <x:f>IF(AND(ISNUMBER(C101),ISNUMBER(D101),C101&gt;=0,D101&gt;0),C101-D101,"n.a.")</x:f>
        <x:v>3.619739247311834</x:v>
      </x:c>
      <x:c r="F101" s="12" t="n">
        <x:f>IF(ISNUMBER(E101),E101/D101,"n.a.")</x:f>
        <x:v>0.10715031439834631</x:v>
      </x:c>
      <x:c r="G101" s="2" t="n">
        <x:f>IF(ISNUMBER(F101),IF(AND(ABS(F101)+0.00000000001&gt;=$B$6,ABS(E101)+0.000000001&gt;=$D$6),1,0),"n.a.")</x:f>
        <x:v>0</x:v>
      </x:c>
      <x:c r="H101" s="2" t="n">
        <x:f>IF(ISNUMBER(E101),SIGN(E101),"n.a.")</x:f>
        <x:v>1</x:v>
      </x:c>
      <x:c r="I101" s="2" t="n">
        <x:f>IF(NOT(ISNUMBER(G101)),"n.a.",IF(G101=0,0,IF(AND(B101=B87,A101=EDATE(A87,1),H101=H87,ISNUMBER(I87)),I87+1,1)))</x:f>
        <x:v>0</x:v>
      </x:c>
      <x:c r="J101" s="2" t="n">
        <x:f>IF(ISNUMBER(F101),IF(AND(ABS(F101)+0.00000000001&gt;=$B$7,ABS(E101)+0.000000001&gt;=$D$7),1,0),"n.a.")</x:f>
        <x:v>0</x:v>
      </x:c>
      <x:c r="K101" s="2" t="str">
        <x:f>IF(NOT(ISNUMBER(F101)),"No evaluable",IF(OR(J101=1,I101&gt;=$B$8),"Prioridad",IF(G101=1,"Observar","Sin umbral")))</x:f>
        <x:v>Sin umbral</x:v>
      </x:c>
      <x:c r="L101" s="2" t="str">
        <x:f>IF(K101="No evaluable","Faltan datos",IF(J101=1,"Magnitud",IF(I101&gt;=$B$8,"Persistencia",IF(G101=1,"Cambio del mes","Sin umbral"))))</x:f>
        <x:v>Sin umbral</x:v>
      </x:c>
      <x:c r="M101" s="2" t="n">
        <x:f>ROW()-40</x:f>
        <x:v>61</x:v>
      </x:c>
    </x:row>
    <x:row r="102" ht="48" customHeight="1">
      <x:c r="A102" s="4" t="n">
        <x:v>45047</x:v>
      </x:c>
      <x:c r="B102" s="32" t="str">
        <x:v>Derivados de petróleo</x:v>
      </x:c>
      <x:c r="C102" s="10" t="n">
        <x:f>IF(ISNUMBER('Actividades'!F239),'Actividades'!F239,"n.a.")</x:f>
        <x:v>153.75251344086024</x:v>
      </x:c>
      <x:c r="D102" s="10" t="n">
        <x:f>IF(ISNUMBER('Actividades'!G239),'Actividades'!G239,"n.a.")</x:f>
        <x:v>210.03337231182797</x:v>
      </x:c>
      <x:c r="E102" s="10" t="n">
        <x:f>IF(AND(ISNUMBER(C102),ISNUMBER(D102),C102&gt;=0,D102&gt;0),C102-D102,"n.a.")</x:f>
        <x:v>-56.280858870967734</x:v>
      </x:c>
      <x:c r="F102" s="12" t="n">
        <x:f>IF(ISNUMBER(E102),E102/D102,"n.a.")</x:f>
        <x:v>-0.26796150655244366</x:v>
      </x:c>
      <x:c r="G102" s="2" t="n">
        <x:f>IF(ISNUMBER(F102),IF(AND(ABS(F102)+0.00000000001&gt;=$B$6,ABS(E102)+0.000000001&gt;=$D$6),1,0),"n.a.")</x:f>
        <x:v>1</x:v>
      </x:c>
      <x:c r="H102" s="2" t="n">
        <x:f>IF(ISNUMBER(E102),SIGN(E102),"n.a.")</x:f>
        <x:v>-1</x:v>
      </x:c>
      <x:c r="I102" s="2" t="n">
        <x:f>IF(NOT(ISNUMBER(G102)),"n.a.",IF(G102=0,0,IF(AND(B102=B88,A102=EDATE(A88,1),H102=H88,ISNUMBER(I88)),I88+1,1)))</x:f>
        <x:v>2</x:v>
      </x:c>
      <x:c r="J102" s="2" t="n">
        <x:f>IF(ISNUMBER(F102),IF(AND(ABS(F102)+0.00000000001&gt;=$B$7,ABS(E102)+0.000000001&gt;=$D$7),1,0),"n.a.")</x:f>
        <x:v>1</x:v>
      </x:c>
      <x:c r="K102" s="2" t="str">
        <x:f>IF(NOT(ISNUMBER(F102)),"No evaluable",IF(OR(J102=1,I102&gt;=$B$8),"Prioridad",IF(G102=1,"Observar","Sin umbral")))</x:f>
        <x:v>Prioridad</x:v>
      </x:c>
      <x:c r="L102" s="2" t="str">
        <x:f>IF(K102="No evaluable","Faltan datos",IF(J102=1,"Magnitud",IF(I102&gt;=$B$8,"Persistencia",IF(G102=1,"Cambio del mes","Sin umbral"))))</x:f>
        <x:v>Magnitud</x:v>
      </x:c>
      <x:c r="M102" s="2" t="n">
        <x:f>ROW()-40</x:f>
        <x:v>62</x:v>
      </x:c>
    </x:row>
    <x:row r="103" ht="48" customHeight="1">
      <x:c r="A103" s="4" t="n">
        <x:v>45047</x:v>
      </x:c>
      <x:c r="B103" s="32" t="str">
        <x:v>Construcción: elaboración de cemento y canteras</x:v>
      </x:c>
      <x:c r="C103" s="10" t="n">
        <x:f>IF(ISNUMBER('Actividades'!F240),'Actividades'!F240,"n.a.")</x:f>
        <x:v>175.4919677419355</x:v>
      </x:c>
      <x:c r="D103" s="10" t="n">
        <x:f>IF(ISNUMBER('Actividades'!G240),'Actividades'!G240,"n.a.")</x:f>
        <x:v>175.85155241935482</x:v>
      </x:c>
      <x:c r="E103" s="10" t="n">
        <x:f>IF(AND(ISNUMBER(C103),ISNUMBER(D103),C103&gt;=0,D103&gt;0),C103-D103,"n.a.")</x:f>
        <x:v>-0.35958467741932054</x:v>
      </x:c>
      <x:c r="F103" s="12" t="n">
        <x:f>IF(ISNUMBER(E103),E103/D103,"n.a.")</x:f>
        <x:v>-0.0020448194654649147</x:v>
      </x:c>
      <x:c r="G103" s="2" t="n">
        <x:f>IF(ISNUMBER(F103),IF(AND(ABS(F103)+0.00000000001&gt;=$B$6,ABS(E103)+0.000000001&gt;=$D$6),1,0),"n.a.")</x:f>
        <x:v>0</x:v>
      </x:c>
      <x:c r="H103" s="2" t="n">
        <x:f>IF(ISNUMBER(E103),SIGN(E103),"n.a.")</x:f>
        <x:v>-1</x:v>
      </x:c>
      <x:c r="I103" s="2" t="n">
        <x:f>IF(NOT(ISNUMBER(G103)),"n.a.",IF(G103=0,0,IF(AND(B103=B89,A103=EDATE(A89,1),H103=H89,ISNUMBER(I89)),I89+1,1)))</x:f>
        <x:v>0</x:v>
      </x:c>
      <x:c r="J103" s="2" t="n">
        <x:f>IF(ISNUMBER(F103),IF(AND(ABS(F103)+0.00000000001&gt;=$B$7,ABS(E103)+0.000000001&gt;=$D$7),1,0),"n.a.")</x:f>
        <x:v>0</x:v>
      </x:c>
      <x:c r="K103" s="2" t="str">
        <x:f>IF(NOT(ISNUMBER(F103)),"No evaluable",IF(OR(J103=1,I103&gt;=$B$8),"Prioridad",IF(G103=1,"Observar","Sin umbral")))</x:f>
        <x:v>Sin umbral</x:v>
      </x:c>
      <x:c r="L103" s="2" t="str">
        <x:f>IF(K103="No evaluable","Faltan datos",IF(J103=1,"Magnitud",IF(I103&gt;=$B$8,"Persistencia",IF(G103=1,"Cambio del mes","Sin umbral"))))</x:f>
        <x:v>Sin umbral</x:v>
      </x:c>
      <x:c r="M103" s="2" t="n">
        <x:f>ROW()-40</x:f>
        <x:v>63</x:v>
      </x:c>
    </x:row>
    <x:row r="104" ht="48" customHeight="1">
      <x:c r="A104" s="4" t="n">
        <x:v>45047</x:v>
      </x:c>
      <x:c r="B104" s="32" t="str">
        <x:v>Madera y papel</x:v>
      </x:c>
      <x:c r="C104" s="10" t="n">
        <x:f>IF(ISNUMBER('Actividades'!F241),'Actividades'!F241,"n.a.")</x:f>
        <x:v>108.79648387096775</x:v>
      </x:c>
      <x:c r="D104" s="10" t="n">
        <x:f>IF(ISNUMBER('Actividades'!G241),'Actividades'!G241,"n.a.")</x:f>
        <x:v>107.2743629032258</x:v>
      </x:c>
      <x:c r="E104" s="10" t="n">
        <x:f>IF(AND(ISNUMBER(C104),ISNUMBER(D104),C104&gt;=0,D104&gt;0),C104-D104,"n.a.")</x:f>
        <x:v>1.522120967741941</x:v>
      </x:c>
      <x:c r="F104" s="12" t="n">
        <x:f>IF(ISNUMBER(E104),E104/D104,"n.a.")</x:f>
        <x:v>0.014189046912495527</x:v>
      </x:c>
      <x:c r="G104" s="2" t="n">
        <x:f>IF(ISNUMBER(F104),IF(AND(ABS(F104)+0.00000000001&gt;=$B$6,ABS(E104)+0.000000001&gt;=$D$6),1,0),"n.a.")</x:f>
        <x:v>0</x:v>
      </x:c>
      <x:c r="H104" s="2" t="n">
        <x:f>IF(ISNUMBER(E104),SIGN(E104),"n.a.")</x:f>
        <x:v>1</x:v>
      </x:c>
      <x:c r="I104" s="2" t="n">
        <x:f>IF(NOT(ISNUMBER(G104)),"n.a.",IF(G104=0,0,IF(AND(B104=B90,A104=EDATE(A90,1),H104=H90,ISNUMBER(I90)),I90+1,1)))</x:f>
        <x:v>0</x:v>
      </x:c>
      <x:c r="J104" s="2" t="n">
        <x:f>IF(ISNUMBER(F104),IF(AND(ABS(F104)+0.00000000001&gt;=$B$7,ABS(E104)+0.000000001&gt;=$D$7),1,0),"n.a.")</x:f>
        <x:v>0</x:v>
      </x:c>
      <x:c r="K104" s="2" t="str">
        <x:f>IF(NOT(ISNUMBER(F104)),"No evaluable",IF(OR(J104=1,I104&gt;=$B$8),"Prioridad",IF(G104=1,"Observar","Sin umbral")))</x:f>
        <x:v>Sin umbral</x:v>
      </x:c>
      <x:c r="L104" s="2" t="str">
        <x:f>IF(K104="No evaluable","Faltan datos",IF(J104=1,"Magnitud",IF(I104&gt;=$B$8,"Persistencia",IF(G104=1,"Cambio del mes","Sin umbral"))))</x:f>
        <x:v>Sin umbral</x:v>
      </x:c>
      <x:c r="M104" s="2" t="n">
        <x:f>ROW()-40</x:f>
        <x:v>64</x:v>
      </x:c>
    </x:row>
    <x:row r="105" ht="48" customHeight="1">
      <x:c r="A105" s="4" t="n">
        <x:v>45047</x:v>
      </x:c>
      <x:c r="B105" s="32" t="str">
        <x:v>Productos metálicos no automotores</x:v>
      </x:c>
      <x:c r="C105" s="10" t="n">
        <x:f>IF(ISNUMBER('Actividades'!F242),'Actividades'!F242,"n.a.")</x:f>
        <x:v>47.84571370967742</x:v>
      </x:c>
      <x:c r="D105" s="10" t="n">
        <x:f>IF(ISNUMBER('Actividades'!G242),'Actividades'!G242,"n.a.")</x:f>
        <x:v>56.59469758064516</x:v>
      </x:c>
      <x:c r="E105" s="10" t="n">
        <x:f>IF(AND(ISNUMBER(C105),ISNUMBER(D105),C105&gt;=0,D105&gt;0),C105-D105,"n.a.")</x:f>
        <x:v>-8.748983870967741</x:v>
      </x:c>
      <x:c r="F105" s="12" t="n">
        <x:f>IF(ISNUMBER(E105),E105/D105,"n.a.")</x:f>
        <x:v>-0.154590169132025</x:v>
      </x:c>
      <x:c r="G105" s="2" t="n">
        <x:f>IF(ISNUMBER(F105),IF(AND(ABS(F105)+0.00000000001&gt;=$B$6,ABS(E105)+0.000000001&gt;=$D$6),1,0),"n.a.")</x:f>
        <x:v>1</x:v>
      </x:c>
      <x:c r="H105" s="2" t="n">
        <x:f>IF(ISNUMBER(E105),SIGN(E105),"n.a.")</x:f>
        <x:v>-1</x:v>
      </x:c>
      <x:c r="I105" s="2" t="n">
        <x:f>IF(NOT(ISNUMBER(G105)),"n.a.",IF(G105=0,0,IF(AND(B105=B91,A105=EDATE(A91,1),H105=H91,ISNUMBER(I91)),I91+1,1)))</x:f>
        <x:v>5</x:v>
      </x:c>
      <x:c r="J105" s="2" t="n">
        <x:f>IF(ISNUMBER(F105),IF(AND(ABS(F105)+0.00000000001&gt;=$B$7,ABS(E105)+0.000000001&gt;=$D$7),1,0),"n.a.")</x:f>
        <x:v>0</x:v>
      </x:c>
      <x:c r="K105" s="2" t="str">
        <x:f>IF(NOT(ISNUMBER(F105)),"No evaluable",IF(OR(J105=1,I105&gt;=$B$8),"Prioridad",IF(G105=1,"Observar","Sin umbral")))</x:f>
        <x:v>Prioridad</x:v>
      </x:c>
      <x:c r="L105" s="2" t="str">
        <x:f>IF(K105="No evaluable","Faltan datos",IF(J105=1,"Magnitud",IF(I105&gt;=$B$8,"Persistencia",IF(G105=1,"Cambio del mes","Sin umbral"))))</x:f>
        <x:v>Persistencia</x:v>
      </x:c>
      <x:c r="M105" s="2" t="n">
        <x:f>ROW()-40</x:f>
        <x:v>65</x:v>
      </x:c>
    </x:row>
    <x:row r="106" ht="48" customHeight="1">
      <x:c r="A106" s="4" t="n">
        <x:v>45047</x:v>
      </x:c>
      <x:c r="B106" s="32" t="str">
        <x:v>Gran siderurgia</x:v>
      </x:c>
      <x:c r="C106" s="10" t="n">
        <x:f>IF(ISNUMBER('Actividades'!F243),'Actividades'!F243,"n.a.")</x:f>
        <x:v>357.60996505376346</x:v>
      </x:c>
      <x:c r="D106" s="10" t="n">
        <x:f>IF(ISNUMBER('Actividades'!G243),'Actividades'!G243,"n.a.")</x:f>
        <x:v>357.4851182795699</x:v>
      </x:c>
      <x:c r="E106" s="10" t="n">
        <x:f>IF(AND(ISNUMBER(C106),ISNUMBER(D106),C106&gt;=0,D106&gt;0),C106-D106,"n.a.")</x:f>
        <x:v>0.12484677419354284</x:v>
      </x:c>
      <x:c r="F106" s="12" t="n">
        <x:f>IF(ISNUMBER(E106),E106/D106,"n.a.")</x:f>
        <x:v>0.00034923628372106634</x:v>
      </x:c>
      <x:c r="G106" s="2" t="n">
        <x:f>IF(ISNUMBER(F106),IF(AND(ABS(F106)+0.00000000001&gt;=$B$6,ABS(E106)+0.000000001&gt;=$D$6),1,0),"n.a.")</x:f>
        <x:v>0</x:v>
      </x:c>
      <x:c r="H106" s="2" t="n">
        <x:f>IF(ISNUMBER(E106),SIGN(E106),"n.a.")</x:f>
        <x:v>1</x:v>
      </x:c>
      <x:c r="I106" s="2" t="n">
        <x:f>IF(NOT(ISNUMBER(G106)),"n.a.",IF(G106=0,0,IF(AND(B106=B92,A106=EDATE(A92,1),H106=H92,ISNUMBER(I92)),I92+1,1)))</x:f>
        <x:v>0</x:v>
      </x:c>
      <x:c r="J106" s="2" t="n">
        <x:f>IF(ISNUMBER(F106),IF(AND(ABS(F106)+0.00000000001&gt;=$B$7,ABS(E106)+0.000000001&gt;=$D$7),1,0),"n.a.")</x:f>
        <x:v>0</x:v>
      </x:c>
      <x:c r="K106" s="2" t="str">
        <x:f>IF(NOT(ISNUMBER(F106)),"No evaluable",IF(OR(J106=1,I106&gt;=$B$8),"Prioridad",IF(G106=1,"Observar","Sin umbral")))</x:f>
        <x:v>Sin umbral</x:v>
      </x:c>
      <x:c r="L106" s="2" t="str">
        <x:f>IF(K106="No evaluable","Faltan datos",IF(J106=1,"Magnitud",IF(I106&gt;=$B$8,"Persistencia",IF(G106=1,"Cambio del mes","Sin umbral"))))</x:f>
        <x:v>Sin umbral</x:v>
      </x:c>
      <x:c r="M106" s="2" t="n">
        <x:f>ROW()-40</x:f>
        <x:v>66</x:v>
      </x:c>
    </x:row>
    <x:row r="107" ht="48" customHeight="1">
      <x:c r="A107" s="4" t="n">
        <x:v>45047</x:v>
      </x:c>
      <x:c r="B107" s="32" t="str">
        <x:v>Industria textil</x:v>
      </x:c>
      <x:c r="C107" s="10" t="n">
        <x:f>IF(ISNUMBER('Actividades'!F244),'Actividades'!F244,"n.a.")</x:f>
        <x:v>60.61020833333333</x:v>
      </x:c>
      <x:c r="D107" s="10" t="n">
        <x:f>IF(ISNUMBER('Actividades'!G244),'Actividades'!G244,"n.a.")</x:f>
        <x:v>59.93705107526882</x:v>
      </x:c>
      <x:c r="E107" s="10" t="n">
        <x:f>IF(AND(ISNUMBER(C107),ISNUMBER(D107),C107&gt;=0,D107&gt;0),C107-D107,"n.a.")</x:f>
        <x:v>0.6731572580645135</x:v>
      </x:c>
      <x:c r="F107" s="12" t="n">
        <x:f>IF(ISNUMBER(E107),E107/D107,"n.a.")</x:f>
        <x:v>0.011231070698142357</x:v>
      </x:c>
      <x:c r="G107" s="2" t="n">
        <x:f>IF(ISNUMBER(F107),IF(AND(ABS(F107)+0.00000000001&gt;=$B$6,ABS(E107)+0.000000001&gt;=$D$6),1,0),"n.a.")</x:f>
        <x:v>0</x:v>
      </x:c>
      <x:c r="H107" s="2" t="n">
        <x:f>IF(ISNUMBER(E107),SIGN(E107),"n.a.")</x:f>
        <x:v>1</x:v>
      </x:c>
      <x:c r="I107" s="2" t="n">
        <x:f>IF(NOT(ISNUMBER(G107)),"n.a.",IF(G107=0,0,IF(AND(B107=B93,A107=EDATE(A93,1),H107=H93,ISNUMBER(I93)),I93+1,1)))</x:f>
        <x:v>0</x:v>
      </x:c>
      <x:c r="J107" s="2" t="n">
        <x:f>IF(ISNUMBER(F107),IF(AND(ABS(F107)+0.00000000001&gt;=$B$7,ABS(E107)+0.000000001&gt;=$D$7),1,0),"n.a.")</x:f>
        <x:v>0</x:v>
      </x:c>
      <x:c r="K107" s="2" t="str">
        <x:f>IF(NOT(ISNUMBER(F107)),"No evaluable",IF(OR(J107=1,I107&gt;=$B$8),"Prioridad",IF(G107=1,"Observar","Sin umbral")))</x:f>
        <x:v>Sin umbral</x:v>
      </x:c>
      <x:c r="L107" s="2" t="str">
        <x:f>IF(K107="No evaluable","Faltan datos",IF(J107=1,"Magnitud",IF(I107&gt;=$B$8,"Persistencia",IF(G107=1,"Cambio del mes","Sin umbral"))))</x:f>
        <x:v>Sin umbral</x:v>
      </x:c>
      <x:c r="M107" s="2" t="n">
        <x:f>ROW()-40</x:f>
        <x:v>67</x:v>
      </x:c>
    </x:row>
    <x:row r="108" ht="48" customHeight="1">
      <x:c r="A108" s="4" t="n">
        <x:v>45047</x:v>
      </x:c>
      <x:c r="B108" s="32" t="str">
        <x:v>Químicas, caucho, plástico y otros minerales no metálicos</x:v>
      </x:c>
      <x:c r="C108" s="10" t="n">
        <x:f>IF(ISNUMBER('Actividades'!F245),'Actividades'!F245,"n.a.")</x:f>
        <x:v>328.57641397849466</x:v>
      </x:c>
      <x:c r="D108" s="10" t="n">
        <x:f>IF(ISNUMBER('Actividades'!G245),'Actividades'!G245,"n.a.")</x:f>
        <x:v>334.87222580645164</x:v>
      </x:c>
      <x:c r="E108" s="10" t="n">
        <x:f>IF(AND(ISNUMBER(C108),ISNUMBER(D108),C108&gt;=0,D108&gt;0),C108-D108,"n.a.")</x:f>
        <x:v>-6.295811827956982</x:v>
      </x:c>
      <x:c r="F108" s="12" t="n">
        <x:f>IF(ISNUMBER(E108),E108/D108,"n.a.")</x:f>
        <x:v>-0.018800638998337876</x:v>
      </x:c>
      <x:c r="G108" s="2" t="n">
        <x:f>IF(ISNUMBER(F108),IF(AND(ABS(F108)+0.00000000001&gt;=$B$6,ABS(E108)+0.000000001&gt;=$D$6),1,0),"n.a.")</x:f>
        <x:v>0</x:v>
      </x:c>
      <x:c r="H108" s="2" t="n">
        <x:f>IF(ISNUMBER(E108),SIGN(E108),"n.a.")</x:f>
        <x:v>-1</x:v>
      </x:c>
      <x:c r="I108" s="2" t="n">
        <x:f>IF(NOT(ISNUMBER(G108)),"n.a.",IF(G108=0,0,IF(AND(B108=B94,A108=EDATE(A94,1),H108=H94,ISNUMBER(I94)),I94+1,1)))</x:f>
        <x:v>0</x:v>
      </x:c>
      <x:c r="J108" s="2" t="n">
        <x:f>IF(ISNUMBER(F108),IF(AND(ABS(F108)+0.00000000001&gt;=$B$7,ABS(E108)+0.000000001&gt;=$D$7),1,0),"n.a.")</x:f>
        <x:v>0</x:v>
      </x:c>
      <x:c r="K108" s="2" t="str">
        <x:f>IF(NOT(ISNUMBER(F108)),"No evaluable",IF(OR(J108=1,I108&gt;=$B$8),"Prioridad",IF(G108=1,"Observar","Sin umbral")))</x:f>
        <x:v>Sin umbral</x:v>
      </x:c>
      <x:c r="L108" s="2" t="str">
        <x:f>IF(K108="No evaluable","Faltan datos",IF(J108=1,"Magnitud",IF(I108&gt;=$B$8,"Persistencia",IF(G108=1,"Cambio del mes","Sin umbral"))))</x:f>
        <x:v>Sin umbral</x:v>
      </x:c>
      <x:c r="M108" s="2" t="n">
        <x:f>ROW()-40</x:f>
        <x:v>68</x:v>
      </x:c>
    </x:row>
    <x:row r="109" ht="48" customHeight="1">
      <x:c r="A109" s="4" t="n">
        <x:v>45047</x:v>
      </x:c>
      <x:c r="B109" s="32" t="str">
        <x:v>Extracción de minerales</x:v>
      </x:c>
      <x:c r="C109" s="10" t="n">
        <x:f>IF(ISNUMBER('Actividades'!F246),'Actividades'!F246,"n.a.")</x:f>
        <x:v>20.764936827956987</x:v>
      </x:c>
      <x:c r="D109" s="10" t="n">
        <x:f>IF(ISNUMBER('Actividades'!G246),'Actividades'!G246,"n.a.")</x:f>
        <x:v>18.976434139784946</x:v>
      </x:c>
      <x:c r="E109" s="10" t="n">
        <x:f>IF(AND(ISNUMBER(C109),ISNUMBER(D109),C109&gt;=0,D109&gt;0),C109-D109,"n.a.")</x:f>
        <x:v>1.7885026881720414</x:v>
      </x:c>
      <x:c r="F109" s="12" t="n">
        <x:f>IF(ISNUMBER(E109),E109/D109,"n.a.")</x:f>
        <x:v>0.09424861778548611</x:v>
      </x:c>
      <x:c r="G109" s="2" t="n">
        <x:f>IF(ISNUMBER(F109),IF(AND(ABS(F109)+0.00000000001&gt;=$B$6,ABS(E109)+0.000000001&gt;=$D$6),1,0),"n.a.")</x:f>
        <x:v>0</x:v>
      </x:c>
      <x:c r="H109" s="2" t="n">
        <x:f>IF(ISNUMBER(E109),SIGN(E109),"n.a.")</x:f>
        <x:v>1</x:v>
      </x:c>
      <x:c r="I109" s="2" t="n">
        <x:f>IF(NOT(ISNUMBER(G109)),"n.a.",IF(G109=0,0,IF(AND(B109=B95,A109=EDATE(A95,1),H109=H95,ISNUMBER(I95)),I95+1,1)))</x:f>
        <x:v>0</x:v>
      </x:c>
      <x:c r="J109" s="2" t="n">
        <x:f>IF(ISNUMBER(F109),IF(AND(ABS(F109)+0.00000000001&gt;=$B$7,ABS(E109)+0.000000001&gt;=$D$7),1,0),"n.a.")</x:f>
        <x:v>0</x:v>
      </x:c>
      <x:c r="K109" s="2" t="str">
        <x:f>IF(NOT(ISNUMBER(F109)),"No evaluable",IF(OR(J109=1,I109&gt;=$B$8),"Prioridad",IF(G109=1,"Observar","Sin umbral")))</x:f>
        <x:v>Sin umbral</x:v>
      </x:c>
      <x:c r="L109" s="2" t="str">
        <x:f>IF(K109="No evaluable","Faltan datos",IF(J109=1,"Magnitud",IF(I109&gt;=$B$8,"Persistencia",IF(G109=1,"Cambio del mes","Sin umbral"))))</x:f>
        <x:v>Sin umbral</x:v>
      </x:c>
      <x:c r="M109" s="2" t="n">
        <x:f>ROW()-40</x:f>
        <x:v>69</x:v>
      </x:c>
    </x:row>
    <x:row r="110" ht="48" customHeight="1">
      <x:c r="A110" s="4" t="n">
        <x:v>45047</x:v>
      </x:c>
      <x:c r="B110" s="32" t="str">
        <x:v>Extracción de petróleo</x:v>
      </x:c>
      <x:c r="C110" s="10" t="n">
        <x:f>IF(ISNUMBER('Actividades'!F247),'Actividades'!F247,"n.a.")</x:f>
        <x:v>168.01221236559138</x:v>
      </x:c>
      <x:c r="D110" s="10" t="n">
        <x:f>IF(ISNUMBER('Actividades'!G247),'Actividades'!G247,"n.a.")</x:f>
        <x:v>174.7756626344086</x:v>
      </x:c>
      <x:c r="E110" s="10" t="n">
        <x:f>IF(AND(ISNUMBER(C110),ISNUMBER(D110),C110&gt;=0,D110&gt;0),C110-D110,"n.a.")</x:f>
        <x:v>-6.763450268817223</x:v>
      </x:c>
      <x:c r="F110" s="12" t="n">
        <x:f>IF(ISNUMBER(E110),E110/D110,"n.a.")</x:f>
        <x:v>-0.03869789515811959</x:v>
      </x:c>
      <x:c r="G110" s="2" t="n">
        <x:f>IF(ISNUMBER(F110),IF(AND(ABS(F110)+0.00000000001&gt;=$B$6,ABS(E110)+0.000000001&gt;=$D$6),1,0),"n.a.")</x:f>
        <x:v>0</x:v>
      </x:c>
      <x:c r="H110" s="2" t="n">
        <x:f>IF(ISNUMBER(E110),SIGN(E110),"n.a.")</x:f>
        <x:v>-1</x:v>
      </x:c>
      <x:c r="I110" s="2" t="n">
        <x:f>IF(NOT(ISNUMBER(G110)),"n.a.",IF(G110=0,0,IF(AND(B110=B96,A110=EDATE(A96,1),H110=H96,ISNUMBER(I96)),I96+1,1)))</x:f>
        <x:v>0</x:v>
      </x:c>
      <x:c r="J110" s="2" t="n">
        <x:f>IF(ISNUMBER(F110),IF(AND(ABS(F110)+0.00000000001&gt;=$B$7,ABS(E110)+0.000000001&gt;=$D$7),1,0),"n.a.")</x:f>
        <x:v>0</x:v>
      </x:c>
      <x:c r="K110" s="2" t="str">
        <x:f>IF(NOT(ISNUMBER(F110)),"No evaluable",IF(OR(J110=1,I110&gt;=$B$8),"Prioridad",IF(G110=1,"Observar","Sin umbral")))</x:f>
        <x:v>Sin umbral</x:v>
      </x:c>
      <x:c r="L110" s="2" t="str">
        <x:f>IF(K110="No evaluable","Faltan datos",IF(J110=1,"Magnitud",IF(I110&gt;=$B$8,"Persistencia",IF(G110=1,"Cambio del mes","Sin umbral"))))</x:f>
        <x:v>Sin umbral</x:v>
      </x:c>
      <x:c r="M110" s="2" t="n">
        <x:f>ROW()-40</x:f>
        <x:v>70</x:v>
      </x:c>
    </x:row>
    <x:row r="111" ht="48" customHeight="1">
      <x:c r="A111" s="4" t="n">
        <x:v>45078</x:v>
      </x:c>
      <x:c r="B111" s="32" t="str">
        <x:v>Cargas y puertos</x:v>
      </x:c>
      <x:c r="C111" s="10" t="n">
        <x:f>IF(ISNUMBER('Actividades'!F248),'Actividades'!F248,"n.a.")</x:f>
        <x:v>6.961018055555556</x:v>
      </x:c>
      <x:c r="D111" s="10" t="n">
        <x:f>IF(ISNUMBER('Actividades'!G248),'Actividades'!G248,"n.a.")</x:f>
        <x:v>8.289541666666667</x:v>
      </x:c>
      <x:c r="E111" s="10" t="n">
        <x:f>IF(AND(ISNUMBER(C111),ISNUMBER(D111),C111&gt;=0,D111&gt;0),C111-D111,"n.a.")</x:f>
        <x:v>-1.3285236111111107</x:v>
      </x:c>
      <x:c r="F111" s="12" t="n">
        <x:f>IF(ISNUMBER(E111),E111/D111,"n.a.")</x:f>
        <x:v>-0.16026502604520082</x:v>
      </x:c>
      <x:c r="G111" s="2" t="n">
        <x:f>IF(ISNUMBER(F111),IF(AND(ABS(F111)+0.00000000001&gt;=$B$6,ABS(E111)+0.000000001&gt;=$D$6),1,0),"n.a.")</x:f>
        <x:v>0</x:v>
      </x:c>
      <x:c r="H111" s="2" t="n">
        <x:f>IF(ISNUMBER(E111),SIGN(E111),"n.a.")</x:f>
        <x:v>-1</x:v>
      </x:c>
      <x:c r="I111" s="2" t="n">
        <x:f>IF(NOT(ISNUMBER(G111)),"n.a.",IF(G111=0,0,IF(AND(B111=B97,A111=EDATE(A97,1),H111=H97,ISNUMBER(I97)),I97+1,1)))</x:f>
        <x:v>0</x:v>
      </x:c>
      <x:c r="J111" s="2" t="n">
        <x:f>IF(ISNUMBER(F111),IF(AND(ABS(F111)+0.00000000001&gt;=$B$7,ABS(E111)+0.000000001&gt;=$D$7),1,0),"n.a.")</x:f>
        <x:v>0</x:v>
      </x:c>
      <x:c r="K111" s="2" t="str">
        <x:f>IF(NOT(ISNUMBER(F111)),"No evaluable",IF(OR(J111=1,I111&gt;=$B$8),"Prioridad",IF(G111=1,"Observar","Sin umbral")))</x:f>
        <x:v>Sin umbral</x:v>
      </x:c>
      <x:c r="L111" s="2" t="str">
        <x:f>IF(K111="No evaluable","Faltan datos",IF(J111=1,"Magnitud",IF(I111&gt;=$B$8,"Persistencia",IF(G111=1,"Cambio del mes","Sin umbral"))))</x:f>
        <x:v>Sin umbral</x:v>
      </x:c>
      <x:c r="M111" s="2" t="n">
        <x:f>ROW()-40</x:f>
        <x:v>71</x:v>
      </x:c>
    </x:row>
    <x:row r="112" ht="48" customHeight="1">
      <x:c r="A112" s="4" t="n">
        <x:v>45078</x:v>
      </x:c>
      <x:c r="B112" s="32" t="str">
        <x:v>Comercio y servicios: principalmente supermercados y centros comerciales</x:v>
      </x:c>
      <x:c r="C112" s="10" t="n">
        <x:f>IF(ISNUMBER('Actividades'!F249),'Actividades'!F249,"n.a.")</x:f>
        <x:v>28.469118055555555</x:v>
      </x:c>
      <x:c r="D112" s="10" t="n">
        <x:f>IF(ISNUMBER('Actividades'!G249),'Actividades'!G249,"n.a.")</x:f>
        <x:v>26.9408125</x:v>
      </x:c>
      <x:c r="E112" s="10" t="n">
        <x:f>IF(AND(ISNUMBER(C112),ISNUMBER(D112),C112&gt;=0,D112&gt;0),C112-D112,"n.a.")</x:f>
        <x:v>1.528305555555555</x:v>
      </x:c>
      <x:c r="F112" s="12" t="n">
        <x:f>IF(ISNUMBER(E112),E112/D112,"n.a.")</x:f>
        <x:v>0.05672826517595024</x:v>
      </x:c>
      <x:c r="G112" s="2" t="n">
        <x:f>IF(ISNUMBER(F112),IF(AND(ABS(F112)+0.00000000001&gt;=$B$6,ABS(E112)+0.000000001&gt;=$D$6),1,0),"n.a.")</x:f>
        <x:v>0</x:v>
      </x:c>
      <x:c r="H112" s="2" t="n">
        <x:f>IF(ISNUMBER(E112),SIGN(E112),"n.a.")</x:f>
        <x:v>1</x:v>
      </x:c>
      <x:c r="I112" s="2" t="n">
        <x:f>IF(NOT(ISNUMBER(G112)),"n.a.",IF(G112=0,0,IF(AND(B112=B98,A112=EDATE(A98,1),H112=H98,ISNUMBER(I98)),I98+1,1)))</x:f>
        <x:v>0</x:v>
      </x:c>
      <x:c r="J112" s="2" t="n">
        <x:f>IF(ISNUMBER(F112),IF(AND(ABS(F112)+0.00000000001&gt;=$B$7,ABS(E112)+0.000000001&gt;=$D$7),1,0),"n.a.")</x:f>
        <x:v>0</x:v>
      </x:c>
      <x:c r="K112" s="2" t="str">
        <x:f>IF(NOT(ISNUMBER(F112)),"No evaluable",IF(OR(J112=1,I112&gt;=$B$8),"Prioridad",IF(G112=1,"Observar","Sin umbral")))</x:f>
        <x:v>Sin umbral</x:v>
      </x:c>
      <x:c r="L112" s="2" t="str">
        <x:f>IF(K112="No evaluable","Faltan datos",IF(J112=1,"Magnitud",IF(I112&gt;=$B$8,"Persistencia",IF(G112=1,"Cambio del mes","Sin umbral"))))</x:f>
        <x:v>Sin umbral</x:v>
      </x:c>
      <x:c r="M112" s="2" t="n">
        <x:f>ROW()-40</x:f>
        <x:v>72</x:v>
      </x:c>
    </x:row>
    <x:row r="113" ht="48" customHeight="1">
      <x:c r="A113" s="4" t="n">
        <x:v>45078</x:v>
      </x:c>
      <x:c r="B113" s="32" t="str">
        <x:v>Alimentación y artículos de consumo masivo</x:v>
      </x:c>
      <x:c r="C113" s="10" t="n">
        <x:f>IF(ISNUMBER('Actividades'!F250),'Actividades'!F250,"n.a.")</x:f>
        <x:v>272.8942791666667</x:v>
      </x:c>
      <x:c r="D113" s="10" t="n">
        <x:f>IF(ISNUMBER('Actividades'!G250),'Actividades'!G250,"n.a.")</x:f>
        <x:v>273.6364597222222</x:v>
      </x:c>
      <x:c r="E113" s="10" t="n">
        <x:f>IF(AND(ISNUMBER(C113),ISNUMBER(D113),C113&gt;=0,D113&gt;0),C113-D113,"n.a.")</x:f>
        <x:v>-0.7421805555554783</x:v>
      </x:c>
      <x:c r="F113" s="12" t="n">
        <x:f>IF(ISNUMBER(E113),E113/D113,"n.a.")</x:f>
        <x:v>-0.0027122867921507664</x:v>
      </x:c>
      <x:c r="G113" s="2" t="n">
        <x:f>IF(ISNUMBER(F113),IF(AND(ABS(F113)+0.00000000001&gt;=$B$6,ABS(E113)+0.000000001&gt;=$D$6),1,0),"n.a.")</x:f>
        <x:v>0</x:v>
      </x:c>
      <x:c r="H113" s="2" t="n">
        <x:f>IF(ISNUMBER(E113),SIGN(E113),"n.a.")</x:f>
        <x:v>-1</x:v>
      </x:c>
      <x:c r="I113" s="2" t="n">
        <x:f>IF(NOT(ISNUMBER(G113)),"n.a.",IF(G113=0,0,IF(AND(B113=B99,A113=EDATE(A99,1),H113=H99,ISNUMBER(I99)),I99+1,1)))</x:f>
        <x:v>0</x:v>
      </x:c>
      <x:c r="J113" s="2" t="n">
        <x:f>IF(ISNUMBER(F113),IF(AND(ABS(F113)+0.00000000001&gt;=$B$7,ABS(E113)+0.000000001&gt;=$D$7),1,0),"n.a.")</x:f>
        <x:v>0</x:v>
      </x:c>
      <x:c r="K113" s="2" t="str">
        <x:f>IF(NOT(ISNUMBER(F113)),"No evaluable",IF(OR(J113=1,I113&gt;=$B$8),"Prioridad",IF(G113=1,"Observar","Sin umbral")))</x:f>
        <x:v>Sin umbral</x:v>
      </x:c>
      <x:c r="L113" s="2" t="str">
        <x:f>IF(K113="No evaluable","Faltan datos",IF(J113=1,"Magnitud",IF(I113&gt;=$B$8,"Persistencia",IF(G113=1,"Cambio del mes","Sin umbral"))))</x:f>
        <x:v>Sin umbral</x:v>
      </x:c>
      <x:c r="M113" s="2" t="n">
        <x:f>ROW()-40</x:f>
        <x:v>73</x:v>
      </x:c>
    </x:row>
    <x:row r="114" ht="48" customHeight="1">
      <x:c r="A114" s="4" t="n">
        <x:v>45078</x:v>
      </x:c>
      <x:c r="B114" s="32" t="str">
        <x:v>Servicios públicos y transporte: agua y transporte en GBA</x:v>
      </x:c>
      <x:c r="C114" s="10" t="n">
        <x:f>IF(ISNUMBER('Actividades'!F251),'Actividades'!F251,"n.a.")</x:f>
        <x:v>89.01271805555555</x:v>
      </x:c>
      <x:c r="D114" s="10" t="n">
        <x:f>IF(ISNUMBER('Actividades'!G251),'Actividades'!G251,"n.a.")</x:f>
        <x:v>82.35025138888889</x:v>
      </x:c>
      <x:c r="E114" s="10" t="n">
        <x:f>IF(AND(ISNUMBER(C114),ISNUMBER(D114),C114&gt;=0,D114&gt;0),C114-D114,"n.a.")</x:f>
        <x:v>6.66246666666666</x:v>
      </x:c>
      <x:c r="F114" s="12" t="n">
        <x:f>IF(ISNUMBER(E114),E114/D114,"n.a.")</x:f>
        <x:v>0.08090402341583615</x:v>
      </x:c>
      <x:c r="G114" s="2" t="n">
        <x:f>IF(ISNUMBER(F114),IF(AND(ABS(F114)+0.00000000001&gt;=$B$6,ABS(E114)+0.000000001&gt;=$D$6),1,0),"n.a.")</x:f>
        <x:v>0</x:v>
      </x:c>
      <x:c r="H114" s="2" t="n">
        <x:f>IF(ISNUMBER(E114),SIGN(E114),"n.a.")</x:f>
        <x:v>1</x:v>
      </x:c>
      <x:c r="I114" s="2" t="n">
        <x:f>IF(NOT(ISNUMBER(G114)),"n.a.",IF(G114=0,0,IF(AND(B114=B100,A114=EDATE(A100,1),H114=H100,ISNUMBER(I100)),I100+1,1)))</x:f>
        <x:v>0</x:v>
      </x:c>
      <x:c r="J114" s="2" t="n">
        <x:f>IF(ISNUMBER(F114),IF(AND(ABS(F114)+0.00000000001&gt;=$B$7,ABS(E114)+0.000000001&gt;=$D$7),1,0),"n.a.")</x:f>
        <x:v>0</x:v>
      </x:c>
      <x:c r="K114" s="2" t="str">
        <x:f>IF(NOT(ISNUMBER(F114)),"No evaluable",IF(OR(J114=1,I114&gt;=$B$8),"Prioridad",IF(G114=1,"Observar","Sin umbral")))</x:f>
        <x:v>Sin umbral</x:v>
      </x:c>
      <x:c r="L114" s="2" t="str">
        <x:f>IF(K114="No evaluable","Faltan datos",IF(J114=1,"Magnitud",IF(I114&gt;=$B$8,"Persistencia",IF(G114=1,"Cambio del mes","Sin umbral"))))</x:f>
        <x:v>Sin umbral</x:v>
      </x:c>
      <x:c r="M114" s="2" t="n">
        <x:f>ROW()-40</x:f>
        <x:v>74</x:v>
      </x:c>
    </x:row>
    <x:row r="115" ht="48" customHeight="1">
      <x:c r="A115" s="4" t="n">
        <x:v>45078</x:v>
      </x:c>
      <x:c r="B115" s="32" t="str">
        <x:v>Industria automotriz</x:v>
      </x:c>
      <x:c r="C115" s="10" t="n">
        <x:f>IF(ISNUMBER('Actividades'!F252),'Actividades'!F252,"n.a.")</x:f>
        <x:v>38.96101388888889</x:v>
      </x:c>
      <x:c r="D115" s="10" t="n">
        <x:f>IF(ISNUMBER('Actividades'!G252),'Actividades'!G252,"n.a.")</x:f>
        <x:v>38.01621111111111</x:v>
      </x:c>
      <x:c r="E115" s="10" t="n">
        <x:f>IF(AND(ISNUMBER(C115),ISNUMBER(D115),C115&gt;=0,D115&gt;0),C115-D115,"n.a.")</x:f>
        <x:v>0.944802777777781</x:v>
      </x:c>
      <x:c r="F115" s="12" t="n">
        <x:f>IF(ISNUMBER(E115),E115/D115,"n.a.")</x:f>
        <x:v>0.024852628659294263</x:v>
      </x:c>
      <x:c r="G115" s="2" t="n">
        <x:f>IF(ISNUMBER(F115),IF(AND(ABS(F115)+0.00000000001&gt;=$B$6,ABS(E115)+0.000000001&gt;=$D$6),1,0),"n.a.")</x:f>
        <x:v>0</x:v>
      </x:c>
      <x:c r="H115" s="2" t="n">
        <x:f>IF(ISNUMBER(E115),SIGN(E115),"n.a.")</x:f>
        <x:v>1</x:v>
      </x:c>
      <x:c r="I115" s="2" t="n">
        <x:f>IF(NOT(ISNUMBER(G115)),"n.a.",IF(G115=0,0,IF(AND(B115=B101,A115=EDATE(A101,1),H115=H101,ISNUMBER(I101)),I101+1,1)))</x:f>
        <x:v>0</x:v>
      </x:c>
      <x:c r="J115" s="2" t="n">
        <x:f>IF(ISNUMBER(F115),IF(AND(ABS(F115)+0.00000000001&gt;=$B$7,ABS(E115)+0.000000001&gt;=$D$7),1,0),"n.a.")</x:f>
        <x:v>0</x:v>
      </x:c>
      <x:c r="K115" s="2" t="str">
        <x:f>IF(NOT(ISNUMBER(F115)),"No evaluable",IF(OR(J115=1,I115&gt;=$B$8),"Prioridad",IF(G115=1,"Observar","Sin umbral")))</x:f>
        <x:v>Sin umbral</x:v>
      </x:c>
      <x:c r="L115" s="2" t="str">
        <x:f>IF(K115="No evaluable","Faltan datos",IF(J115=1,"Magnitud",IF(I115&gt;=$B$8,"Persistencia",IF(G115=1,"Cambio del mes","Sin umbral"))))</x:f>
        <x:v>Sin umbral</x:v>
      </x:c>
      <x:c r="M115" s="2" t="n">
        <x:f>ROW()-40</x:f>
        <x:v>75</x:v>
      </x:c>
    </x:row>
    <x:row r="116" ht="48" customHeight="1">
      <x:c r="A116" s="4" t="n">
        <x:v>45078</x:v>
      </x:c>
      <x:c r="B116" s="32" t="str">
        <x:v>Derivados de petróleo</x:v>
      </x:c>
      <x:c r="C116" s="10" t="n">
        <x:f>IF(ISNUMBER('Actividades'!F253),'Actividades'!F253,"n.a.")</x:f>
        <x:v>153.00893750000003</x:v>
      </x:c>
      <x:c r="D116" s="10" t="n">
        <x:f>IF(ISNUMBER('Actividades'!G253),'Actividades'!G253,"n.a.")</x:f>
        <x:v>151.2083986111111</x:v>
      </x:c>
      <x:c r="E116" s="10" t="n">
        <x:f>IF(AND(ISNUMBER(C116),ISNUMBER(D116),C116&gt;=0,D116&gt;0),C116-D116,"n.a.")</x:f>
        <x:v>1.8005388888889229</x:v>
      </x:c>
      <x:c r="F116" s="12" t="n">
        <x:f>IF(ISNUMBER(E116),E116/D116,"n.a.")</x:f>
        <x:v>0.01190766455717636</x:v>
      </x:c>
      <x:c r="G116" s="2" t="n">
        <x:f>IF(ISNUMBER(F116),IF(AND(ABS(F116)+0.00000000001&gt;=$B$6,ABS(E116)+0.000000001&gt;=$D$6),1,0),"n.a.")</x:f>
        <x:v>0</x:v>
      </x:c>
      <x:c r="H116" s="2" t="n">
        <x:f>IF(ISNUMBER(E116),SIGN(E116),"n.a.")</x:f>
        <x:v>1</x:v>
      </x:c>
      <x:c r="I116" s="2" t="n">
        <x:f>IF(NOT(ISNUMBER(G116)),"n.a.",IF(G116=0,0,IF(AND(B116=B102,A116=EDATE(A102,1),H116=H102,ISNUMBER(I102)),I102+1,1)))</x:f>
        <x:v>0</x:v>
      </x:c>
      <x:c r="J116" s="2" t="n">
        <x:f>IF(ISNUMBER(F116),IF(AND(ABS(F116)+0.00000000001&gt;=$B$7,ABS(E116)+0.000000001&gt;=$D$7),1,0),"n.a.")</x:f>
        <x:v>0</x:v>
      </x:c>
      <x:c r="K116" s="2" t="str">
        <x:f>IF(NOT(ISNUMBER(F116)),"No evaluable",IF(OR(J116=1,I116&gt;=$B$8),"Prioridad",IF(G116=1,"Observar","Sin umbral")))</x:f>
        <x:v>Sin umbral</x:v>
      </x:c>
      <x:c r="L116" s="2" t="str">
        <x:f>IF(K116="No evaluable","Faltan datos",IF(J116=1,"Magnitud",IF(I116&gt;=$B$8,"Persistencia",IF(G116=1,"Cambio del mes","Sin umbral"))))</x:f>
        <x:v>Sin umbral</x:v>
      </x:c>
      <x:c r="M116" s="2" t="n">
        <x:f>ROW()-40</x:f>
        <x:v>76</x:v>
      </x:c>
    </x:row>
    <x:row r="117" ht="48" customHeight="1">
      <x:c r="A117" s="4" t="n">
        <x:v>45078</x:v>
      </x:c>
      <x:c r="B117" s="32" t="str">
        <x:v>Construcción: elaboración de cemento y canteras</x:v>
      </x:c>
      <x:c r="C117" s="10" t="n">
        <x:f>IF(ISNUMBER('Actividades'!F254),'Actividades'!F254,"n.a.")</x:f>
        <x:v>162.46503194444446</x:v>
      </x:c>
      <x:c r="D117" s="10" t="n">
        <x:f>IF(ISNUMBER('Actividades'!G254),'Actividades'!G254,"n.a.")</x:f>
        <x:v>168.804925</x:v>
      </x:c>
      <x:c r="E117" s="10" t="n">
        <x:f>IF(AND(ISNUMBER(C117),ISNUMBER(D117),C117&gt;=0,D117&gt;0),C117-D117,"n.a.")</x:f>
        <x:v>-6.339893055555535</x:v>
      </x:c>
      <x:c r="F117" s="12" t="n">
        <x:f>IF(ISNUMBER(E117),E117/D117,"n.a.")</x:f>
        <x:v>-0.0375575123507536</x:v>
      </x:c>
      <x:c r="G117" s="2" t="n">
        <x:f>IF(ISNUMBER(F117),IF(AND(ABS(F117)+0.00000000001&gt;=$B$6,ABS(E117)+0.000000001&gt;=$D$6),1,0),"n.a.")</x:f>
        <x:v>0</x:v>
      </x:c>
      <x:c r="H117" s="2" t="n">
        <x:f>IF(ISNUMBER(E117),SIGN(E117),"n.a.")</x:f>
        <x:v>-1</x:v>
      </x:c>
      <x:c r="I117" s="2" t="n">
        <x:f>IF(NOT(ISNUMBER(G117)),"n.a.",IF(G117=0,0,IF(AND(B117=B103,A117=EDATE(A103,1),H117=H103,ISNUMBER(I103)),I103+1,1)))</x:f>
        <x:v>0</x:v>
      </x:c>
      <x:c r="J117" s="2" t="n">
        <x:f>IF(ISNUMBER(F117),IF(AND(ABS(F117)+0.00000000001&gt;=$B$7,ABS(E117)+0.000000001&gt;=$D$7),1,0),"n.a.")</x:f>
        <x:v>0</x:v>
      </x:c>
      <x:c r="K117" s="2" t="str">
        <x:f>IF(NOT(ISNUMBER(F117)),"No evaluable",IF(OR(J117=1,I117&gt;=$B$8),"Prioridad",IF(G117=1,"Observar","Sin umbral")))</x:f>
        <x:v>Sin umbral</x:v>
      </x:c>
      <x:c r="L117" s="2" t="str">
        <x:f>IF(K117="No evaluable","Faltan datos",IF(J117=1,"Magnitud",IF(I117&gt;=$B$8,"Persistencia",IF(G117=1,"Cambio del mes","Sin umbral"))))</x:f>
        <x:v>Sin umbral</x:v>
      </x:c>
      <x:c r="M117" s="2" t="n">
        <x:f>ROW()-40</x:f>
        <x:v>77</x:v>
      </x:c>
    </x:row>
    <x:row r="118" ht="48" customHeight="1">
      <x:c r="A118" s="4" t="n">
        <x:v>45078</x:v>
      </x:c>
      <x:c r="B118" s="32" t="str">
        <x:v>Madera y papel</x:v>
      </x:c>
      <x:c r="C118" s="10" t="n">
        <x:f>IF(ISNUMBER('Actividades'!F255),'Actividades'!F255,"n.a.")</x:f>
        <x:v>109.91046388888888</x:v>
      </x:c>
      <x:c r="D118" s="10" t="n">
        <x:f>IF(ISNUMBER('Actividades'!G255),'Actividades'!G255,"n.a.")</x:f>
        <x:v>117.95675694444444</x:v>
      </x:c>
      <x:c r="E118" s="10" t="n">
        <x:f>IF(AND(ISNUMBER(C118),ISNUMBER(D118),C118&gt;=0,D118&gt;0),C118-D118,"n.a.")</x:f>
        <x:v>-8.046293055555552</x:v>
      </x:c>
      <x:c r="F118" s="12" t="n">
        <x:f>IF(ISNUMBER(E118),E118/D118,"n.a.")</x:f>
        <x:v>-0.06821392232193374</x:v>
      </x:c>
      <x:c r="G118" s="2" t="n">
        <x:f>IF(ISNUMBER(F118),IF(AND(ABS(F118)+0.00000000001&gt;=$B$6,ABS(E118)+0.000000001&gt;=$D$6),1,0),"n.a.")</x:f>
        <x:v>0</x:v>
      </x:c>
      <x:c r="H118" s="2" t="n">
        <x:f>IF(ISNUMBER(E118),SIGN(E118),"n.a.")</x:f>
        <x:v>-1</x:v>
      </x:c>
      <x:c r="I118" s="2" t="n">
        <x:f>IF(NOT(ISNUMBER(G118)),"n.a.",IF(G118=0,0,IF(AND(B118=B104,A118=EDATE(A104,1),H118=H104,ISNUMBER(I104)),I104+1,1)))</x:f>
        <x:v>0</x:v>
      </x:c>
      <x:c r="J118" s="2" t="n">
        <x:f>IF(ISNUMBER(F118),IF(AND(ABS(F118)+0.00000000001&gt;=$B$7,ABS(E118)+0.000000001&gt;=$D$7),1,0),"n.a.")</x:f>
        <x:v>0</x:v>
      </x:c>
      <x:c r="K118" s="2" t="str">
        <x:f>IF(NOT(ISNUMBER(F118)),"No evaluable",IF(OR(J118=1,I118&gt;=$B$8),"Prioridad",IF(G118=1,"Observar","Sin umbral")))</x:f>
        <x:v>Sin umbral</x:v>
      </x:c>
      <x:c r="L118" s="2" t="str">
        <x:f>IF(K118="No evaluable","Faltan datos",IF(J118=1,"Magnitud",IF(I118&gt;=$B$8,"Persistencia",IF(G118=1,"Cambio del mes","Sin umbral"))))</x:f>
        <x:v>Sin umbral</x:v>
      </x:c>
      <x:c r="M118" s="2" t="n">
        <x:f>ROW()-40</x:f>
        <x:v>78</x:v>
      </x:c>
    </x:row>
    <x:row r="119" ht="48" customHeight="1">
      <x:c r="A119" s="4" t="n">
        <x:v>45078</x:v>
      </x:c>
      <x:c r="B119" s="32" t="str">
        <x:v>Productos metálicos no automotores</x:v>
      </x:c>
      <x:c r="C119" s="10" t="n">
        <x:f>IF(ISNUMBER('Actividades'!F256),'Actividades'!F256,"n.a.")</x:f>
        <x:v>51.01157777777778</x:v>
      </x:c>
      <x:c r="D119" s="10" t="n">
        <x:f>IF(ISNUMBER('Actividades'!G256),'Actividades'!G256,"n.a.")</x:f>
        <x:v>57.894641666666665</x:v>
      </x:c>
      <x:c r="E119" s="10" t="n">
        <x:f>IF(AND(ISNUMBER(C119),ISNUMBER(D119),C119&gt;=0,D119&gt;0),C119-D119,"n.a.")</x:f>
        <x:v>-6.883063888888884</x:v>
      </x:c>
      <x:c r="F119" s="12" t="n">
        <x:f>IF(ISNUMBER(E119),E119/D119,"n.a.")</x:f>
        <x:v>-0.11888948080063629</x:v>
      </x:c>
      <x:c r="G119" s="2" t="n">
        <x:f>IF(ISNUMBER(F119),IF(AND(ABS(F119)+0.00000000001&gt;=$B$6,ABS(E119)+0.000000001&gt;=$D$6),1,0),"n.a.")</x:f>
        <x:v>1</x:v>
      </x:c>
      <x:c r="H119" s="2" t="n">
        <x:f>IF(ISNUMBER(E119),SIGN(E119),"n.a.")</x:f>
        <x:v>-1</x:v>
      </x:c>
      <x:c r="I119" s="2" t="n">
        <x:f>IF(NOT(ISNUMBER(G119)),"n.a.",IF(G119=0,0,IF(AND(B119=B105,A119=EDATE(A105,1),H119=H105,ISNUMBER(I105)),I105+1,1)))</x:f>
        <x:v>6</x:v>
      </x:c>
      <x:c r="J119" s="2" t="n">
        <x:f>IF(ISNUMBER(F119),IF(AND(ABS(F119)+0.00000000001&gt;=$B$7,ABS(E119)+0.000000001&gt;=$D$7),1,0),"n.a.")</x:f>
        <x:v>0</x:v>
      </x:c>
      <x:c r="K119" s="2" t="str">
        <x:f>IF(NOT(ISNUMBER(F119)),"No evaluable",IF(OR(J119=1,I119&gt;=$B$8),"Prioridad",IF(G119=1,"Observar","Sin umbral")))</x:f>
        <x:v>Prioridad</x:v>
      </x:c>
      <x:c r="L119" s="2" t="str">
        <x:f>IF(K119="No evaluable","Faltan datos",IF(J119=1,"Magnitud",IF(I119&gt;=$B$8,"Persistencia",IF(G119=1,"Cambio del mes","Sin umbral"))))</x:f>
        <x:v>Persistencia</x:v>
      </x:c>
      <x:c r="M119" s="2" t="n">
        <x:f>ROW()-40</x:f>
        <x:v>79</x:v>
      </x:c>
    </x:row>
    <x:row r="120" ht="48" customHeight="1">
      <x:c r="A120" s="4" t="n">
        <x:v>45078</x:v>
      </x:c>
      <x:c r="B120" s="32" t="str">
        <x:v>Gran siderurgia</x:v>
      </x:c>
      <x:c r="C120" s="10" t="n">
        <x:f>IF(ISNUMBER('Actividades'!F257),'Actividades'!F257,"n.a.")</x:f>
        <x:v>332.24445833333334</x:v>
      </x:c>
      <x:c r="D120" s="10" t="n">
        <x:f>IF(ISNUMBER('Actividades'!G257),'Actividades'!G257,"n.a.")</x:f>
        <x:v>384.8158569444444</x:v>
      </x:c>
      <x:c r="E120" s="10" t="n">
        <x:f>IF(AND(ISNUMBER(C120),ISNUMBER(D120),C120&gt;=0,D120&gt;0),C120-D120,"n.a.")</x:f>
        <x:v>-52.57139861111108</x:v>
      </x:c>
      <x:c r="F120" s="12" t="n">
        <x:f>IF(ISNUMBER(E120),E120/D120,"n.a.")</x:f>
        <x:v>-0.13661442911564003</x:v>
      </x:c>
      <x:c r="G120" s="2" t="n">
        <x:f>IF(ISNUMBER(F120),IF(AND(ABS(F120)+0.00000000001&gt;=$B$6,ABS(E120)+0.000000001&gt;=$D$6),1,0),"n.a.")</x:f>
        <x:v>1</x:v>
      </x:c>
      <x:c r="H120" s="2" t="n">
        <x:f>IF(ISNUMBER(E120),SIGN(E120),"n.a.")</x:f>
        <x:v>-1</x:v>
      </x:c>
      <x:c r="I120" s="2" t="n">
        <x:f>IF(NOT(ISNUMBER(G120)),"n.a.",IF(G120=0,0,IF(AND(B120=B106,A120=EDATE(A106,1),H120=H106,ISNUMBER(I106)),I106+1,1)))</x:f>
        <x:v>1</x:v>
      </x:c>
      <x:c r="J120" s="2" t="n">
        <x:f>IF(ISNUMBER(F120),IF(AND(ABS(F120)+0.00000000001&gt;=$B$7,ABS(E120)+0.000000001&gt;=$D$7),1,0),"n.a.")</x:f>
        <x:v>0</x:v>
      </x:c>
      <x:c r="K120" s="2" t="str">
        <x:f>IF(NOT(ISNUMBER(F120)),"No evaluable",IF(OR(J120=1,I120&gt;=$B$8),"Prioridad",IF(G120=1,"Observar","Sin umbral")))</x:f>
        <x:v>Observar</x:v>
      </x:c>
      <x:c r="L120" s="2" t="str">
        <x:f>IF(K120="No evaluable","Faltan datos",IF(J120=1,"Magnitud",IF(I120&gt;=$B$8,"Persistencia",IF(G120=1,"Cambio del mes","Sin umbral"))))</x:f>
        <x:v>Cambio del mes</x:v>
      </x:c>
      <x:c r="M120" s="2" t="n">
        <x:f>ROW()-40</x:f>
        <x:v>80</x:v>
      </x:c>
    </x:row>
    <x:row r="121" ht="48" customHeight="1">
      <x:c r="A121" s="4" t="n">
        <x:v>45078</x:v>
      </x:c>
      <x:c r="B121" s="32" t="str">
        <x:v>Industria textil</x:v>
      </x:c>
      <x:c r="C121" s="10" t="n">
        <x:f>IF(ISNUMBER('Actividades'!F258),'Actividades'!F258,"n.a.")</x:f>
        <x:v>61.439101388888886</x:v>
      </x:c>
      <x:c r="D121" s="10" t="n">
        <x:f>IF(ISNUMBER('Actividades'!G258),'Actividades'!G258,"n.a.")</x:f>
        <x:v>61.996325</x:v>
      </x:c>
      <x:c r="E121" s="10" t="n">
        <x:f>IF(AND(ISNUMBER(C121),ISNUMBER(D121),C121&gt;=0,D121&gt;0),C121-D121,"n.a.")</x:f>
        <x:v>-0.5572236111111124</x:v>
      </x:c>
      <x:c r="F121" s="12" t="n">
        <x:f>IF(ISNUMBER(E121),E121/D121,"n.a.")</x:f>
        <x:v>-0.008988010355631765</x:v>
      </x:c>
      <x:c r="G121" s="2" t="n">
        <x:f>IF(ISNUMBER(F121),IF(AND(ABS(F121)+0.00000000001&gt;=$B$6,ABS(E121)+0.000000001&gt;=$D$6),1,0),"n.a.")</x:f>
        <x:v>0</x:v>
      </x:c>
      <x:c r="H121" s="2" t="n">
        <x:f>IF(ISNUMBER(E121),SIGN(E121),"n.a.")</x:f>
        <x:v>-1</x:v>
      </x:c>
      <x:c r="I121" s="2" t="n">
        <x:f>IF(NOT(ISNUMBER(G121)),"n.a.",IF(G121=0,0,IF(AND(B121=B107,A121=EDATE(A107,1),H121=H107,ISNUMBER(I107)),I107+1,1)))</x:f>
        <x:v>0</x:v>
      </x:c>
      <x:c r="J121" s="2" t="n">
        <x:f>IF(ISNUMBER(F121),IF(AND(ABS(F121)+0.00000000001&gt;=$B$7,ABS(E121)+0.000000001&gt;=$D$7),1,0),"n.a.")</x:f>
        <x:v>0</x:v>
      </x:c>
      <x:c r="K121" s="2" t="str">
        <x:f>IF(NOT(ISNUMBER(F121)),"No evaluable",IF(OR(J121=1,I121&gt;=$B$8),"Prioridad",IF(G121=1,"Observar","Sin umbral")))</x:f>
        <x:v>Sin umbral</x:v>
      </x:c>
      <x:c r="L121" s="2" t="str">
        <x:f>IF(K121="No evaluable","Faltan datos",IF(J121=1,"Magnitud",IF(I121&gt;=$B$8,"Persistencia",IF(G121=1,"Cambio del mes","Sin umbral"))))</x:f>
        <x:v>Sin umbral</x:v>
      </x:c>
      <x:c r="M121" s="2" t="n">
        <x:f>ROW()-40</x:f>
        <x:v>81</x:v>
      </x:c>
    </x:row>
    <x:row r="122" ht="48" customHeight="1">
      <x:c r="A122" s="4" t="n">
        <x:v>45078</x:v>
      </x:c>
      <x:c r="B122" s="32" t="str">
        <x:v>Químicas, caucho, plástico y otros minerales no metálicos</x:v>
      </x:c>
      <x:c r="C122" s="10" t="n">
        <x:f>IF(ISNUMBER('Actividades'!F259),'Actividades'!F259,"n.a.")</x:f>
        <x:v>330.5203138888889</x:v>
      </x:c>
      <x:c r="D122" s="10" t="n">
        <x:f>IF(ISNUMBER('Actividades'!G259),'Actividades'!G259,"n.a.")</x:f>
        <x:v>325.8592</x:v>
      </x:c>
      <x:c r="E122" s="10" t="n">
        <x:f>IF(AND(ISNUMBER(C122),ISNUMBER(D122),C122&gt;=0,D122&gt;0),C122-D122,"n.a.")</x:f>
        <x:v>4.661113888888906</x:v>
      </x:c>
      <x:c r="F122" s="12" t="n">
        <x:f>IF(ISNUMBER(E122),E122/D122,"n.a.")</x:f>
        <x:v>0.014304073320283441</x:v>
      </x:c>
      <x:c r="G122" s="2" t="n">
        <x:f>IF(ISNUMBER(F122),IF(AND(ABS(F122)+0.00000000001&gt;=$B$6,ABS(E122)+0.000000001&gt;=$D$6),1,0),"n.a.")</x:f>
        <x:v>0</x:v>
      </x:c>
      <x:c r="H122" s="2" t="n">
        <x:f>IF(ISNUMBER(E122),SIGN(E122),"n.a.")</x:f>
        <x:v>1</x:v>
      </x:c>
      <x:c r="I122" s="2" t="n">
        <x:f>IF(NOT(ISNUMBER(G122)),"n.a.",IF(G122=0,0,IF(AND(B122=B108,A122=EDATE(A108,1),H122=H108,ISNUMBER(I108)),I108+1,1)))</x:f>
        <x:v>0</x:v>
      </x:c>
      <x:c r="J122" s="2" t="n">
        <x:f>IF(ISNUMBER(F122),IF(AND(ABS(F122)+0.00000000001&gt;=$B$7,ABS(E122)+0.000000001&gt;=$D$7),1,0),"n.a.")</x:f>
        <x:v>0</x:v>
      </x:c>
      <x:c r="K122" s="2" t="str">
        <x:f>IF(NOT(ISNUMBER(F122)),"No evaluable",IF(OR(J122=1,I122&gt;=$B$8),"Prioridad",IF(G122=1,"Observar","Sin umbral")))</x:f>
        <x:v>Sin umbral</x:v>
      </x:c>
      <x:c r="L122" s="2" t="str">
        <x:f>IF(K122="No evaluable","Faltan datos",IF(J122=1,"Magnitud",IF(I122&gt;=$B$8,"Persistencia",IF(G122=1,"Cambio del mes","Sin umbral"))))</x:f>
        <x:v>Sin umbral</x:v>
      </x:c>
      <x:c r="M122" s="2" t="n">
        <x:f>ROW()-40</x:f>
        <x:v>82</x:v>
      </x:c>
    </x:row>
    <x:row r="123" ht="48" customHeight="1">
      <x:c r="A123" s="4" t="n">
        <x:v>45078</x:v>
      </x:c>
      <x:c r="B123" s="32" t="str">
        <x:v>Extracción de minerales</x:v>
      </x:c>
      <x:c r="C123" s="10" t="n">
        <x:f>IF(ISNUMBER('Actividades'!F260),'Actividades'!F260,"n.a.")</x:f>
        <x:v>21.87880555555556</x:v>
      </x:c>
      <x:c r="D123" s="10" t="n">
        <x:f>IF(ISNUMBER('Actividades'!G260),'Actividades'!G260,"n.a.")</x:f>
        <x:v>19.1463625</x:v>
      </x:c>
      <x:c r="E123" s="10" t="n">
        <x:f>IF(AND(ISNUMBER(C123),ISNUMBER(D123),C123&gt;=0,D123&gt;0),C123-D123,"n.a.")</x:f>
        <x:v>2.73244305555556</x:v>
      </x:c>
      <x:c r="F123" s="12" t="n">
        <x:f>IF(ISNUMBER(E123),E123/D123,"n.a.")</x:f>
        <x:v>0.1427134295381465</x:v>
      </x:c>
      <x:c r="G123" s="2" t="n">
        <x:f>IF(ISNUMBER(F123),IF(AND(ABS(F123)+0.00000000001&gt;=$B$6,ABS(E123)+0.000000001&gt;=$D$6),1,0),"n.a.")</x:f>
        <x:v>0</x:v>
      </x:c>
      <x:c r="H123" s="2" t="n">
        <x:f>IF(ISNUMBER(E123),SIGN(E123),"n.a.")</x:f>
        <x:v>1</x:v>
      </x:c>
      <x:c r="I123" s="2" t="n">
        <x:f>IF(NOT(ISNUMBER(G123)),"n.a.",IF(G123=0,0,IF(AND(B123=B109,A123=EDATE(A109,1),H123=H109,ISNUMBER(I109)),I109+1,1)))</x:f>
        <x:v>0</x:v>
      </x:c>
      <x:c r="J123" s="2" t="n">
        <x:f>IF(ISNUMBER(F123),IF(AND(ABS(F123)+0.00000000001&gt;=$B$7,ABS(E123)+0.000000001&gt;=$D$7),1,0),"n.a.")</x:f>
        <x:v>0</x:v>
      </x:c>
      <x:c r="K123" s="2" t="str">
        <x:f>IF(NOT(ISNUMBER(F123)),"No evaluable",IF(OR(J123=1,I123&gt;=$B$8),"Prioridad",IF(G123=1,"Observar","Sin umbral")))</x:f>
        <x:v>Sin umbral</x:v>
      </x:c>
      <x:c r="L123" s="2" t="str">
        <x:f>IF(K123="No evaluable","Faltan datos",IF(J123=1,"Magnitud",IF(I123&gt;=$B$8,"Persistencia",IF(G123=1,"Cambio del mes","Sin umbral"))))</x:f>
        <x:v>Sin umbral</x:v>
      </x:c>
      <x:c r="M123" s="2" t="n">
        <x:f>ROW()-40</x:f>
        <x:v>83</x:v>
      </x:c>
    </x:row>
    <x:row r="124" ht="48" customHeight="1">
      <x:c r="A124" s="4" t="n">
        <x:v>45078</x:v>
      </x:c>
      <x:c r="B124" s="32" t="str">
        <x:v>Extracción de petróleo</x:v>
      </x:c>
      <x:c r="C124" s="10" t="n">
        <x:f>IF(ISNUMBER('Actividades'!F261),'Actividades'!F261,"n.a.")</x:f>
        <x:v>167.14473888888887</x:v>
      </x:c>
      <x:c r="D124" s="10" t="n">
        <x:f>IF(ISNUMBER('Actividades'!G261),'Actividades'!G261,"n.a.")</x:f>
        <x:v>172.34139027777778</x:v>
      </x:c>
      <x:c r="E124" s="10" t="n">
        <x:f>IF(AND(ISNUMBER(C124),ISNUMBER(D124),C124&gt;=0,D124&gt;0),C124-D124,"n.a.")</x:f>
        <x:v>-5.19665138888891</x:v>
      </x:c>
      <x:c r="F124" s="12" t="n">
        <x:f>IF(ISNUMBER(E124),E124/D124,"n.a.")</x:f>
        <x:v>-0.030153240498483908</x:v>
      </x:c>
      <x:c r="G124" s="2" t="n">
        <x:f>IF(ISNUMBER(F124),IF(AND(ABS(F124)+0.00000000001&gt;=$B$6,ABS(E124)+0.000000001&gt;=$D$6),1,0),"n.a.")</x:f>
        <x:v>0</x:v>
      </x:c>
      <x:c r="H124" s="2" t="n">
        <x:f>IF(ISNUMBER(E124),SIGN(E124),"n.a.")</x:f>
        <x:v>-1</x:v>
      </x:c>
      <x:c r="I124" s="2" t="n">
        <x:f>IF(NOT(ISNUMBER(G124)),"n.a.",IF(G124=0,0,IF(AND(B124=B110,A124=EDATE(A110,1),H124=H110,ISNUMBER(I110)),I110+1,1)))</x:f>
        <x:v>0</x:v>
      </x:c>
      <x:c r="J124" s="2" t="n">
        <x:f>IF(ISNUMBER(F124),IF(AND(ABS(F124)+0.00000000001&gt;=$B$7,ABS(E124)+0.000000001&gt;=$D$7),1,0),"n.a.")</x:f>
        <x:v>0</x:v>
      </x:c>
      <x:c r="K124" s="2" t="str">
        <x:f>IF(NOT(ISNUMBER(F124)),"No evaluable",IF(OR(J124=1,I124&gt;=$B$8),"Prioridad",IF(G124=1,"Observar","Sin umbral")))</x:f>
        <x:v>Sin umbral</x:v>
      </x:c>
      <x:c r="L124" s="2" t="str">
        <x:f>IF(K124="No evaluable","Faltan datos",IF(J124=1,"Magnitud",IF(I124&gt;=$B$8,"Persistencia",IF(G124=1,"Cambio del mes","Sin umbral"))))</x:f>
        <x:v>Sin umbral</x:v>
      </x:c>
      <x:c r="M124" s="2" t="n">
        <x:f>ROW()-40</x:f>
        <x:v>84</x:v>
      </x:c>
    </x:row>
    <x:row r="125" ht="48" customHeight="1">
      <x:c r="A125" s="4" t="n">
        <x:v>45108</x:v>
      </x:c>
      <x:c r="B125" s="32" t="str">
        <x:v>Cargas y puertos</x:v>
      </x:c>
      <x:c r="C125" s="10" t="n">
        <x:f>IF(ISNUMBER('Actividades'!F262),'Actividades'!F262,"n.a.")</x:f>
        <x:v>7.421228494623656</x:v>
      </x:c>
      <x:c r="D125" s="10" t="n">
        <x:f>IF(ISNUMBER('Actividades'!G262),'Actividades'!G262,"n.a.")</x:f>
        <x:v>7.611599462365592</x:v>
      </x:c>
      <x:c r="E125" s="10" t="n">
        <x:f>IF(AND(ISNUMBER(C125),ISNUMBER(D125),C125&gt;=0,D125&gt;0),C125-D125,"n.a.")</x:f>
        <x:v>-0.19037096774193607</x:v>
      </x:c>
      <x:c r="F125" s="12" t="n">
        <x:f>IF(ISNUMBER(E125),E125/D125,"n.a.")</x:f>
        <x:v>-0.025010639180791983</x:v>
      </x:c>
      <x:c r="G125" s="2" t="n">
        <x:f>IF(ISNUMBER(F125),IF(AND(ABS(F125)+0.00000000001&gt;=$B$6,ABS(E125)+0.000000001&gt;=$D$6),1,0),"n.a.")</x:f>
        <x:v>0</x:v>
      </x:c>
      <x:c r="H125" s="2" t="n">
        <x:f>IF(ISNUMBER(E125),SIGN(E125),"n.a.")</x:f>
        <x:v>-1</x:v>
      </x:c>
      <x:c r="I125" s="2" t="n">
        <x:f>IF(NOT(ISNUMBER(G125)),"n.a.",IF(G125=0,0,IF(AND(B125=B111,A125=EDATE(A111,1),H125=H111,ISNUMBER(I111)),I111+1,1)))</x:f>
        <x:v>0</x:v>
      </x:c>
      <x:c r="J125" s="2" t="n">
        <x:f>IF(ISNUMBER(F125),IF(AND(ABS(F125)+0.00000000001&gt;=$B$7,ABS(E125)+0.000000001&gt;=$D$7),1,0),"n.a.")</x:f>
        <x:v>0</x:v>
      </x:c>
      <x:c r="K125" s="2" t="str">
        <x:f>IF(NOT(ISNUMBER(F125)),"No evaluable",IF(OR(J125=1,I125&gt;=$B$8),"Prioridad",IF(G125=1,"Observar","Sin umbral")))</x:f>
        <x:v>Sin umbral</x:v>
      </x:c>
      <x:c r="L125" s="2" t="str">
        <x:f>IF(K125="No evaluable","Faltan datos",IF(J125=1,"Magnitud",IF(I125&gt;=$B$8,"Persistencia",IF(G125=1,"Cambio del mes","Sin umbral"))))</x:f>
        <x:v>Sin umbral</x:v>
      </x:c>
      <x:c r="M125" s="2" t="n">
        <x:f>ROW()-40</x:f>
        <x:v>85</x:v>
      </x:c>
    </x:row>
    <x:row r="126" ht="48" customHeight="1">
      <x:c r="A126" s="4" t="n">
        <x:v>45108</x:v>
      </x:c>
      <x:c r="B126" s="32" t="str">
        <x:v>Comercio y servicios: principalmente supermercados y centros comerciales</x:v>
      </x:c>
      <x:c r="C126" s="10" t="n">
        <x:f>IF(ISNUMBER('Actividades'!F263),'Actividades'!F263,"n.a.")</x:f>
        <x:v>28.65633870967742</x:v>
      </x:c>
      <x:c r="D126" s="10" t="n">
        <x:f>IF(ISNUMBER('Actividades'!G263),'Actividades'!G263,"n.a.")</x:f>
        <x:v>27.236862903225806</x:v>
      </x:c>
      <x:c r="E126" s="10" t="n">
        <x:f>IF(AND(ISNUMBER(C126),ISNUMBER(D126),C126&gt;=0,D126&gt;0),C126-D126,"n.a.")</x:f>
        <x:v>1.419475806451615</x:v>
      </x:c>
      <x:c r="F126" s="12" t="n">
        <x:f>IF(ISNUMBER(E126),E126/D126,"n.a.")</x:f>
        <x:v>0.05211598015142555</x:v>
      </x:c>
      <x:c r="G126" s="2" t="n">
        <x:f>IF(ISNUMBER(F126),IF(AND(ABS(F126)+0.00000000001&gt;=$B$6,ABS(E126)+0.000000001&gt;=$D$6),1,0),"n.a.")</x:f>
        <x:v>0</x:v>
      </x:c>
      <x:c r="H126" s="2" t="n">
        <x:f>IF(ISNUMBER(E126),SIGN(E126),"n.a.")</x:f>
        <x:v>1</x:v>
      </x:c>
      <x:c r="I126" s="2" t="n">
        <x:f>IF(NOT(ISNUMBER(G126)),"n.a.",IF(G126=0,0,IF(AND(B126=B112,A126=EDATE(A112,1),H126=H112,ISNUMBER(I112)),I112+1,1)))</x:f>
        <x:v>0</x:v>
      </x:c>
      <x:c r="J126" s="2" t="n">
        <x:f>IF(ISNUMBER(F126),IF(AND(ABS(F126)+0.00000000001&gt;=$B$7,ABS(E126)+0.000000001&gt;=$D$7),1,0),"n.a.")</x:f>
        <x:v>0</x:v>
      </x:c>
      <x:c r="K126" s="2" t="str">
        <x:f>IF(NOT(ISNUMBER(F126)),"No evaluable",IF(OR(J126=1,I126&gt;=$B$8),"Prioridad",IF(G126=1,"Observar","Sin umbral")))</x:f>
        <x:v>Sin umbral</x:v>
      </x:c>
      <x:c r="L126" s="2" t="str">
        <x:f>IF(K126="No evaluable","Faltan datos",IF(J126=1,"Magnitud",IF(I126&gt;=$B$8,"Persistencia",IF(G126=1,"Cambio del mes","Sin umbral"))))</x:f>
        <x:v>Sin umbral</x:v>
      </x:c>
      <x:c r="M126" s="2" t="n">
        <x:f>ROW()-40</x:f>
        <x:v>86</x:v>
      </x:c>
    </x:row>
    <x:row r="127" ht="48" customHeight="1">
      <x:c r="A127" s="4" t="n">
        <x:v>45108</x:v>
      </x:c>
      <x:c r="B127" s="32" t="str">
        <x:v>Alimentación y artículos de consumo masivo</x:v>
      </x:c>
      <x:c r="C127" s="10" t="n">
        <x:f>IF(ISNUMBER('Actividades'!F264),'Actividades'!F264,"n.a.")</x:f>
        <x:v>269.8224086021505</x:v>
      </x:c>
      <x:c r="D127" s="10" t="n">
        <x:f>IF(ISNUMBER('Actividades'!G264),'Actividades'!G264,"n.a.")</x:f>
        <x:v>265.324311827957</x:v>
      </x:c>
      <x:c r="E127" s="10" t="n">
        <x:f>IF(AND(ISNUMBER(C127),ISNUMBER(D127),C127&gt;=0,D127&gt;0),C127-D127,"n.a.")</x:f>
        <x:v>4.498096774193527</x:v>
      </x:c>
      <x:c r="F127" s="12" t="n">
        <x:f>IF(ISNUMBER(E127),E127/D127,"n.a.")</x:f>
        <x:v>0.016953202453268614</x:v>
      </x:c>
      <x:c r="G127" s="2" t="n">
        <x:f>IF(ISNUMBER(F127),IF(AND(ABS(F127)+0.00000000001&gt;=$B$6,ABS(E127)+0.000000001&gt;=$D$6),1,0),"n.a.")</x:f>
        <x:v>0</x:v>
      </x:c>
      <x:c r="H127" s="2" t="n">
        <x:f>IF(ISNUMBER(E127),SIGN(E127),"n.a.")</x:f>
        <x:v>1</x:v>
      </x:c>
      <x:c r="I127" s="2" t="n">
        <x:f>IF(NOT(ISNUMBER(G127)),"n.a.",IF(G127=0,0,IF(AND(B127=B113,A127=EDATE(A113,1),H127=H113,ISNUMBER(I113)),I113+1,1)))</x:f>
        <x:v>0</x:v>
      </x:c>
      <x:c r="J127" s="2" t="n">
        <x:f>IF(ISNUMBER(F127),IF(AND(ABS(F127)+0.00000000001&gt;=$B$7,ABS(E127)+0.000000001&gt;=$D$7),1,0),"n.a.")</x:f>
        <x:v>0</x:v>
      </x:c>
      <x:c r="K127" s="2" t="str">
        <x:f>IF(NOT(ISNUMBER(F127)),"No evaluable",IF(OR(J127=1,I127&gt;=$B$8),"Prioridad",IF(G127=1,"Observar","Sin umbral")))</x:f>
        <x:v>Sin umbral</x:v>
      </x:c>
      <x:c r="L127" s="2" t="str">
        <x:f>IF(K127="No evaluable","Faltan datos",IF(J127=1,"Magnitud",IF(I127&gt;=$B$8,"Persistencia",IF(G127=1,"Cambio del mes","Sin umbral"))))</x:f>
        <x:v>Sin umbral</x:v>
      </x:c>
      <x:c r="M127" s="2" t="n">
        <x:f>ROW()-40</x:f>
        <x:v>87</x:v>
      </x:c>
    </x:row>
    <x:row r="128" ht="48" customHeight="1">
      <x:c r="A128" s="4" t="n">
        <x:v>45108</x:v>
      </x:c>
      <x:c r="B128" s="32" t="str">
        <x:v>Servicios públicos y transporte: agua y transporte en GBA</x:v>
      </x:c>
      <x:c r="C128" s="10" t="n">
        <x:f>IF(ISNUMBER('Actividades'!F265),'Actividades'!F265,"n.a.")</x:f>
        <x:v>88.18783064516128</x:v>
      </x:c>
      <x:c r="D128" s="10" t="n">
        <x:f>IF(ISNUMBER('Actividades'!G265),'Actividades'!G265,"n.a.")</x:f>
        <x:v>81.51107526881721</x:v>
      </x:c>
      <x:c r="E128" s="10" t="n">
        <x:f>IF(AND(ISNUMBER(C128),ISNUMBER(D128),C128&gt;=0,D128&gt;0),C128-D128,"n.a.")</x:f>
        <x:v>6.676755376344076</x:v>
      </x:c>
      <x:c r="F128" s="12" t="n">
        <x:f>IF(ISNUMBER(E128),E128/D128,"n.a.")</x:f>
        <x:v>0.08191224756052665</x:v>
      </x:c>
      <x:c r="G128" s="2" t="n">
        <x:f>IF(ISNUMBER(F128),IF(AND(ABS(F128)+0.00000000001&gt;=$B$6,ABS(E128)+0.000000001&gt;=$D$6),1,0),"n.a.")</x:f>
        <x:v>0</x:v>
      </x:c>
      <x:c r="H128" s="2" t="n">
        <x:f>IF(ISNUMBER(E128),SIGN(E128),"n.a.")</x:f>
        <x:v>1</x:v>
      </x:c>
      <x:c r="I128" s="2" t="n">
        <x:f>IF(NOT(ISNUMBER(G128)),"n.a.",IF(G128=0,0,IF(AND(B128=B114,A128=EDATE(A114,1),H128=H114,ISNUMBER(I114)),I114+1,1)))</x:f>
        <x:v>0</x:v>
      </x:c>
      <x:c r="J128" s="2" t="n">
        <x:f>IF(ISNUMBER(F128),IF(AND(ABS(F128)+0.00000000001&gt;=$B$7,ABS(E128)+0.000000001&gt;=$D$7),1,0),"n.a.")</x:f>
        <x:v>0</x:v>
      </x:c>
      <x:c r="K128" s="2" t="str">
        <x:f>IF(NOT(ISNUMBER(F128)),"No evaluable",IF(OR(J128=1,I128&gt;=$B$8),"Prioridad",IF(G128=1,"Observar","Sin umbral")))</x:f>
        <x:v>Sin umbral</x:v>
      </x:c>
      <x:c r="L128" s="2" t="str">
        <x:f>IF(K128="No evaluable","Faltan datos",IF(J128=1,"Magnitud",IF(I128&gt;=$B$8,"Persistencia",IF(G128=1,"Cambio del mes","Sin umbral"))))</x:f>
        <x:v>Sin umbral</x:v>
      </x:c>
      <x:c r="M128" s="2" t="n">
        <x:f>ROW()-40</x:f>
        <x:v>88</x:v>
      </x:c>
    </x:row>
    <x:row r="129" ht="48" customHeight="1">
      <x:c r="A129" s="4" t="n">
        <x:v>45108</x:v>
      </x:c>
      <x:c r="B129" s="32" t="str">
        <x:v>Industria automotriz</x:v>
      </x:c>
      <x:c r="C129" s="10" t="n">
        <x:f>IF(ISNUMBER('Actividades'!F266),'Actividades'!F266,"n.a.")</x:f>
        <x:v>37.458571236559145</x:v>
      </x:c>
      <x:c r="D129" s="10" t="n">
        <x:f>IF(ISNUMBER('Actividades'!G266),'Actividades'!G266,"n.a.")</x:f>
        <x:v>37.83148521505377</x:v>
      </x:c>
      <x:c r="E129" s="10" t="n">
        <x:f>IF(AND(ISNUMBER(C129),ISNUMBER(D129),C129&gt;=0,D129&gt;0),C129-D129,"n.a.")</x:f>
        <x:v>-0.3729139784946227</x:v>
      </x:c>
      <x:c r="F129" s="12" t="n">
        <x:f>IF(ISNUMBER(E129),E129/D129,"n.a.")</x:f>
        <x:v>-0.009857238656499644</x:v>
      </x:c>
      <x:c r="G129" s="2" t="n">
        <x:f>IF(ISNUMBER(F129),IF(AND(ABS(F129)+0.00000000001&gt;=$B$6,ABS(E129)+0.000000001&gt;=$D$6),1,0),"n.a.")</x:f>
        <x:v>0</x:v>
      </x:c>
      <x:c r="H129" s="2" t="n">
        <x:f>IF(ISNUMBER(E129),SIGN(E129),"n.a.")</x:f>
        <x:v>-1</x:v>
      </x:c>
      <x:c r="I129" s="2" t="n">
        <x:f>IF(NOT(ISNUMBER(G129)),"n.a.",IF(G129=0,0,IF(AND(B129=B115,A129=EDATE(A115,1),H129=H115,ISNUMBER(I115)),I115+1,1)))</x:f>
        <x:v>0</x:v>
      </x:c>
      <x:c r="J129" s="2" t="n">
        <x:f>IF(ISNUMBER(F129),IF(AND(ABS(F129)+0.00000000001&gt;=$B$7,ABS(E129)+0.000000001&gt;=$D$7),1,0),"n.a.")</x:f>
        <x:v>0</x:v>
      </x:c>
      <x:c r="K129" s="2" t="str">
        <x:f>IF(NOT(ISNUMBER(F129)),"No evaluable",IF(OR(J129=1,I129&gt;=$B$8),"Prioridad",IF(G129=1,"Observar","Sin umbral")))</x:f>
        <x:v>Sin umbral</x:v>
      </x:c>
      <x:c r="L129" s="2" t="str">
        <x:f>IF(K129="No evaluable","Faltan datos",IF(J129=1,"Magnitud",IF(I129&gt;=$B$8,"Persistencia",IF(G129=1,"Cambio del mes","Sin umbral"))))</x:f>
        <x:v>Sin umbral</x:v>
      </x:c>
      <x:c r="M129" s="2" t="n">
        <x:f>ROW()-40</x:f>
        <x:v>89</x:v>
      </x:c>
    </x:row>
    <x:row r="130" ht="48" customHeight="1">
      <x:c r="A130" s="4" t="n">
        <x:v>45108</x:v>
      </x:c>
      <x:c r="B130" s="32" t="str">
        <x:v>Derivados de petróleo</x:v>
      </x:c>
      <x:c r="C130" s="10" t="n">
        <x:f>IF(ISNUMBER('Actividades'!F267),'Actividades'!F267,"n.a.")</x:f>
        <x:v>146.66988440860217</x:v>
      </x:c>
      <x:c r="D130" s="10" t="n">
        <x:f>IF(ISNUMBER('Actividades'!G267),'Actividades'!G267,"n.a.")</x:f>
        <x:v>154.71952956989247</x:v>
      </x:c>
      <x:c r="E130" s="10" t="n">
        <x:f>IF(AND(ISNUMBER(C130),ISNUMBER(D130),C130&gt;=0,D130&gt;0),C130-D130,"n.a.")</x:f>
        <x:v>-8.0496451612903</x:v>
      </x:c>
      <x:c r="F130" s="12" t="n">
        <x:f>IF(ISNUMBER(E130),E130/D130,"n.a.")</x:f>
        <x:v>-0.05202733736114406</x:v>
      </x:c>
      <x:c r="G130" s="2" t="n">
        <x:f>IF(ISNUMBER(F130),IF(AND(ABS(F130)+0.00000000001&gt;=$B$6,ABS(E130)+0.000000001&gt;=$D$6),1,0),"n.a.")</x:f>
        <x:v>0</x:v>
      </x:c>
      <x:c r="H130" s="2" t="n">
        <x:f>IF(ISNUMBER(E130),SIGN(E130),"n.a.")</x:f>
        <x:v>-1</x:v>
      </x:c>
      <x:c r="I130" s="2" t="n">
        <x:f>IF(NOT(ISNUMBER(G130)),"n.a.",IF(G130=0,0,IF(AND(B130=B116,A130=EDATE(A116,1),H130=H116,ISNUMBER(I116)),I116+1,1)))</x:f>
        <x:v>0</x:v>
      </x:c>
      <x:c r="J130" s="2" t="n">
        <x:f>IF(ISNUMBER(F130),IF(AND(ABS(F130)+0.00000000001&gt;=$B$7,ABS(E130)+0.000000001&gt;=$D$7),1,0),"n.a.")</x:f>
        <x:v>0</x:v>
      </x:c>
      <x:c r="K130" s="2" t="str">
        <x:f>IF(NOT(ISNUMBER(F130)),"No evaluable",IF(OR(J130=1,I130&gt;=$B$8),"Prioridad",IF(G130=1,"Observar","Sin umbral")))</x:f>
        <x:v>Sin umbral</x:v>
      </x:c>
      <x:c r="L130" s="2" t="str">
        <x:f>IF(K130="No evaluable","Faltan datos",IF(J130=1,"Magnitud",IF(I130&gt;=$B$8,"Persistencia",IF(G130=1,"Cambio del mes","Sin umbral"))))</x:f>
        <x:v>Sin umbral</x:v>
      </x:c>
      <x:c r="M130" s="2" t="n">
        <x:f>ROW()-40</x:f>
        <x:v>90</x:v>
      </x:c>
    </x:row>
    <x:row r="131" ht="48" customHeight="1">
      <x:c r="A131" s="4" t="n">
        <x:v>45108</x:v>
      </x:c>
      <x:c r="B131" s="32" t="str">
        <x:v>Construcción: elaboración de cemento y canteras</x:v>
      </x:c>
      <x:c r="C131" s="10" t="n">
        <x:f>IF(ISNUMBER('Actividades'!F268),'Actividades'!F268,"n.a.")</x:f>
        <x:v>154.11805913978495</x:v>
      </x:c>
      <x:c r="D131" s="10" t="n">
        <x:f>IF(ISNUMBER('Actividades'!G268),'Actividades'!G268,"n.a.")</x:f>
        <x:v>173.9611061827957</x:v>
      </x:c>
      <x:c r="E131" s="10" t="n">
        <x:f>IF(AND(ISNUMBER(C131),ISNUMBER(D131),C131&gt;=0,D131&gt;0),C131-D131,"n.a.")</x:f>
        <x:v>-19.843047043010756</x:v>
      </x:c>
      <x:c r="F131" s="12" t="n">
        <x:f>IF(ISNUMBER(E131),E131/D131,"n.a.")</x:f>
        <x:v>-0.11406599715547901</x:v>
      </x:c>
      <x:c r="G131" s="2" t="n">
        <x:f>IF(ISNUMBER(F131),IF(AND(ABS(F131)+0.00000000001&gt;=$B$6,ABS(E131)+0.000000001&gt;=$D$6),1,0),"n.a.")</x:f>
        <x:v>1</x:v>
      </x:c>
      <x:c r="H131" s="2" t="n">
        <x:f>IF(ISNUMBER(E131),SIGN(E131),"n.a.")</x:f>
        <x:v>-1</x:v>
      </x:c>
      <x:c r="I131" s="2" t="n">
        <x:f>IF(NOT(ISNUMBER(G131)),"n.a.",IF(G131=0,0,IF(AND(B131=B117,A131=EDATE(A117,1),H131=H117,ISNUMBER(I117)),I117+1,1)))</x:f>
        <x:v>1</x:v>
      </x:c>
      <x:c r="J131" s="2" t="n">
        <x:f>IF(ISNUMBER(F131),IF(AND(ABS(F131)+0.00000000001&gt;=$B$7,ABS(E131)+0.000000001&gt;=$D$7),1,0),"n.a.")</x:f>
        <x:v>0</x:v>
      </x:c>
      <x:c r="K131" s="2" t="str">
        <x:f>IF(NOT(ISNUMBER(F131)),"No evaluable",IF(OR(J131=1,I131&gt;=$B$8),"Prioridad",IF(G131=1,"Observar","Sin umbral")))</x:f>
        <x:v>Observar</x:v>
      </x:c>
      <x:c r="L131" s="2" t="str">
        <x:f>IF(K131="No evaluable","Faltan datos",IF(J131=1,"Magnitud",IF(I131&gt;=$B$8,"Persistencia",IF(G131=1,"Cambio del mes","Sin umbral"))))</x:f>
        <x:v>Cambio del mes</x:v>
      </x:c>
      <x:c r="M131" s="2" t="n">
        <x:f>ROW()-40</x:f>
        <x:v>91</x:v>
      </x:c>
    </x:row>
    <x:row r="132" ht="48" customHeight="1">
      <x:c r="A132" s="4" t="n">
        <x:v>45108</x:v>
      </x:c>
      <x:c r="B132" s="32" t="str">
        <x:v>Madera y papel</x:v>
      </x:c>
      <x:c r="C132" s="10" t="n">
        <x:f>IF(ISNUMBER('Actividades'!F269),'Actividades'!F269,"n.a.")</x:f>
        <x:v>109.64630779569892</x:v>
      </x:c>
      <x:c r="D132" s="10" t="n">
        <x:f>IF(ISNUMBER('Actividades'!G269),'Actividades'!G269,"n.a.")</x:f>
        <x:v>111.7282620967742</x:v>
      </x:c>
      <x:c r="E132" s="10" t="n">
        <x:f>IF(AND(ISNUMBER(C132),ISNUMBER(D132),C132&gt;=0,D132&gt;0),C132-D132,"n.a.")</x:f>
        <x:v>-2.0819543010752852</x:v>
      </x:c>
      <x:c r="F132" s="12" t="n">
        <x:f>IF(ISNUMBER(E132),E132/D132,"n.a.")</x:f>
        <x:v>-0.018634088296048016</x:v>
      </x:c>
      <x:c r="G132" s="2" t="n">
        <x:f>IF(ISNUMBER(F132),IF(AND(ABS(F132)+0.00000000001&gt;=$B$6,ABS(E132)+0.000000001&gt;=$D$6),1,0),"n.a.")</x:f>
        <x:v>0</x:v>
      </x:c>
      <x:c r="H132" s="2" t="n">
        <x:f>IF(ISNUMBER(E132),SIGN(E132),"n.a.")</x:f>
        <x:v>-1</x:v>
      </x:c>
      <x:c r="I132" s="2" t="n">
        <x:f>IF(NOT(ISNUMBER(G132)),"n.a.",IF(G132=0,0,IF(AND(B132=B118,A132=EDATE(A118,1),H132=H118,ISNUMBER(I118)),I118+1,1)))</x:f>
        <x:v>0</x:v>
      </x:c>
      <x:c r="J132" s="2" t="n">
        <x:f>IF(ISNUMBER(F132),IF(AND(ABS(F132)+0.00000000001&gt;=$B$7,ABS(E132)+0.000000001&gt;=$D$7),1,0),"n.a.")</x:f>
        <x:v>0</x:v>
      </x:c>
      <x:c r="K132" s="2" t="str">
        <x:f>IF(NOT(ISNUMBER(F132)),"No evaluable",IF(OR(J132=1,I132&gt;=$B$8),"Prioridad",IF(G132=1,"Observar","Sin umbral")))</x:f>
        <x:v>Sin umbral</x:v>
      </x:c>
      <x:c r="L132" s="2" t="str">
        <x:f>IF(K132="No evaluable","Faltan datos",IF(J132=1,"Magnitud",IF(I132&gt;=$B$8,"Persistencia",IF(G132=1,"Cambio del mes","Sin umbral"))))</x:f>
        <x:v>Sin umbral</x:v>
      </x:c>
      <x:c r="M132" s="2" t="n">
        <x:f>ROW()-40</x:f>
        <x:v>92</x:v>
      </x:c>
    </x:row>
    <x:row r="133" ht="48" customHeight="1">
      <x:c r="A133" s="4" t="n">
        <x:v>45108</x:v>
      </x:c>
      <x:c r="B133" s="32" t="str">
        <x:v>Productos metálicos no automotores</x:v>
      </x:c>
      <x:c r="C133" s="10" t="n">
        <x:f>IF(ISNUMBER('Actividades'!F270),'Actividades'!F270,"n.a.")</x:f>
        <x:v>45.64464516129032</x:v>
      </x:c>
      <x:c r="D133" s="10" t="n">
        <x:f>IF(ISNUMBER('Actividades'!G270),'Actividades'!G270,"n.a.")</x:f>
        <x:v>61.267581989247304</x:v>
      </x:c>
      <x:c r="E133" s="10" t="n">
        <x:f>IF(AND(ISNUMBER(C133),ISNUMBER(D133),C133&gt;=0,D133&gt;0),C133-D133,"n.a.")</x:f>
        <x:v>-15.622936827956984</x:v>
      </x:c>
      <x:c r="F133" s="12" t="n">
        <x:f>IF(ISNUMBER(E133),E133/D133,"n.a.")</x:f>
        <x:v>-0.2549951592785051</x:v>
      </x:c>
      <x:c r="G133" s="2" t="n">
        <x:f>IF(ISNUMBER(F133),IF(AND(ABS(F133)+0.00000000001&gt;=$B$6,ABS(E133)+0.000000001&gt;=$D$6),1,0),"n.a.")</x:f>
        <x:v>1</x:v>
      </x:c>
      <x:c r="H133" s="2" t="n">
        <x:f>IF(ISNUMBER(E133),SIGN(E133),"n.a.")</x:f>
        <x:v>-1</x:v>
      </x:c>
      <x:c r="I133" s="2" t="n">
        <x:f>IF(NOT(ISNUMBER(G133)),"n.a.",IF(G133=0,0,IF(AND(B133=B119,A133=EDATE(A119,1),H133=H119,ISNUMBER(I119)),I119+1,1)))</x:f>
        <x:v>7</x:v>
      </x:c>
      <x:c r="J133" s="2" t="n">
        <x:f>IF(ISNUMBER(F133),IF(AND(ABS(F133)+0.00000000001&gt;=$B$7,ABS(E133)+0.000000001&gt;=$D$7),1,0),"n.a.")</x:f>
        <x:v>1</x:v>
      </x:c>
      <x:c r="K133" s="2" t="str">
        <x:f>IF(NOT(ISNUMBER(F133)),"No evaluable",IF(OR(J133=1,I133&gt;=$B$8),"Prioridad",IF(G133=1,"Observar","Sin umbral")))</x:f>
        <x:v>Prioridad</x:v>
      </x:c>
      <x:c r="L133" s="2" t="str">
        <x:f>IF(K133="No evaluable","Faltan datos",IF(J133=1,"Magnitud",IF(I133&gt;=$B$8,"Persistencia",IF(G133=1,"Cambio del mes","Sin umbral"))))</x:f>
        <x:v>Magnitud</x:v>
      </x:c>
      <x:c r="M133" s="2" t="n">
        <x:f>ROW()-40</x:f>
        <x:v>93</x:v>
      </x:c>
    </x:row>
    <x:row r="134" ht="48" customHeight="1">
      <x:c r="A134" s="4" t="n">
        <x:v>45108</x:v>
      </x:c>
      <x:c r="B134" s="32" t="str">
        <x:v>Gran siderurgia</x:v>
      </x:c>
      <x:c r="C134" s="10" t="n">
        <x:f>IF(ISNUMBER('Actividades'!F271),'Actividades'!F271,"n.a.")</x:f>
        <x:v>231.08136021505376</x:v>
      </x:c>
      <x:c r="D134" s="10" t="n">
        <x:f>IF(ISNUMBER('Actividades'!G271),'Actividades'!G271,"n.a.")</x:f>
        <x:v>358.66349596774194</x:v>
      </x:c>
      <x:c r="E134" s="10" t="n">
        <x:f>IF(AND(ISNUMBER(C134),ISNUMBER(D134),C134&gt;=0,D134&gt;0),C134-D134,"n.a.")</x:f>
        <x:v>-127.58213575268817</x:v>
      </x:c>
      <x:c r="F134" s="12" t="n">
        <x:f>IF(ISNUMBER(E134),E134/D134,"n.a.")</x:f>
        <x:v>-0.3557154190125969</x:v>
      </x:c>
      <x:c r="G134" s="2" t="n">
        <x:f>IF(ISNUMBER(F134),IF(AND(ABS(F134)+0.00000000001&gt;=$B$6,ABS(E134)+0.000000001&gt;=$D$6),1,0),"n.a.")</x:f>
        <x:v>1</x:v>
      </x:c>
      <x:c r="H134" s="2" t="n">
        <x:f>IF(ISNUMBER(E134),SIGN(E134),"n.a.")</x:f>
        <x:v>-1</x:v>
      </x:c>
      <x:c r="I134" s="2" t="n">
        <x:f>IF(NOT(ISNUMBER(G134)),"n.a.",IF(G134=0,0,IF(AND(B134=B120,A134=EDATE(A120,1),H134=H120,ISNUMBER(I120)),I120+1,1)))</x:f>
        <x:v>2</x:v>
      </x:c>
      <x:c r="J134" s="2" t="n">
        <x:f>IF(ISNUMBER(F134),IF(AND(ABS(F134)+0.00000000001&gt;=$B$7,ABS(E134)+0.000000001&gt;=$D$7),1,0),"n.a.")</x:f>
        <x:v>1</x:v>
      </x:c>
      <x:c r="K134" s="2" t="str">
        <x:f>IF(NOT(ISNUMBER(F134)),"No evaluable",IF(OR(J134=1,I134&gt;=$B$8),"Prioridad",IF(G134=1,"Observar","Sin umbral")))</x:f>
        <x:v>Prioridad</x:v>
      </x:c>
      <x:c r="L134" s="2" t="str">
        <x:f>IF(K134="No evaluable","Faltan datos",IF(J134=1,"Magnitud",IF(I134&gt;=$B$8,"Persistencia",IF(G134=1,"Cambio del mes","Sin umbral"))))</x:f>
        <x:v>Magnitud</x:v>
      </x:c>
      <x:c r="M134" s="2" t="n">
        <x:f>ROW()-40</x:f>
        <x:v>94</x:v>
      </x:c>
    </x:row>
    <x:row r="135" ht="48" customHeight="1">
      <x:c r="A135" s="4" t="n">
        <x:v>45108</x:v>
      </x:c>
      <x:c r="B135" s="32" t="str">
        <x:v>Industria textil</x:v>
      </x:c>
      <x:c r="C135" s="10" t="n">
        <x:f>IF(ISNUMBER('Actividades'!F272),'Actividades'!F272,"n.a.")</x:f>
        <x:v>63.15044892473118</x:v>
      </x:c>
      <x:c r="D135" s="10" t="n">
        <x:f>IF(ISNUMBER('Actividades'!G272),'Actividades'!G272,"n.a.")</x:f>
        <x:v>62.80558064516129</x:v>
      </x:c>
      <x:c r="E135" s="10" t="n">
        <x:f>IF(AND(ISNUMBER(C135),ISNUMBER(D135),C135&gt;=0,D135&gt;0),C135-D135,"n.a.")</x:f>
        <x:v>0.3448682795698872</x:v>
      </x:c>
      <x:c r="F135" s="12" t="n">
        <x:f>IF(ISNUMBER(E135),E135/D135,"n.a.")</x:f>
        <x:v>0.005491045159160658</x:v>
      </x:c>
      <x:c r="G135" s="2" t="n">
        <x:f>IF(ISNUMBER(F135),IF(AND(ABS(F135)+0.00000000001&gt;=$B$6,ABS(E135)+0.000000001&gt;=$D$6),1,0),"n.a.")</x:f>
        <x:v>0</x:v>
      </x:c>
      <x:c r="H135" s="2" t="n">
        <x:f>IF(ISNUMBER(E135),SIGN(E135),"n.a.")</x:f>
        <x:v>1</x:v>
      </x:c>
      <x:c r="I135" s="2" t="n">
        <x:f>IF(NOT(ISNUMBER(G135)),"n.a.",IF(G135=0,0,IF(AND(B135=B121,A135=EDATE(A121,1),H135=H121,ISNUMBER(I121)),I121+1,1)))</x:f>
        <x:v>0</x:v>
      </x:c>
      <x:c r="J135" s="2" t="n">
        <x:f>IF(ISNUMBER(F135),IF(AND(ABS(F135)+0.00000000001&gt;=$B$7,ABS(E135)+0.000000001&gt;=$D$7),1,0),"n.a.")</x:f>
        <x:v>0</x:v>
      </x:c>
      <x:c r="K135" s="2" t="str">
        <x:f>IF(NOT(ISNUMBER(F135)),"No evaluable",IF(OR(J135=1,I135&gt;=$B$8),"Prioridad",IF(G135=1,"Observar","Sin umbral")))</x:f>
        <x:v>Sin umbral</x:v>
      </x:c>
      <x:c r="L135" s="2" t="str">
        <x:f>IF(K135="No evaluable","Faltan datos",IF(J135=1,"Magnitud",IF(I135&gt;=$B$8,"Persistencia",IF(G135=1,"Cambio del mes","Sin umbral"))))</x:f>
        <x:v>Sin umbral</x:v>
      </x:c>
      <x:c r="M135" s="2" t="n">
        <x:f>ROW()-40</x:f>
        <x:v>95</x:v>
      </x:c>
    </x:row>
    <x:row r="136" ht="48" customHeight="1">
      <x:c r="A136" s="4" t="n">
        <x:v>45108</x:v>
      </x:c>
      <x:c r="B136" s="32" t="str">
        <x:v>Químicas, caucho, plástico y otros minerales no metálicos</x:v>
      </x:c>
      <x:c r="C136" s="10" t="n">
        <x:f>IF(ISNUMBER('Actividades'!F273),'Actividades'!F273,"n.a.")</x:f>
        <x:v>324.12817338709675</x:v>
      </x:c>
      <x:c r="D136" s="10" t="n">
        <x:f>IF(ISNUMBER('Actividades'!G273),'Actividades'!G273,"n.a.")</x:f>
        <x:v>302.5833508064516</x:v>
      </x:c>
      <x:c r="E136" s="10" t="n">
        <x:f>IF(AND(ISNUMBER(C136),ISNUMBER(D136),C136&gt;=0,D136&gt;0),C136-D136,"n.a.")</x:f>
        <x:v>21.544822580645132</x:v>
      </x:c>
      <x:c r="F136" s="12" t="n">
        <x:f>IF(ISNUMBER(E136),E136/D136,"n.a.")</x:f>
        <x:v>0.07120293473921618</x:v>
      </x:c>
      <x:c r="G136" s="2" t="n">
        <x:f>IF(ISNUMBER(F136),IF(AND(ABS(F136)+0.00000000001&gt;=$B$6,ABS(E136)+0.000000001&gt;=$D$6),1,0),"n.a.")</x:f>
        <x:v>0</x:v>
      </x:c>
      <x:c r="H136" s="2" t="n">
        <x:f>IF(ISNUMBER(E136),SIGN(E136),"n.a.")</x:f>
        <x:v>1</x:v>
      </x:c>
      <x:c r="I136" s="2" t="n">
        <x:f>IF(NOT(ISNUMBER(G136)),"n.a.",IF(G136=0,0,IF(AND(B136=B122,A136=EDATE(A122,1),H136=H122,ISNUMBER(I122)),I122+1,1)))</x:f>
        <x:v>0</x:v>
      </x:c>
      <x:c r="J136" s="2" t="n">
        <x:f>IF(ISNUMBER(F136),IF(AND(ABS(F136)+0.00000000001&gt;=$B$7,ABS(E136)+0.000000001&gt;=$D$7),1,0),"n.a.")</x:f>
        <x:v>0</x:v>
      </x:c>
      <x:c r="K136" s="2" t="str">
        <x:f>IF(NOT(ISNUMBER(F136)),"No evaluable",IF(OR(J136=1,I136&gt;=$B$8),"Prioridad",IF(G136=1,"Observar","Sin umbral")))</x:f>
        <x:v>Sin umbral</x:v>
      </x:c>
      <x:c r="L136" s="2" t="str">
        <x:f>IF(K136="No evaluable","Faltan datos",IF(J136=1,"Magnitud",IF(I136&gt;=$B$8,"Persistencia",IF(G136=1,"Cambio del mes","Sin umbral"))))</x:f>
        <x:v>Sin umbral</x:v>
      </x:c>
      <x:c r="M136" s="2" t="n">
        <x:f>ROW()-40</x:f>
        <x:v>96</x:v>
      </x:c>
    </x:row>
    <x:row r="137" ht="48" customHeight="1">
      <x:c r="A137" s="4" t="n">
        <x:v>45108</x:v>
      </x:c>
      <x:c r="B137" s="32" t="str">
        <x:v>Extracción de minerales</x:v>
      </x:c>
      <x:c r="C137" s="10" t="n">
        <x:f>IF(ISNUMBER('Actividades'!F274),'Actividades'!F274,"n.a.")</x:f>
        <x:v>22.565838709677422</x:v>
      </x:c>
      <x:c r="D137" s="10" t="n">
        <x:f>IF(ISNUMBER('Actividades'!G274),'Actividades'!G274,"n.a.")</x:f>
        <x:v>20.446735215053764</x:v>
      </x:c>
      <x:c r="E137" s="10" t="n">
        <x:f>IF(AND(ISNUMBER(C137),ISNUMBER(D137),C137&gt;=0,D137&gt;0),C137-D137,"n.a.")</x:f>
        <x:v>2.1191034946236584</x:v>
      </x:c>
      <x:c r="F137" s="12" t="n">
        <x:f>IF(ISNUMBER(E137),E137/D137,"n.a.")</x:f>
        <x:v>0.10364018863331705</x:v>
      </x:c>
      <x:c r="G137" s="2" t="n">
        <x:f>IF(ISNUMBER(F137),IF(AND(ABS(F137)+0.00000000001&gt;=$B$6,ABS(E137)+0.000000001&gt;=$D$6),1,0),"n.a.")</x:f>
        <x:v>0</x:v>
      </x:c>
      <x:c r="H137" s="2" t="n">
        <x:f>IF(ISNUMBER(E137),SIGN(E137),"n.a.")</x:f>
        <x:v>1</x:v>
      </x:c>
      <x:c r="I137" s="2" t="n">
        <x:f>IF(NOT(ISNUMBER(G137)),"n.a.",IF(G137=0,0,IF(AND(B137=B123,A137=EDATE(A123,1),H137=H123,ISNUMBER(I123)),I123+1,1)))</x:f>
        <x:v>0</x:v>
      </x:c>
      <x:c r="J137" s="2" t="n">
        <x:f>IF(ISNUMBER(F137),IF(AND(ABS(F137)+0.00000000001&gt;=$B$7,ABS(E137)+0.000000001&gt;=$D$7),1,0),"n.a.")</x:f>
        <x:v>0</x:v>
      </x:c>
      <x:c r="K137" s="2" t="str">
        <x:f>IF(NOT(ISNUMBER(F137)),"No evaluable",IF(OR(J137=1,I137&gt;=$B$8),"Prioridad",IF(G137=1,"Observar","Sin umbral")))</x:f>
        <x:v>Sin umbral</x:v>
      </x:c>
      <x:c r="L137" s="2" t="str">
        <x:f>IF(K137="No evaluable","Faltan datos",IF(J137=1,"Magnitud",IF(I137&gt;=$B$8,"Persistencia",IF(G137=1,"Cambio del mes","Sin umbral"))))</x:f>
        <x:v>Sin umbral</x:v>
      </x:c>
      <x:c r="M137" s="2" t="n">
        <x:f>ROW()-40</x:f>
        <x:v>97</x:v>
      </x:c>
    </x:row>
    <x:row r="138" ht="48" customHeight="1">
      <x:c r="A138" s="4" t="n">
        <x:v>45108</x:v>
      </x:c>
      <x:c r="B138" s="32" t="str">
        <x:v>Extracción de petróleo</x:v>
      </x:c>
      <x:c r="C138" s="10" t="n">
        <x:f>IF(ISNUMBER('Actividades'!F275),'Actividades'!F275,"n.a.")</x:f>
        <x:v>164.81235887096773</x:v>
      </x:c>
      <x:c r="D138" s="10" t="n">
        <x:f>IF(ISNUMBER('Actividades'!G275),'Actividades'!G275,"n.a.")</x:f>
        <x:v>164.19037231182796</x:v>
      </x:c>
      <x:c r="E138" s="10" t="n">
        <x:f>IF(AND(ISNUMBER(C138),ISNUMBER(D138),C138&gt;=0,D138&gt;0),C138-D138,"n.a.")</x:f>
        <x:v>0.6219865591397706</x:v>
      </x:c>
      <x:c r="F138" s="12" t="n">
        <x:f>IF(ISNUMBER(E138),E138/D138,"n.a.")</x:f>
        <x:v>0.003788203597946065</x:v>
      </x:c>
      <x:c r="G138" s="2" t="n">
        <x:f>IF(ISNUMBER(F138),IF(AND(ABS(F138)+0.00000000001&gt;=$B$6,ABS(E138)+0.000000001&gt;=$D$6),1,0),"n.a.")</x:f>
        <x:v>0</x:v>
      </x:c>
      <x:c r="H138" s="2" t="n">
        <x:f>IF(ISNUMBER(E138),SIGN(E138),"n.a.")</x:f>
        <x:v>1</x:v>
      </x:c>
      <x:c r="I138" s="2" t="n">
        <x:f>IF(NOT(ISNUMBER(G138)),"n.a.",IF(G138=0,0,IF(AND(B138=B124,A138=EDATE(A124,1),H138=H124,ISNUMBER(I124)),I124+1,1)))</x:f>
        <x:v>0</x:v>
      </x:c>
      <x:c r="J138" s="2" t="n">
        <x:f>IF(ISNUMBER(F138),IF(AND(ABS(F138)+0.00000000001&gt;=$B$7,ABS(E138)+0.000000001&gt;=$D$7),1,0),"n.a.")</x:f>
        <x:v>0</x:v>
      </x:c>
      <x:c r="K138" s="2" t="str">
        <x:f>IF(NOT(ISNUMBER(F138)),"No evaluable",IF(OR(J138=1,I138&gt;=$B$8),"Prioridad",IF(G138=1,"Observar","Sin umbral")))</x:f>
        <x:v>Sin umbral</x:v>
      </x:c>
      <x:c r="L138" s="2" t="str">
        <x:f>IF(K138="No evaluable","Faltan datos",IF(J138=1,"Magnitud",IF(I138&gt;=$B$8,"Persistencia",IF(G138=1,"Cambio del mes","Sin umbral"))))</x:f>
        <x:v>Sin umbral</x:v>
      </x:c>
      <x:c r="M138" s="2" t="n">
        <x:f>ROW()-40</x:f>
        <x:v>98</x:v>
      </x:c>
    </x:row>
    <x:row r="139" ht="48" customHeight="1">
      <x:c r="A139" s="4" t="n">
        <x:v>45139</x:v>
      </x:c>
      <x:c r="B139" s="32" t="str">
        <x:v>Cargas y puertos</x:v>
      </x:c>
      <x:c r="C139" s="10" t="n">
        <x:f>IF(ISNUMBER('Actividades'!F276),'Actividades'!F276,"n.a.")</x:f>
        <x:v>7.8863790322580645</x:v>
      </x:c>
      <x:c r="D139" s="10" t="n">
        <x:f>IF(ISNUMBER('Actividades'!G276),'Actividades'!G276,"n.a.")</x:f>
        <x:v>7.33959005376344</x:v>
      </x:c>
      <x:c r="E139" s="10" t="n">
        <x:f>IF(AND(ISNUMBER(C139),ISNUMBER(D139),C139&gt;=0,D139&gt;0),C139-D139,"n.a.")</x:f>
        <x:v>0.5467889784946243</x:v>
      </x:c>
      <x:c r="F139" s="12" t="n">
        <x:f>IF(ISNUMBER(E139),E139/D139,"n.a.")</x:f>
        <x:v>0.07449857205774774</x:v>
      </x:c>
      <x:c r="G139" s="2" t="n">
        <x:f>IF(ISNUMBER(F139),IF(AND(ABS(F139)+0.00000000001&gt;=$B$6,ABS(E139)+0.000000001&gt;=$D$6),1,0),"n.a.")</x:f>
        <x:v>0</x:v>
      </x:c>
      <x:c r="H139" s="2" t="n">
        <x:f>IF(ISNUMBER(E139),SIGN(E139),"n.a.")</x:f>
        <x:v>1</x:v>
      </x:c>
      <x:c r="I139" s="2" t="n">
        <x:f>IF(NOT(ISNUMBER(G139)),"n.a.",IF(G139=0,0,IF(AND(B139=B125,A139=EDATE(A125,1),H139=H125,ISNUMBER(I125)),I125+1,1)))</x:f>
        <x:v>0</x:v>
      </x:c>
      <x:c r="J139" s="2" t="n">
        <x:f>IF(ISNUMBER(F139),IF(AND(ABS(F139)+0.00000000001&gt;=$B$7,ABS(E139)+0.000000001&gt;=$D$7),1,0),"n.a.")</x:f>
        <x:v>0</x:v>
      </x:c>
      <x:c r="K139" s="2" t="str">
        <x:f>IF(NOT(ISNUMBER(F139)),"No evaluable",IF(OR(J139=1,I139&gt;=$B$8),"Prioridad",IF(G139=1,"Observar","Sin umbral")))</x:f>
        <x:v>Sin umbral</x:v>
      </x:c>
      <x:c r="L139" s="2" t="str">
        <x:f>IF(K139="No evaluable","Faltan datos",IF(J139=1,"Magnitud",IF(I139&gt;=$B$8,"Persistencia",IF(G139=1,"Cambio del mes","Sin umbral"))))</x:f>
        <x:v>Sin umbral</x:v>
      </x:c>
      <x:c r="M139" s="2" t="n">
        <x:f>ROW()-40</x:f>
        <x:v>99</x:v>
      </x:c>
    </x:row>
    <x:row r="140" ht="48" customHeight="1">
      <x:c r="A140" s="4" t="n">
        <x:v>45139</x:v>
      </x:c>
      <x:c r="B140" s="32" t="str">
        <x:v>Comercio y servicios: principalmente supermercados y centros comerciales</x:v>
      </x:c>
      <x:c r="C140" s="10" t="n">
        <x:f>IF(ISNUMBER('Actividades'!F277),'Actividades'!F277,"n.a.")</x:f>
        <x:v>29.50452553763441</x:v>
      </x:c>
      <x:c r="D140" s="10" t="n">
        <x:f>IF(ISNUMBER('Actividades'!G277),'Actividades'!G277,"n.a.")</x:f>
        <x:v>29.565193548387096</x:v>
      </x:c>
      <x:c r="E140" s="10" t="n">
        <x:f>IF(AND(ISNUMBER(C140),ISNUMBER(D140),C140&gt;=0,D140&gt;0),C140-D140,"n.a.")</x:f>
        <x:v>-0.060668010752685575</x:v>
      </x:c>
      <x:c r="F140" s="12" t="n">
        <x:f>IF(ISNUMBER(E140),E140/D140,"n.a.")</x:f>
        <x:v>-0.0020520079008917993</x:v>
      </x:c>
      <x:c r="G140" s="2" t="n">
        <x:f>IF(ISNUMBER(F140),IF(AND(ABS(F140)+0.00000000001&gt;=$B$6,ABS(E140)+0.000000001&gt;=$D$6),1,0),"n.a.")</x:f>
        <x:v>0</x:v>
      </x:c>
      <x:c r="H140" s="2" t="n">
        <x:f>IF(ISNUMBER(E140),SIGN(E140),"n.a.")</x:f>
        <x:v>-1</x:v>
      </x:c>
      <x:c r="I140" s="2" t="n">
        <x:f>IF(NOT(ISNUMBER(G140)),"n.a.",IF(G140=0,0,IF(AND(B140=B126,A140=EDATE(A126,1),H140=H126,ISNUMBER(I126)),I126+1,1)))</x:f>
        <x:v>0</x:v>
      </x:c>
      <x:c r="J140" s="2" t="n">
        <x:f>IF(ISNUMBER(F140),IF(AND(ABS(F140)+0.00000000001&gt;=$B$7,ABS(E140)+0.000000001&gt;=$D$7),1,0),"n.a.")</x:f>
        <x:v>0</x:v>
      </x:c>
      <x:c r="K140" s="2" t="str">
        <x:f>IF(NOT(ISNUMBER(F140)),"No evaluable",IF(OR(J140=1,I140&gt;=$B$8),"Prioridad",IF(G140=1,"Observar","Sin umbral")))</x:f>
        <x:v>Sin umbral</x:v>
      </x:c>
      <x:c r="L140" s="2" t="str">
        <x:f>IF(K140="No evaluable","Faltan datos",IF(J140=1,"Magnitud",IF(I140&gt;=$B$8,"Persistencia",IF(G140=1,"Cambio del mes","Sin umbral"))))</x:f>
        <x:v>Sin umbral</x:v>
      </x:c>
      <x:c r="M140" s="2" t="n">
        <x:f>ROW()-40</x:f>
        <x:v>100</x:v>
      </x:c>
    </x:row>
    <x:row r="141" ht="48" customHeight="1">
      <x:c r="A141" s="4" t="n">
        <x:v>45139</x:v>
      </x:c>
      <x:c r="B141" s="32" t="str">
        <x:v>Alimentación y artículos de consumo masivo</x:v>
      </x:c>
      <x:c r="C141" s="10" t="n">
        <x:f>IF(ISNUMBER('Actividades'!F278),'Actividades'!F278,"n.a.")</x:f>
        <x:v>267.00815188172044</x:v>
      </x:c>
      <x:c r="D141" s="10" t="n">
        <x:f>IF(ISNUMBER('Actividades'!G278),'Actividades'!G278,"n.a.")</x:f>
        <x:v>253.39793951612901</x:v>
      </x:c>
      <x:c r="E141" s="10" t="n">
        <x:f>IF(AND(ISNUMBER(C141),ISNUMBER(D141),C141&gt;=0,D141&gt;0),C141-D141,"n.a.")</x:f>
        <x:v>13.610212365591423</x:v>
      </x:c>
      <x:c r="F141" s="12" t="n">
        <x:f>IF(ISNUMBER(E141),E141/D141,"n.a.")</x:f>
        <x:v>0.05371082492454569</x:v>
      </x:c>
      <x:c r="G141" s="2" t="n">
        <x:f>IF(ISNUMBER(F141),IF(AND(ABS(F141)+0.00000000001&gt;=$B$6,ABS(E141)+0.000000001&gt;=$D$6),1,0),"n.a.")</x:f>
        <x:v>0</x:v>
      </x:c>
      <x:c r="H141" s="2" t="n">
        <x:f>IF(ISNUMBER(E141),SIGN(E141),"n.a.")</x:f>
        <x:v>1</x:v>
      </x:c>
      <x:c r="I141" s="2" t="n">
        <x:f>IF(NOT(ISNUMBER(G141)),"n.a.",IF(G141=0,0,IF(AND(B141=B127,A141=EDATE(A127,1),H141=H127,ISNUMBER(I127)),I127+1,1)))</x:f>
        <x:v>0</x:v>
      </x:c>
      <x:c r="J141" s="2" t="n">
        <x:f>IF(ISNUMBER(F141),IF(AND(ABS(F141)+0.00000000001&gt;=$B$7,ABS(E141)+0.000000001&gt;=$D$7),1,0),"n.a.")</x:f>
        <x:v>0</x:v>
      </x:c>
      <x:c r="K141" s="2" t="str">
        <x:f>IF(NOT(ISNUMBER(F141)),"No evaluable",IF(OR(J141=1,I141&gt;=$B$8),"Prioridad",IF(G141=1,"Observar","Sin umbral")))</x:f>
        <x:v>Sin umbral</x:v>
      </x:c>
      <x:c r="L141" s="2" t="str">
        <x:f>IF(K141="No evaluable","Faltan datos",IF(J141=1,"Magnitud",IF(I141&gt;=$B$8,"Persistencia",IF(G141=1,"Cambio del mes","Sin umbral"))))</x:f>
        <x:v>Sin umbral</x:v>
      </x:c>
      <x:c r="M141" s="2" t="n">
        <x:f>ROW()-40</x:f>
        <x:v>101</x:v>
      </x:c>
    </x:row>
    <x:row r="142" ht="48" customHeight="1">
      <x:c r="A142" s="4" t="n">
        <x:v>45139</x:v>
      </x:c>
      <x:c r="B142" s="32" t="str">
        <x:v>Servicios públicos y transporte: agua y transporte en GBA</x:v>
      </x:c>
      <x:c r="C142" s="10" t="n">
        <x:f>IF(ISNUMBER('Actividades'!F279),'Actividades'!F279,"n.a.")</x:f>
        <x:v>87.38067069892473</x:v>
      </x:c>
      <x:c r="D142" s="10" t="n">
        <x:f>IF(ISNUMBER('Actividades'!G279),'Actividades'!G279,"n.a.")</x:f>
        <x:v>82.94244758064517</x:v>
      </x:c>
      <x:c r="E142" s="10" t="n">
        <x:f>IF(AND(ISNUMBER(C142),ISNUMBER(D142),C142&gt;=0,D142&gt;0),C142-D142,"n.a.")</x:f>
        <x:v>4.438223118279566</x:v>
      </x:c>
      <x:c r="F142" s="12" t="n">
        <x:f>IF(ISNUMBER(E142),E142/D142,"n.a.")</x:f>
        <x:v>0.053509671437707094</x:v>
      </x:c>
      <x:c r="G142" s="2" t="n">
        <x:f>IF(ISNUMBER(F142),IF(AND(ABS(F142)+0.00000000001&gt;=$B$6,ABS(E142)+0.000000001&gt;=$D$6),1,0),"n.a.")</x:f>
        <x:v>0</x:v>
      </x:c>
      <x:c r="H142" s="2" t="n">
        <x:f>IF(ISNUMBER(E142),SIGN(E142),"n.a.")</x:f>
        <x:v>1</x:v>
      </x:c>
      <x:c r="I142" s="2" t="n">
        <x:f>IF(NOT(ISNUMBER(G142)),"n.a.",IF(G142=0,0,IF(AND(B142=B128,A142=EDATE(A128,1),H142=H128,ISNUMBER(I128)),I128+1,1)))</x:f>
        <x:v>0</x:v>
      </x:c>
      <x:c r="J142" s="2" t="n">
        <x:f>IF(ISNUMBER(F142),IF(AND(ABS(F142)+0.00000000001&gt;=$B$7,ABS(E142)+0.000000001&gt;=$D$7),1,0),"n.a.")</x:f>
        <x:v>0</x:v>
      </x:c>
      <x:c r="K142" s="2" t="str">
        <x:f>IF(NOT(ISNUMBER(F142)),"No evaluable",IF(OR(J142=1,I142&gt;=$B$8),"Prioridad",IF(G142=1,"Observar","Sin umbral")))</x:f>
        <x:v>Sin umbral</x:v>
      </x:c>
      <x:c r="L142" s="2" t="str">
        <x:f>IF(K142="No evaluable","Faltan datos",IF(J142=1,"Magnitud",IF(I142&gt;=$B$8,"Persistencia",IF(G142=1,"Cambio del mes","Sin umbral"))))</x:f>
        <x:v>Sin umbral</x:v>
      </x:c>
      <x:c r="M142" s="2" t="n">
        <x:f>ROW()-40</x:f>
        <x:v>102</x:v>
      </x:c>
    </x:row>
    <x:row r="143" ht="48" customHeight="1">
      <x:c r="A143" s="4" t="n">
        <x:v>45139</x:v>
      </x:c>
      <x:c r="B143" s="32" t="str">
        <x:v>Industria automotriz</x:v>
      </x:c>
      <x:c r="C143" s="10" t="n">
        <x:f>IF(ISNUMBER('Actividades'!F280),'Actividades'!F280,"n.a.")</x:f>
        <x:v>39.503408602150536</x:v>
      </x:c>
      <x:c r="D143" s="10" t="n">
        <x:f>IF(ISNUMBER('Actividades'!G280),'Actividades'!G280,"n.a.")</x:f>
        <x:v>39.10302956989247</x:v>
      </x:c>
      <x:c r="E143" s="10" t="n">
        <x:f>IF(AND(ISNUMBER(C143),ISNUMBER(D143),C143&gt;=0,D143&gt;0),C143-D143,"n.a.")</x:f>
        <x:v>0.4003790322580656</x:v>
      </x:c>
      <x:c r="F143" s="12" t="n">
        <x:f>IF(ISNUMBER(E143),E143/D143,"n.a.")</x:f>
        <x:v>0.010239079597206938</x:v>
      </x:c>
      <x:c r="G143" s="2" t="n">
        <x:f>IF(ISNUMBER(F143),IF(AND(ABS(F143)+0.00000000001&gt;=$B$6,ABS(E143)+0.000000001&gt;=$D$6),1,0),"n.a.")</x:f>
        <x:v>0</x:v>
      </x:c>
      <x:c r="H143" s="2" t="n">
        <x:f>IF(ISNUMBER(E143),SIGN(E143),"n.a.")</x:f>
        <x:v>1</x:v>
      </x:c>
      <x:c r="I143" s="2" t="n">
        <x:f>IF(NOT(ISNUMBER(G143)),"n.a.",IF(G143=0,0,IF(AND(B143=B129,A143=EDATE(A129,1),H143=H129,ISNUMBER(I129)),I129+1,1)))</x:f>
        <x:v>0</x:v>
      </x:c>
      <x:c r="J143" s="2" t="n">
        <x:f>IF(ISNUMBER(F143),IF(AND(ABS(F143)+0.00000000001&gt;=$B$7,ABS(E143)+0.000000001&gt;=$D$7),1,0),"n.a.")</x:f>
        <x:v>0</x:v>
      </x:c>
      <x:c r="K143" s="2" t="str">
        <x:f>IF(NOT(ISNUMBER(F143)),"No evaluable",IF(OR(J143=1,I143&gt;=$B$8),"Prioridad",IF(G143=1,"Observar","Sin umbral")))</x:f>
        <x:v>Sin umbral</x:v>
      </x:c>
      <x:c r="L143" s="2" t="str">
        <x:f>IF(K143="No evaluable","Faltan datos",IF(J143=1,"Magnitud",IF(I143&gt;=$B$8,"Persistencia",IF(G143=1,"Cambio del mes","Sin umbral"))))</x:f>
        <x:v>Sin umbral</x:v>
      </x:c>
      <x:c r="M143" s="2" t="n">
        <x:f>ROW()-40</x:f>
        <x:v>103</x:v>
      </x:c>
    </x:row>
    <x:row r="144" ht="48" customHeight="1">
      <x:c r="A144" s="4" t="n">
        <x:v>45139</x:v>
      </x:c>
      <x:c r="B144" s="32" t="str">
        <x:v>Derivados de petróleo</x:v>
      </x:c>
      <x:c r="C144" s="10" t="n">
        <x:f>IF(ISNUMBER('Actividades'!F281),'Actividades'!F281,"n.a.")</x:f>
        <x:v>142.001876344086</x:v>
      </x:c>
      <x:c r="D144" s="10" t="n">
        <x:f>IF(ISNUMBER('Actividades'!G281),'Actividades'!G281,"n.a.")</x:f>
        <x:v>156.43338440860217</x:v>
      </x:c>
      <x:c r="E144" s="10" t="n">
        <x:f>IF(AND(ISNUMBER(C144),ISNUMBER(D144),C144&gt;=0,D144&gt;0),C144-D144,"n.a.")</x:f>
        <x:v>-14.431508064516152</x:v>
      </x:c>
      <x:c r="F144" s="12" t="n">
        <x:f>IF(ISNUMBER(E144),E144/D144,"n.a.")</x:f>
        <x:v>-0.09225337749403428</x:v>
      </x:c>
      <x:c r="G144" s="2" t="n">
        <x:f>IF(ISNUMBER(F144),IF(AND(ABS(F144)+0.00000000001&gt;=$B$6,ABS(E144)+0.000000001&gt;=$D$6),1,0),"n.a.")</x:f>
        <x:v>0</x:v>
      </x:c>
      <x:c r="H144" s="2" t="n">
        <x:f>IF(ISNUMBER(E144),SIGN(E144),"n.a.")</x:f>
        <x:v>-1</x:v>
      </x:c>
      <x:c r="I144" s="2" t="n">
        <x:f>IF(NOT(ISNUMBER(G144)),"n.a.",IF(G144=0,0,IF(AND(B144=B130,A144=EDATE(A130,1),H144=H130,ISNUMBER(I130)),I130+1,1)))</x:f>
        <x:v>0</x:v>
      </x:c>
      <x:c r="J144" s="2" t="n">
        <x:f>IF(ISNUMBER(F144),IF(AND(ABS(F144)+0.00000000001&gt;=$B$7,ABS(E144)+0.000000001&gt;=$D$7),1,0),"n.a.")</x:f>
        <x:v>0</x:v>
      </x:c>
      <x:c r="K144" s="2" t="str">
        <x:f>IF(NOT(ISNUMBER(F144)),"No evaluable",IF(OR(J144=1,I144&gt;=$B$8),"Prioridad",IF(G144=1,"Observar","Sin umbral")))</x:f>
        <x:v>Sin umbral</x:v>
      </x:c>
      <x:c r="L144" s="2" t="str">
        <x:f>IF(K144="No evaluable","Faltan datos",IF(J144=1,"Magnitud",IF(I144&gt;=$B$8,"Persistencia",IF(G144=1,"Cambio del mes","Sin umbral"))))</x:f>
        <x:v>Sin umbral</x:v>
      </x:c>
      <x:c r="M144" s="2" t="n">
        <x:f>ROW()-40</x:f>
        <x:v>104</x:v>
      </x:c>
    </x:row>
    <x:row r="145" ht="48" customHeight="1">
      <x:c r="A145" s="4" t="n">
        <x:v>45139</x:v>
      </x:c>
      <x:c r="B145" s="32" t="str">
        <x:v>Construcción: elaboración de cemento y canteras</x:v>
      </x:c>
      <x:c r="C145" s="10" t="n">
        <x:f>IF(ISNUMBER('Actividades'!F282),'Actividades'!F282,"n.a.")</x:f>
        <x:v>171.2518185483871</x:v>
      </x:c>
      <x:c r="D145" s="10" t="n">
        <x:f>IF(ISNUMBER('Actividades'!G282),'Actividades'!G282,"n.a.")</x:f>
        <x:v>199.46865725806452</x:v>
      </x:c>
      <x:c r="E145" s="10" t="n">
        <x:f>IF(AND(ISNUMBER(C145),ISNUMBER(D145),C145&gt;=0,D145&gt;0),C145-D145,"n.a.")</x:f>
        <x:v>-28.216838709677432</x:v>
      </x:c>
      <x:c r="F145" s="12" t="n">
        <x:f>IF(ISNUMBER(E145),E145/D145,"n.a.")</x:f>
        <x:v>-0.14146001230244218</x:v>
      </x:c>
      <x:c r="G145" s="2" t="n">
        <x:f>IF(ISNUMBER(F145),IF(AND(ABS(F145)+0.00000000001&gt;=$B$6,ABS(E145)+0.000000001&gt;=$D$6),1,0),"n.a.")</x:f>
        <x:v>1</x:v>
      </x:c>
      <x:c r="H145" s="2" t="n">
        <x:f>IF(ISNUMBER(E145),SIGN(E145),"n.a.")</x:f>
        <x:v>-1</x:v>
      </x:c>
      <x:c r="I145" s="2" t="n">
        <x:f>IF(NOT(ISNUMBER(G145)),"n.a.",IF(G145=0,0,IF(AND(B145=B131,A145=EDATE(A131,1),H145=H131,ISNUMBER(I131)),I131+1,1)))</x:f>
        <x:v>2</x:v>
      </x:c>
      <x:c r="J145" s="2" t="n">
        <x:f>IF(ISNUMBER(F145),IF(AND(ABS(F145)+0.00000000001&gt;=$B$7,ABS(E145)+0.000000001&gt;=$D$7),1,0),"n.a.")</x:f>
        <x:v>0</x:v>
      </x:c>
      <x:c r="K145" s="2" t="str">
        <x:f>IF(NOT(ISNUMBER(F145)),"No evaluable",IF(OR(J145=1,I145&gt;=$B$8),"Prioridad",IF(G145=1,"Observar","Sin umbral")))</x:f>
        <x:v>Observar</x:v>
      </x:c>
      <x:c r="L145" s="2" t="str">
        <x:f>IF(K145="No evaluable","Faltan datos",IF(J145=1,"Magnitud",IF(I145&gt;=$B$8,"Persistencia",IF(G145=1,"Cambio del mes","Sin umbral"))))</x:f>
        <x:v>Cambio del mes</x:v>
      </x:c>
      <x:c r="M145" s="2" t="n">
        <x:f>ROW()-40</x:f>
        <x:v>105</x:v>
      </x:c>
    </x:row>
    <x:row r="146" ht="48" customHeight="1">
      <x:c r="A146" s="4" t="n">
        <x:v>45139</x:v>
      </x:c>
      <x:c r="B146" s="32" t="str">
        <x:v>Madera y papel</x:v>
      </x:c>
      <x:c r="C146" s="10" t="n">
        <x:f>IF(ISNUMBER('Actividades'!F283),'Actividades'!F283,"n.a.")</x:f>
        <x:v>105.49800134408602</x:v>
      </x:c>
      <x:c r="D146" s="10" t="n">
        <x:f>IF(ISNUMBER('Actividades'!G283),'Actividades'!G283,"n.a.")</x:f>
        <x:v>102.55399596774194</x:v>
      </x:c>
      <x:c r="E146" s="10" t="n">
        <x:f>IF(AND(ISNUMBER(C146),ISNUMBER(D146),C146&gt;=0,D146&gt;0),C146-D146,"n.a.")</x:f>
        <x:v>2.94400537634408</x:v>
      </x:c>
      <x:c r="F146" s="12" t="n">
        <x:f>IF(ISNUMBER(E146),E146/D146,"n.a.")</x:f>
        <x:v>0.028706881175747732</x:v>
      </x:c>
      <x:c r="G146" s="2" t="n">
        <x:f>IF(ISNUMBER(F146),IF(AND(ABS(F146)+0.00000000001&gt;=$B$6,ABS(E146)+0.000000001&gt;=$D$6),1,0),"n.a.")</x:f>
        <x:v>0</x:v>
      </x:c>
      <x:c r="H146" s="2" t="n">
        <x:f>IF(ISNUMBER(E146),SIGN(E146),"n.a.")</x:f>
        <x:v>1</x:v>
      </x:c>
      <x:c r="I146" s="2" t="n">
        <x:f>IF(NOT(ISNUMBER(G146)),"n.a.",IF(G146=0,0,IF(AND(B146=B132,A146=EDATE(A132,1),H146=H132,ISNUMBER(I132)),I132+1,1)))</x:f>
        <x:v>0</x:v>
      </x:c>
      <x:c r="J146" s="2" t="n">
        <x:f>IF(ISNUMBER(F146),IF(AND(ABS(F146)+0.00000000001&gt;=$B$7,ABS(E146)+0.000000001&gt;=$D$7),1,0),"n.a.")</x:f>
        <x:v>0</x:v>
      </x:c>
      <x:c r="K146" s="2" t="str">
        <x:f>IF(NOT(ISNUMBER(F146)),"No evaluable",IF(OR(J146=1,I146&gt;=$B$8),"Prioridad",IF(G146=1,"Observar","Sin umbral")))</x:f>
        <x:v>Sin umbral</x:v>
      </x:c>
      <x:c r="L146" s="2" t="str">
        <x:f>IF(K146="No evaluable","Faltan datos",IF(J146=1,"Magnitud",IF(I146&gt;=$B$8,"Persistencia",IF(G146=1,"Cambio del mes","Sin umbral"))))</x:f>
        <x:v>Sin umbral</x:v>
      </x:c>
      <x:c r="M146" s="2" t="n">
        <x:f>ROW()-40</x:f>
        <x:v>106</x:v>
      </x:c>
    </x:row>
    <x:row r="147" ht="48" customHeight="1">
      <x:c r="A147" s="4" t="n">
        <x:v>45139</x:v>
      </x:c>
      <x:c r="B147" s="32" t="str">
        <x:v>Productos metálicos no automotores</x:v>
      </x:c>
      <x:c r="C147" s="10" t="n">
        <x:f>IF(ISNUMBER('Actividades'!F284),'Actividades'!F284,"n.a.")</x:f>
        <x:v>50.94696774193548</x:v>
      </x:c>
      <x:c r="D147" s="10" t="n">
        <x:f>IF(ISNUMBER('Actividades'!G284),'Actividades'!G284,"n.a.")</x:f>
        <x:v>66.19231317204301</x:v>
      </x:c>
      <x:c r="E147" s="10" t="n">
        <x:f>IF(AND(ISNUMBER(C147),ISNUMBER(D147),C147&gt;=0,D147&gt;0),C147-D147,"n.a.")</x:f>
        <x:v>-15.245345430107534</x:v>
      </x:c>
      <x:c r="F147" s="12" t="n">
        <x:f>IF(ISNUMBER(E147),E147/D147,"n.a.")</x:f>
        <x:v>-0.23031897058020565</x:v>
      </x:c>
      <x:c r="G147" s="2" t="n">
        <x:f>IF(ISNUMBER(F147),IF(AND(ABS(F147)+0.00000000001&gt;=$B$6,ABS(E147)+0.000000001&gt;=$D$6),1,0),"n.a.")</x:f>
        <x:v>1</x:v>
      </x:c>
      <x:c r="H147" s="2" t="n">
        <x:f>IF(ISNUMBER(E147),SIGN(E147),"n.a.")</x:f>
        <x:v>-1</x:v>
      </x:c>
      <x:c r="I147" s="2" t="n">
        <x:f>IF(NOT(ISNUMBER(G147)),"n.a.",IF(G147=0,0,IF(AND(B147=B133,A147=EDATE(A133,1),H147=H133,ISNUMBER(I133)),I133+1,1)))</x:f>
        <x:v>8</x:v>
      </x:c>
      <x:c r="J147" s="2" t="n">
        <x:f>IF(ISNUMBER(F147),IF(AND(ABS(F147)+0.00000000001&gt;=$B$7,ABS(E147)+0.000000001&gt;=$D$7),1,0),"n.a.")</x:f>
        <x:v>1</x:v>
      </x:c>
      <x:c r="K147" s="2" t="str">
        <x:f>IF(NOT(ISNUMBER(F147)),"No evaluable",IF(OR(J147=1,I147&gt;=$B$8),"Prioridad",IF(G147=1,"Observar","Sin umbral")))</x:f>
        <x:v>Prioridad</x:v>
      </x:c>
      <x:c r="L147" s="2" t="str">
        <x:f>IF(K147="No evaluable","Faltan datos",IF(J147=1,"Magnitud",IF(I147&gt;=$B$8,"Persistencia",IF(G147=1,"Cambio del mes","Sin umbral"))))</x:f>
        <x:v>Magnitud</x:v>
      </x:c>
      <x:c r="M147" s="2" t="n">
        <x:f>ROW()-40</x:f>
        <x:v>107</x:v>
      </x:c>
    </x:row>
    <x:row r="148" ht="48" customHeight="1">
      <x:c r="A148" s="4" t="n">
        <x:v>45139</x:v>
      </x:c>
      <x:c r="B148" s="32" t="str">
        <x:v>Gran siderurgia</x:v>
      </x:c>
      <x:c r="C148" s="10" t="n">
        <x:f>IF(ISNUMBER('Actividades'!F285),'Actividades'!F285,"n.a.")</x:f>
        <x:v>313.49506182795693</x:v>
      </x:c>
      <x:c r="D148" s="10" t="n">
        <x:f>IF(ISNUMBER('Actividades'!G285),'Actividades'!G285,"n.a.")</x:f>
        <x:v>357.5920174731183</x:v>
      </x:c>
      <x:c r="E148" s="10" t="n">
        <x:f>IF(AND(ISNUMBER(C148),ISNUMBER(D148),C148&gt;=0,D148&gt;0),C148-D148,"n.a.")</x:f>
        <x:v>-44.09695564516136</x:v>
      </x:c>
      <x:c r="F148" s="12" t="n">
        <x:f>IF(ISNUMBER(E148),E148/D148,"n.a.")</x:f>
        <x:v>-0.12331638708483282</x:v>
      </x:c>
      <x:c r="G148" s="2" t="n">
        <x:f>IF(ISNUMBER(F148),IF(AND(ABS(F148)+0.00000000001&gt;=$B$6,ABS(E148)+0.000000001&gt;=$D$6),1,0),"n.a.")</x:f>
        <x:v>1</x:v>
      </x:c>
      <x:c r="H148" s="2" t="n">
        <x:f>IF(ISNUMBER(E148),SIGN(E148),"n.a.")</x:f>
        <x:v>-1</x:v>
      </x:c>
      <x:c r="I148" s="2" t="n">
        <x:f>IF(NOT(ISNUMBER(G148)),"n.a.",IF(G148=0,0,IF(AND(B148=B134,A148=EDATE(A134,1),H148=H134,ISNUMBER(I134)),I134+1,1)))</x:f>
        <x:v>3</x:v>
      </x:c>
      <x:c r="J148" s="2" t="n">
        <x:f>IF(ISNUMBER(F148),IF(AND(ABS(F148)+0.00000000001&gt;=$B$7,ABS(E148)+0.000000001&gt;=$D$7),1,0),"n.a.")</x:f>
        <x:v>0</x:v>
      </x:c>
      <x:c r="K148" s="2" t="str">
        <x:f>IF(NOT(ISNUMBER(F148)),"No evaluable",IF(OR(J148=1,I148&gt;=$B$8),"Prioridad",IF(G148=1,"Observar","Sin umbral")))</x:f>
        <x:v>Prioridad</x:v>
      </x:c>
      <x:c r="L148" s="2" t="str">
        <x:f>IF(K148="No evaluable","Faltan datos",IF(J148=1,"Magnitud",IF(I148&gt;=$B$8,"Persistencia",IF(G148=1,"Cambio del mes","Sin umbral"))))</x:f>
        <x:v>Persistencia</x:v>
      </x:c>
      <x:c r="M148" s="2" t="n">
        <x:f>ROW()-40</x:f>
        <x:v>108</x:v>
      </x:c>
    </x:row>
    <x:row r="149" ht="48" customHeight="1">
      <x:c r="A149" s="4" t="n">
        <x:v>45139</x:v>
      </x:c>
      <x:c r="B149" s="32" t="str">
        <x:v>Industria textil</x:v>
      </x:c>
      <x:c r="C149" s="10" t="n">
        <x:f>IF(ISNUMBER('Actividades'!F286),'Actividades'!F286,"n.a.")</x:f>
        <x:v>64.08151747311827</x:v>
      </x:c>
      <x:c r="D149" s="10" t="n">
        <x:f>IF(ISNUMBER('Actividades'!G286),'Actividades'!G286,"n.a.")</x:f>
        <x:v>64.61975268817204</x:v>
      </x:c>
      <x:c r="E149" s="10" t="n">
        <x:f>IF(AND(ISNUMBER(C149),ISNUMBER(D149),C149&gt;=0,D149&gt;0),C149-D149,"n.a.")</x:f>
        <x:v>-0.5382352150537741</x:v>
      </x:c>
      <x:c r="F149" s="12" t="n">
        <x:f>IF(ISNUMBER(E149),E149/D149,"n.a.")</x:f>
        <x:v>-0.008329267641290314</x:v>
      </x:c>
      <x:c r="G149" s="2" t="n">
        <x:f>IF(ISNUMBER(F149),IF(AND(ABS(F149)+0.00000000001&gt;=$B$6,ABS(E149)+0.000000001&gt;=$D$6),1,0),"n.a.")</x:f>
        <x:v>0</x:v>
      </x:c>
      <x:c r="H149" s="2" t="n">
        <x:f>IF(ISNUMBER(E149),SIGN(E149),"n.a.")</x:f>
        <x:v>-1</x:v>
      </x:c>
      <x:c r="I149" s="2" t="n">
        <x:f>IF(NOT(ISNUMBER(G149)),"n.a.",IF(G149=0,0,IF(AND(B149=B135,A149=EDATE(A135,1),H149=H135,ISNUMBER(I135)),I135+1,1)))</x:f>
        <x:v>0</x:v>
      </x:c>
      <x:c r="J149" s="2" t="n">
        <x:f>IF(ISNUMBER(F149),IF(AND(ABS(F149)+0.00000000001&gt;=$B$7,ABS(E149)+0.000000001&gt;=$D$7),1,0),"n.a.")</x:f>
        <x:v>0</x:v>
      </x:c>
      <x:c r="K149" s="2" t="str">
        <x:f>IF(NOT(ISNUMBER(F149)),"No evaluable",IF(OR(J149=1,I149&gt;=$B$8),"Prioridad",IF(G149=1,"Observar","Sin umbral")))</x:f>
        <x:v>Sin umbral</x:v>
      </x:c>
      <x:c r="L149" s="2" t="str">
        <x:f>IF(K149="No evaluable","Faltan datos",IF(J149=1,"Magnitud",IF(I149&gt;=$B$8,"Persistencia",IF(G149=1,"Cambio del mes","Sin umbral"))))</x:f>
        <x:v>Sin umbral</x:v>
      </x:c>
      <x:c r="M149" s="2" t="n">
        <x:f>ROW()-40</x:f>
        <x:v>109</x:v>
      </x:c>
    </x:row>
    <x:row r="150" ht="48" customHeight="1">
      <x:c r="A150" s="4" t="n">
        <x:v>45139</x:v>
      </x:c>
      <x:c r="B150" s="32" t="str">
        <x:v>Químicas, caucho, plástico y otros minerales no metálicos</x:v>
      </x:c>
      <x:c r="C150" s="10" t="n">
        <x:f>IF(ISNUMBER('Actividades'!F287),'Actividades'!F287,"n.a.")</x:f>
        <x:v>322.2451680107527</x:v>
      </x:c>
      <x:c r="D150" s="10" t="n">
        <x:f>IF(ISNUMBER('Actividades'!G287),'Actividades'!G287,"n.a.")</x:f>
        <x:v>309.6252069892473</x:v>
      </x:c>
      <x:c r="E150" s="10" t="n">
        <x:f>IF(AND(ISNUMBER(C150),ISNUMBER(D150),C150&gt;=0,D150&gt;0),C150-D150,"n.a.")</x:f>
        <x:v>12.61996102150539</x:v>
      </x:c>
      <x:c r="F150" s="12" t="n">
        <x:f>IF(ISNUMBER(E150),E150/D150,"n.a.")</x:f>
        <x:v>0.040758829502998625</x:v>
      </x:c>
      <x:c r="G150" s="2" t="n">
        <x:f>IF(ISNUMBER(F150),IF(AND(ABS(F150)+0.00000000001&gt;=$B$6,ABS(E150)+0.000000001&gt;=$D$6),1,0),"n.a.")</x:f>
        <x:v>0</x:v>
      </x:c>
      <x:c r="H150" s="2" t="n">
        <x:f>IF(ISNUMBER(E150),SIGN(E150),"n.a.")</x:f>
        <x:v>1</x:v>
      </x:c>
      <x:c r="I150" s="2" t="n">
        <x:f>IF(NOT(ISNUMBER(G150)),"n.a.",IF(G150=0,0,IF(AND(B150=B136,A150=EDATE(A136,1),H150=H136,ISNUMBER(I136)),I136+1,1)))</x:f>
        <x:v>0</x:v>
      </x:c>
      <x:c r="J150" s="2" t="n">
        <x:f>IF(ISNUMBER(F150),IF(AND(ABS(F150)+0.00000000001&gt;=$B$7,ABS(E150)+0.000000001&gt;=$D$7),1,0),"n.a.")</x:f>
        <x:v>0</x:v>
      </x:c>
      <x:c r="K150" s="2" t="str">
        <x:f>IF(NOT(ISNUMBER(F150)),"No evaluable",IF(OR(J150=1,I150&gt;=$B$8),"Prioridad",IF(G150=1,"Observar","Sin umbral")))</x:f>
        <x:v>Sin umbral</x:v>
      </x:c>
      <x:c r="L150" s="2" t="str">
        <x:f>IF(K150="No evaluable","Faltan datos",IF(J150=1,"Magnitud",IF(I150&gt;=$B$8,"Persistencia",IF(G150=1,"Cambio del mes","Sin umbral"))))</x:f>
        <x:v>Sin umbral</x:v>
      </x:c>
      <x:c r="M150" s="2" t="n">
        <x:f>ROW()-40</x:f>
        <x:v>110</x:v>
      </x:c>
    </x:row>
    <x:row r="151" ht="48" customHeight="1">
      <x:c r="A151" s="4" t="n">
        <x:v>45139</x:v>
      </x:c>
      <x:c r="B151" s="32" t="str">
        <x:v>Extracción de minerales</x:v>
      </x:c>
      <x:c r="C151" s="10" t="n">
        <x:f>IF(ISNUMBER('Actividades'!F288),'Actividades'!F288,"n.a.")</x:f>
        <x:v>23.121170698924733</x:v>
      </x:c>
      <x:c r="D151" s="10" t="n">
        <x:f>IF(ISNUMBER('Actividades'!G288),'Actividades'!G288,"n.a.")</x:f>
        <x:v>20.651995967741936</x:v>
      </x:c>
      <x:c r="E151" s="10" t="n">
        <x:f>IF(AND(ISNUMBER(C151),ISNUMBER(D151),C151&gt;=0,D151&gt;0),C151-D151,"n.a.")</x:f>
        <x:v>2.4691747311827967</x:v>
      </x:c>
      <x:c r="F151" s="12" t="n">
        <x:f>IF(ISNUMBER(E151),E151/D151,"n.a.")</x:f>
        <x:v>0.11956106978907052</x:v>
      </x:c>
      <x:c r="G151" s="2" t="n">
        <x:f>IF(ISNUMBER(F151),IF(AND(ABS(F151)+0.00000000001&gt;=$B$6,ABS(E151)+0.000000001&gt;=$D$6),1,0),"n.a.")</x:f>
        <x:v>0</x:v>
      </x:c>
      <x:c r="H151" s="2" t="n">
        <x:f>IF(ISNUMBER(E151),SIGN(E151),"n.a.")</x:f>
        <x:v>1</x:v>
      </x:c>
      <x:c r="I151" s="2" t="n">
        <x:f>IF(NOT(ISNUMBER(G151)),"n.a.",IF(G151=0,0,IF(AND(B151=B137,A151=EDATE(A137,1),H151=H137,ISNUMBER(I137)),I137+1,1)))</x:f>
        <x:v>0</x:v>
      </x:c>
      <x:c r="J151" s="2" t="n">
        <x:f>IF(ISNUMBER(F151),IF(AND(ABS(F151)+0.00000000001&gt;=$B$7,ABS(E151)+0.000000001&gt;=$D$7),1,0),"n.a.")</x:f>
        <x:v>0</x:v>
      </x:c>
      <x:c r="K151" s="2" t="str">
        <x:f>IF(NOT(ISNUMBER(F151)),"No evaluable",IF(OR(J151=1,I151&gt;=$B$8),"Prioridad",IF(G151=1,"Observar","Sin umbral")))</x:f>
        <x:v>Sin umbral</x:v>
      </x:c>
      <x:c r="L151" s="2" t="str">
        <x:f>IF(K151="No evaluable","Faltan datos",IF(J151=1,"Magnitud",IF(I151&gt;=$B$8,"Persistencia",IF(G151=1,"Cambio del mes","Sin umbral"))))</x:f>
        <x:v>Sin umbral</x:v>
      </x:c>
      <x:c r="M151" s="2" t="n">
        <x:f>ROW()-40</x:f>
        <x:v>111</x:v>
      </x:c>
    </x:row>
    <x:row r="152" ht="48" customHeight="1">
      <x:c r="A152" s="4" t="n">
        <x:v>45139</x:v>
      </x:c>
      <x:c r="B152" s="32" t="str">
        <x:v>Extracción de petróleo</x:v>
      </x:c>
      <x:c r="C152" s="10" t="n">
        <x:f>IF(ISNUMBER('Actividades'!F289),'Actividades'!F289,"n.a.")</x:f>
        <x:v>165.5475309139785</x:v>
      </x:c>
      <x:c r="D152" s="10" t="n">
        <x:f>IF(ISNUMBER('Actividades'!G289),'Actividades'!G289,"n.a.")</x:f>
        <x:v>155.16408467741934</x:v>
      </x:c>
      <x:c r="E152" s="10" t="n">
        <x:f>IF(AND(ISNUMBER(C152),ISNUMBER(D152),C152&gt;=0,D152&gt;0),C152-D152,"n.a.")</x:f>
        <x:v>10.383446236559166</x:v>
      </x:c>
      <x:c r="F152" s="12" t="n">
        <x:f>IF(ISNUMBER(E152),E152/D152,"n.a.")</x:f>
        <x:v>0.06691913439985796</x:v>
      </x:c>
      <x:c r="G152" s="2" t="n">
        <x:f>IF(ISNUMBER(F152),IF(AND(ABS(F152)+0.00000000001&gt;=$B$6,ABS(E152)+0.000000001&gt;=$D$6),1,0),"n.a.")</x:f>
        <x:v>0</x:v>
      </x:c>
      <x:c r="H152" s="2" t="n">
        <x:f>IF(ISNUMBER(E152),SIGN(E152),"n.a.")</x:f>
        <x:v>1</x:v>
      </x:c>
      <x:c r="I152" s="2" t="n">
        <x:f>IF(NOT(ISNUMBER(G152)),"n.a.",IF(G152=0,0,IF(AND(B152=B138,A152=EDATE(A138,1),H152=H138,ISNUMBER(I138)),I138+1,1)))</x:f>
        <x:v>0</x:v>
      </x:c>
      <x:c r="J152" s="2" t="n">
        <x:f>IF(ISNUMBER(F152),IF(AND(ABS(F152)+0.00000000001&gt;=$B$7,ABS(E152)+0.000000001&gt;=$D$7),1,0),"n.a.")</x:f>
        <x:v>0</x:v>
      </x:c>
      <x:c r="K152" s="2" t="str">
        <x:f>IF(NOT(ISNUMBER(F152)),"No evaluable",IF(OR(J152=1,I152&gt;=$B$8),"Prioridad",IF(G152=1,"Observar","Sin umbral")))</x:f>
        <x:v>Sin umbral</x:v>
      </x:c>
      <x:c r="L152" s="2" t="str">
        <x:f>IF(K152="No evaluable","Faltan datos",IF(J152=1,"Magnitud",IF(I152&gt;=$B$8,"Persistencia",IF(G152=1,"Cambio del mes","Sin umbral"))))</x:f>
        <x:v>Sin umbral</x:v>
      </x:c>
      <x:c r="M152" s="2" t="n">
        <x:f>ROW()-40</x:f>
        <x:v>112</x:v>
      </x:c>
    </x:row>
    <x:row r="153" ht="48" customHeight="1">
      <x:c r="A153" s="4" t="n">
        <x:v>45170</x:v>
      </x:c>
      <x:c r="B153" s="32" t="str">
        <x:v>Cargas y puertos</x:v>
      </x:c>
      <x:c r="C153" s="10" t="n">
        <x:f>IF(ISNUMBER('Actividades'!F290),'Actividades'!F290,"n.a.")</x:f>
        <x:v>9.090315277777778</x:v>
      </x:c>
      <x:c r="D153" s="10" t="n">
        <x:f>IF(ISNUMBER('Actividades'!G290),'Actividades'!G290,"n.a.")</x:f>
        <x:v>7.475506944444445</x:v>
      </x:c>
      <x:c r="E153" s="10" t="n">
        <x:f>IF(AND(ISNUMBER(C153),ISNUMBER(D153),C153&gt;=0,D153&gt;0),C153-D153,"n.a.")</x:f>
        <x:v>1.6148083333333334</x:v>
      </x:c>
      <x:c r="F153" s="12" t="n">
        <x:f>IF(ISNUMBER(E153),E153/D153,"n.a.")</x:f>
        <x:v>0.21601322095398584</x:v>
      </x:c>
      <x:c r="G153" s="2" t="n">
        <x:f>IF(ISNUMBER(F153),IF(AND(ABS(F153)+0.00000000001&gt;=$B$6,ABS(E153)+0.000000001&gt;=$D$6),1,0),"n.a.")</x:f>
        <x:v>0</x:v>
      </x:c>
      <x:c r="H153" s="2" t="n">
        <x:f>IF(ISNUMBER(E153),SIGN(E153),"n.a.")</x:f>
        <x:v>1</x:v>
      </x:c>
      <x:c r="I153" s="2" t="n">
        <x:f>IF(NOT(ISNUMBER(G153)),"n.a.",IF(G153=0,0,IF(AND(B153=B139,A153=EDATE(A139,1),H153=H139,ISNUMBER(I139)),I139+1,1)))</x:f>
        <x:v>0</x:v>
      </x:c>
      <x:c r="J153" s="2" t="n">
        <x:f>IF(ISNUMBER(F153),IF(AND(ABS(F153)+0.00000000001&gt;=$B$7,ABS(E153)+0.000000001&gt;=$D$7),1,0),"n.a.")</x:f>
        <x:v>0</x:v>
      </x:c>
      <x:c r="K153" s="2" t="str">
        <x:f>IF(NOT(ISNUMBER(F153)),"No evaluable",IF(OR(J153=1,I153&gt;=$B$8),"Prioridad",IF(G153=1,"Observar","Sin umbral")))</x:f>
        <x:v>Sin umbral</x:v>
      </x:c>
      <x:c r="L153" s="2" t="str">
        <x:f>IF(K153="No evaluable","Faltan datos",IF(J153=1,"Magnitud",IF(I153&gt;=$B$8,"Persistencia",IF(G153=1,"Cambio del mes","Sin umbral"))))</x:f>
        <x:v>Sin umbral</x:v>
      </x:c>
      <x:c r="M153" s="2" t="n">
        <x:f>ROW()-40</x:f>
        <x:v>113</x:v>
      </x:c>
    </x:row>
    <x:row r="154" ht="48" customHeight="1">
      <x:c r="A154" s="4" t="n">
        <x:v>45170</x:v>
      </x:c>
      <x:c r="B154" s="32" t="str">
        <x:v>Comercio y servicios: principalmente supermercados y centros comerciales</x:v>
      </x:c>
      <x:c r="C154" s="10" t="n">
        <x:f>IF(ISNUMBER('Actividades'!F291),'Actividades'!F291,"n.a.")</x:f>
        <x:v>28.15529861111111</x:v>
      </x:c>
      <x:c r="D154" s="10" t="n">
        <x:f>IF(ISNUMBER('Actividades'!G291),'Actividades'!G291,"n.a.")</x:f>
        <x:v>29.170405555555554</x:v>
      </x:c>
      <x:c r="E154" s="10" t="n">
        <x:f>IF(AND(ISNUMBER(C154),ISNUMBER(D154),C154&gt;=0,D154&gt;0),C154-D154,"n.a.")</x:f>
        <x:v>-1.0151069444444438</x:v>
      </x:c>
      <x:c r="F154" s="12" t="n">
        <x:f>IF(ISNUMBER(E154),E154/D154,"n.a.")</x:f>
        <x:v>-0.0347992057399118</x:v>
      </x:c>
      <x:c r="G154" s="2" t="n">
        <x:f>IF(ISNUMBER(F154),IF(AND(ABS(F154)+0.00000000001&gt;=$B$6,ABS(E154)+0.000000001&gt;=$D$6),1,0),"n.a.")</x:f>
        <x:v>0</x:v>
      </x:c>
      <x:c r="H154" s="2" t="n">
        <x:f>IF(ISNUMBER(E154),SIGN(E154),"n.a.")</x:f>
        <x:v>-1</x:v>
      </x:c>
      <x:c r="I154" s="2" t="n">
        <x:f>IF(NOT(ISNUMBER(G154)),"n.a.",IF(G154=0,0,IF(AND(B154=B140,A154=EDATE(A140,1),H154=H140,ISNUMBER(I140)),I140+1,1)))</x:f>
        <x:v>0</x:v>
      </x:c>
      <x:c r="J154" s="2" t="n">
        <x:f>IF(ISNUMBER(F154),IF(AND(ABS(F154)+0.00000000001&gt;=$B$7,ABS(E154)+0.000000001&gt;=$D$7),1,0),"n.a.")</x:f>
        <x:v>0</x:v>
      </x:c>
      <x:c r="K154" s="2" t="str">
        <x:f>IF(NOT(ISNUMBER(F154)),"No evaluable",IF(OR(J154=1,I154&gt;=$B$8),"Prioridad",IF(G154=1,"Observar","Sin umbral")))</x:f>
        <x:v>Sin umbral</x:v>
      </x:c>
      <x:c r="L154" s="2" t="str">
        <x:f>IF(K154="No evaluable","Faltan datos",IF(J154=1,"Magnitud",IF(I154&gt;=$B$8,"Persistencia",IF(G154=1,"Cambio del mes","Sin umbral"))))</x:f>
        <x:v>Sin umbral</x:v>
      </x:c>
      <x:c r="M154" s="2" t="n">
        <x:f>ROW()-40</x:f>
        <x:v>114</x:v>
      </x:c>
    </x:row>
    <x:row r="155" ht="48" customHeight="1">
      <x:c r="A155" s="4" t="n">
        <x:v>45170</x:v>
      </x:c>
      <x:c r="B155" s="32" t="str">
        <x:v>Alimentación y artículos de consumo masivo</x:v>
      </x:c>
      <x:c r="C155" s="10" t="n">
        <x:f>IF(ISNUMBER('Actividades'!F292),'Actividades'!F292,"n.a.")</x:f>
        <x:v>264.2902</x:v>
      </x:c>
      <x:c r="D155" s="10" t="n">
        <x:f>IF(ISNUMBER('Actividades'!G292),'Actividades'!G292,"n.a.")</x:f>
        <x:v>274.391175</x:v>
      </x:c>
      <x:c r="E155" s="10" t="n">
        <x:f>IF(AND(ISNUMBER(C155),ISNUMBER(D155),C155&gt;=0,D155&gt;0),C155-D155,"n.a.")</x:f>
        <x:v>-10.100974999999949</x:v>
      </x:c>
      <x:c r="F155" s="12" t="n">
        <x:f>IF(ISNUMBER(E155),E155/D155,"n.a.")</x:f>
        <x:v>-0.036812317305758645</x:v>
      </x:c>
      <x:c r="G155" s="2" t="n">
        <x:f>IF(ISNUMBER(F155),IF(AND(ABS(F155)+0.00000000001&gt;=$B$6,ABS(E155)+0.000000001&gt;=$D$6),1,0),"n.a.")</x:f>
        <x:v>0</x:v>
      </x:c>
      <x:c r="H155" s="2" t="n">
        <x:f>IF(ISNUMBER(E155),SIGN(E155),"n.a.")</x:f>
        <x:v>-1</x:v>
      </x:c>
      <x:c r="I155" s="2" t="n">
        <x:f>IF(NOT(ISNUMBER(G155)),"n.a.",IF(G155=0,0,IF(AND(B155=B141,A155=EDATE(A141,1),H155=H141,ISNUMBER(I141)),I141+1,1)))</x:f>
        <x:v>0</x:v>
      </x:c>
      <x:c r="J155" s="2" t="n">
        <x:f>IF(ISNUMBER(F155),IF(AND(ABS(F155)+0.00000000001&gt;=$B$7,ABS(E155)+0.000000001&gt;=$D$7),1,0),"n.a.")</x:f>
        <x:v>0</x:v>
      </x:c>
      <x:c r="K155" s="2" t="str">
        <x:f>IF(NOT(ISNUMBER(F155)),"No evaluable",IF(OR(J155=1,I155&gt;=$B$8),"Prioridad",IF(G155=1,"Observar","Sin umbral")))</x:f>
        <x:v>Sin umbral</x:v>
      </x:c>
      <x:c r="L155" s="2" t="str">
        <x:f>IF(K155="No evaluable","Faltan datos",IF(J155=1,"Magnitud",IF(I155&gt;=$B$8,"Persistencia",IF(G155=1,"Cambio del mes","Sin umbral"))))</x:f>
        <x:v>Sin umbral</x:v>
      </x:c>
      <x:c r="M155" s="2" t="n">
        <x:f>ROW()-40</x:f>
        <x:v>115</x:v>
      </x:c>
    </x:row>
    <x:row r="156" ht="48" customHeight="1">
      <x:c r="A156" s="4" t="n">
        <x:v>45170</x:v>
      </x:c>
      <x:c r="B156" s="32" t="str">
        <x:v>Servicios públicos y transporte: agua y transporte en GBA</x:v>
      </x:c>
      <x:c r="C156" s="10" t="n">
        <x:f>IF(ISNUMBER('Actividades'!F293),'Actividades'!F293,"n.a.")</x:f>
        <x:v>88.62477638888889</x:v>
      </x:c>
      <x:c r="D156" s="10" t="n">
        <x:f>IF(ISNUMBER('Actividades'!G293),'Actividades'!G293,"n.a.")</x:f>
        <x:v>82.98807777777778</x:v>
      </x:c>
      <x:c r="E156" s="10" t="n">
        <x:f>IF(AND(ISNUMBER(C156),ISNUMBER(D156),C156&gt;=0,D156&gt;0),C156-D156,"n.a.")</x:f>
        <x:v>5.636698611111115</x:v>
      </x:c>
      <x:c r="F156" s="12" t="n">
        <x:f>IF(ISNUMBER(E156),E156/D156,"n.a.")</x:f>
        <x:v>0.06792178782842573</x:v>
      </x:c>
      <x:c r="G156" s="2" t="n">
        <x:f>IF(ISNUMBER(F156),IF(AND(ABS(F156)+0.00000000001&gt;=$B$6,ABS(E156)+0.000000001&gt;=$D$6),1,0),"n.a.")</x:f>
        <x:v>0</x:v>
      </x:c>
      <x:c r="H156" s="2" t="n">
        <x:f>IF(ISNUMBER(E156),SIGN(E156),"n.a.")</x:f>
        <x:v>1</x:v>
      </x:c>
      <x:c r="I156" s="2" t="n">
        <x:f>IF(NOT(ISNUMBER(G156)),"n.a.",IF(G156=0,0,IF(AND(B156=B142,A156=EDATE(A142,1),H156=H142,ISNUMBER(I142)),I142+1,1)))</x:f>
        <x:v>0</x:v>
      </x:c>
      <x:c r="J156" s="2" t="n">
        <x:f>IF(ISNUMBER(F156),IF(AND(ABS(F156)+0.00000000001&gt;=$B$7,ABS(E156)+0.000000001&gt;=$D$7),1,0),"n.a.")</x:f>
        <x:v>0</x:v>
      </x:c>
      <x:c r="K156" s="2" t="str">
        <x:f>IF(NOT(ISNUMBER(F156)),"No evaluable",IF(OR(J156=1,I156&gt;=$B$8),"Prioridad",IF(G156=1,"Observar","Sin umbral")))</x:f>
        <x:v>Sin umbral</x:v>
      </x:c>
      <x:c r="L156" s="2" t="str">
        <x:f>IF(K156="No evaluable","Faltan datos",IF(J156=1,"Magnitud",IF(I156&gt;=$B$8,"Persistencia",IF(G156=1,"Cambio del mes","Sin umbral"))))</x:f>
        <x:v>Sin umbral</x:v>
      </x:c>
      <x:c r="M156" s="2" t="n">
        <x:f>ROW()-40</x:f>
        <x:v>116</x:v>
      </x:c>
    </x:row>
    <x:row r="157" ht="48" customHeight="1">
      <x:c r="A157" s="4" t="n">
        <x:v>45170</x:v>
      </x:c>
      <x:c r="B157" s="32" t="str">
        <x:v>Industria automotriz</x:v>
      </x:c>
      <x:c r="C157" s="10" t="n">
        <x:f>IF(ISNUMBER('Actividades'!F294),'Actividades'!F294,"n.a.")</x:f>
        <x:v>38.29168611111111</x:v>
      </x:c>
      <x:c r="D157" s="10" t="n">
        <x:f>IF(ISNUMBER('Actividades'!G294),'Actividades'!G294,"n.a.")</x:f>
        <x:v>37.15708055555556</x:v>
      </x:c>
      <x:c r="E157" s="10" t="n">
        <x:f>IF(AND(ISNUMBER(C157),ISNUMBER(D157),C157&gt;=0,D157&gt;0),C157-D157,"n.a.")</x:f>
        <x:v>1.1346055555555523</x:v>
      </x:c>
      <x:c r="F157" s="12" t="n">
        <x:f>IF(ISNUMBER(E157),E157/D157,"n.a.")</x:f>
        <x:v>0.030535379491376944</x:v>
      </x:c>
      <x:c r="G157" s="2" t="n">
        <x:f>IF(ISNUMBER(F157),IF(AND(ABS(F157)+0.00000000001&gt;=$B$6,ABS(E157)+0.000000001&gt;=$D$6),1,0),"n.a.")</x:f>
        <x:v>0</x:v>
      </x:c>
      <x:c r="H157" s="2" t="n">
        <x:f>IF(ISNUMBER(E157),SIGN(E157),"n.a.")</x:f>
        <x:v>1</x:v>
      </x:c>
      <x:c r="I157" s="2" t="n">
        <x:f>IF(NOT(ISNUMBER(G157)),"n.a.",IF(G157=0,0,IF(AND(B157=B143,A157=EDATE(A143,1),H157=H143,ISNUMBER(I143)),I143+1,1)))</x:f>
        <x:v>0</x:v>
      </x:c>
      <x:c r="J157" s="2" t="n">
        <x:f>IF(ISNUMBER(F157),IF(AND(ABS(F157)+0.00000000001&gt;=$B$7,ABS(E157)+0.000000001&gt;=$D$7),1,0),"n.a.")</x:f>
        <x:v>0</x:v>
      </x:c>
      <x:c r="K157" s="2" t="str">
        <x:f>IF(NOT(ISNUMBER(F157)),"No evaluable",IF(OR(J157=1,I157&gt;=$B$8),"Prioridad",IF(G157=1,"Observar","Sin umbral")))</x:f>
        <x:v>Sin umbral</x:v>
      </x:c>
      <x:c r="L157" s="2" t="str">
        <x:f>IF(K157="No evaluable","Faltan datos",IF(J157=1,"Magnitud",IF(I157&gt;=$B$8,"Persistencia",IF(G157=1,"Cambio del mes","Sin umbral"))))</x:f>
        <x:v>Sin umbral</x:v>
      </x:c>
      <x:c r="M157" s="2" t="n">
        <x:f>ROW()-40</x:f>
        <x:v>117</x:v>
      </x:c>
    </x:row>
    <x:row r="158" ht="48" customHeight="1">
      <x:c r="A158" s="4" t="n">
        <x:v>45170</x:v>
      </x:c>
      <x:c r="B158" s="32" t="str">
        <x:v>Derivados de petróleo</x:v>
      </x:c>
      <x:c r="C158" s="10" t="n">
        <x:f>IF(ISNUMBER('Actividades'!F295),'Actividades'!F295,"n.a.")</x:f>
        <x:v>154.9575</x:v>
      </x:c>
      <x:c r="D158" s="10" t="n">
        <x:f>IF(ISNUMBER('Actividades'!G295),'Actividades'!G295,"n.a.")</x:f>
        <x:v>155.6003777777778</x:v>
      </x:c>
      <x:c r="E158" s="10" t="n">
        <x:f>IF(AND(ISNUMBER(C158),ISNUMBER(D158),C158&gt;=0,D158&gt;0),C158-D158,"n.a.")</x:f>
        <x:v>-0.6428777777777839</x:v>
      </x:c>
      <x:c r="F158" s="12" t="n">
        <x:f>IF(ISNUMBER(E158),E158/D158,"n.a.")</x:f>
        <x:v>-0.00413159522463317</x:v>
      </x:c>
      <x:c r="G158" s="2" t="n">
        <x:f>IF(ISNUMBER(F158),IF(AND(ABS(F158)+0.00000000001&gt;=$B$6,ABS(E158)+0.000000001&gt;=$D$6),1,0),"n.a.")</x:f>
        <x:v>0</x:v>
      </x:c>
      <x:c r="H158" s="2" t="n">
        <x:f>IF(ISNUMBER(E158),SIGN(E158),"n.a.")</x:f>
        <x:v>-1</x:v>
      </x:c>
      <x:c r="I158" s="2" t="n">
        <x:f>IF(NOT(ISNUMBER(G158)),"n.a.",IF(G158=0,0,IF(AND(B158=B144,A158=EDATE(A144,1),H158=H144,ISNUMBER(I144)),I144+1,1)))</x:f>
        <x:v>0</x:v>
      </x:c>
      <x:c r="J158" s="2" t="n">
        <x:f>IF(ISNUMBER(F158),IF(AND(ABS(F158)+0.00000000001&gt;=$B$7,ABS(E158)+0.000000001&gt;=$D$7),1,0),"n.a.")</x:f>
        <x:v>0</x:v>
      </x:c>
      <x:c r="K158" s="2" t="str">
        <x:f>IF(NOT(ISNUMBER(F158)),"No evaluable",IF(OR(J158=1,I158&gt;=$B$8),"Prioridad",IF(G158=1,"Observar","Sin umbral")))</x:f>
        <x:v>Sin umbral</x:v>
      </x:c>
      <x:c r="L158" s="2" t="str">
        <x:f>IF(K158="No evaluable","Faltan datos",IF(J158=1,"Magnitud",IF(I158&gt;=$B$8,"Persistencia",IF(G158=1,"Cambio del mes","Sin umbral"))))</x:f>
        <x:v>Sin umbral</x:v>
      </x:c>
      <x:c r="M158" s="2" t="n">
        <x:f>ROW()-40</x:f>
        <x:v>118</x:v>
      </x:c>
    </x:row>
    <x:row r="159" ht="48" customHeight="1">
      <x:c r="A159" s="4" t="n">
        <x:v>45170</x:v>
      </x:c>
      <x:c r="B159" s="32" t="str">
        <x:v>Construcción: elaboración de cemento y canteras</x:v>
      </x:c>
      <x:c r="C159" s="10" t="n">
        <x:f>IF(ISNUMBER('Actividades'!F296),'Actividades'!F296,"n.a.")</x:f>
        <x:v>186.83173472222222</x:v>
      </x:c>
      <x:c r="D159" s="10" t="n">
        <x:f>IF(ISNUMBER('Actividades'!G296),'Actividades'!G296,"n.a.")</x:f>
        <x:v>185.78671944444443</x:v>
      </x:c>
      <x:c r="E159" s="10" t="n">
        <x:f>IF(AND(ISNUMBER(C159),ISNUMBER(D159),C159&gt;=0,D159&gt;0),C159-D159,"n.a.")</x:f>
        <x:v>1.045015277777793</x:v>
      </x:c>
      <x:c r="F159" s="12" t="n">
        <x:f>IF(ISNUMBER(E159),E159/D159,"n.a.")</x:f>
        <x:v>0.005624811509147093</x:v>
      </x:c>
      <x:c r="G159" s="2" t="n">
        <x:f>IF(ISNUMBER(F159),IF(AND(ABS(F159)+0.00000000001&gt;=$B$6,ABS(E159)+0.000000001&gt;=$D$6),1,0),"n.a.")</x:f>
        <x:v>0</x:v>
      </x:c>
      <x:c r="H159" s="2" t="n">
        <x:f>IF(ISNUMBER(E159),SIGN(E159),"n.a.")</x:f>
        <x:v>1</x:v>
      </x:c>
      <x:c r="I159" s="2" t="n">
        <x:f>IF(NOT(ISNUMBER(G159)),"n.a.",IF(G159=0,0,IF(AND(B159=B145,A159=EDATE(A145,1),H159=H145,ISNUMBER(I145)),I145+1,1)))</x:f>
        <x:v>0</x:v>
      </x:c>
      <x:c r="J159" s="2" t="n">
        <x:f>IF(ISNUMBER(F159),IF(AND(ABS(F159)+0.00000000001&gt;=$B$7,ABS(E159)+0.000000001&gt;=$D$7),1,0),"n.a.")</x:f>
        <x:v>0</x:v>
      </x:c>
      <x:c r="K159" s="2" t="str">
        <x:f>IF(NOT(ISNUMBER(F159)),"No evaluable",IF(OR(J159=1,I159&gt;=$B$8),"Prioridad",IF(G159=1,"Observar","Sin umbral")))</x:f>
        <x:v>Sin umbral</x:v>
      </x:c>
      <x:c r="L159" s="2" t="str">
        <x:f>IF(K159="No evaluable","Faltan datos",IF(J159=1,"Magnitud",IF(I159&gt;=$B$8,"Persistencia",IF(G159=1,"Cambio del mes","Sin umbral"))))</x:f>
        <x:v>Sin umbral</x:v>
      </x:c>
      <x:c r="M159" s="2" t="n">
        <x:f>ROW()-40</x:f>
        <x:v>119</x:v>
      </x:c>
    </x:row>
    <x:row r="160" ht="48" customHeight="1">
      <x:c r="A160" s="4" t="n">
        <x:v>45170</x:v>
      </x:c>
      <x:c r="B160" s="32" t="str">
        <x:v>Madera y papel</x:v>
      </x:c>
      <x:c r="C160" s="10" t="n">
        <x:f>IF(ISNUMBER('Actividades'!F297),'Actividades'!F297,"n.a.")</x:f>
        <x:v>110.37756388888889</x:v>
      </x:c>
      <x:c r="D160" s="10" t="n">
        <x:f>IF(ISNUMBER('Actividades'!G297),'Actividades'!G297,"n.a.")</x:f>
        <x:v>109.43196527777778</x:v>
      </x:c>
      <x:c r="E160" s="10" t="n">
        <x:f>IF(AND(ISNUMBER(C160),ISNUMBER(D160),C160&gt;=0,D160&gt;0),C160-D160,"n.a.")</x:f>
        <x:v>0.9455986111111088</x:v>
      </x:c>
      <x:c r="F160" s="12" t="n">
        <x:f>IF(ISNUMBER(E160),E160/D160,"n.a.")</x:f>
        <x:v>0.008640972577901153</x:v>
      </x:c>
      <x:c r="G160" s="2" t="n">
        <x:f>IF(ISNUMBER(F160),IF(AND(ABS(F160)+0.00000000001&gt;=$B$6,ABS(E160)+0.000000001&gt;=$D$6),1,0),"n.a.")</x:f>
        <x:v>0</x:v>
      </x:c>
      <x:c r="H160" s="2" t="n">
        <x:f>IF(ISNUMBER(E160),SIGN(E160),"n.a.")</x:f>
        <x:v>1</x:v>
      </x:c>
      <x:c r="I160" s="2" t="n">
        <x:f>IF(NOT(ISNUMBER(G160)),"n.a.",IF(G160=0,0,IF(AND(B160=B146,A160=EDATE(A146,1),H160=H146,ISNUMBER(I146)),I146+1,1)))</x:f>
        <x:v>0</x:v>
      </x:c>
      <x:c r="J160" s="2" t="n">
        <x:f>IF(ISNUMBER(F160),IF(AND(ABS(F160)+0.00000000001&gt;=$B$7,ABS(E160)+0.000000001&gt;=$D$7),1,0),"n.a.")</x:f>
        <x:v>0</x:v>
      </x:c>
      <x:c r="K160" s="2" t="str">
        <x:f>IF(NOT(ISNUMBER(F160)),"No evaluable",IF(OR(J160=1,I160&gt;=$B$8),"Prioridad",IF(G160=1,"Observar","Sin umbral")))</x:f>
        <x:v>Sin umbral</x:v>
      </x:c>
      <x:c r="L160" s="2" t="str">
        <x:f>IF(K160="No evaluable","Faltan datos",IF(J160=1,"Magnitud",IF(I160&gt;=$B$8,"Persistencia",IF(G160=1,"Cambio del mes","Sin umbral"))))</x:f>
        <x:v>Sin umbral</x:v>
      </x:c>
      <x:c r="M160" s="2" t="n">
        <x:f>ROW()-40</x:f>
        <x:v>120</x:v>
      </x:c>
    </x:row>
    <x:row r="161" ht="48" customHeight="1">
      <x:c r="A161" s="4" t="n">
        <x:v>45170</x:v>
      </x:c>
      <x:c r="B161" s="32" t="str">
        <x:v>Productos metálicos no automotores</x:v>
      </x:c>
      <x:c r="C161" s="10" t="n">
        <x:f>IF(ISNUMBER('Actividades'!F298),'Actividades'!F298,"n.a.")</x:f>
        <x:v>51.78169305555556</x:v>
      </x:c>
      <x:c r="D161" s="10" t="n">
        <x:f>IF(ISNUMBER('Actividades'!G298),'Actividades'!G298,"n.a.")</x:f>
        <x:v>64.4261625</x:v>
      </x:c>
      <x:c r="E161" s="10" t="n">
        <x:f>IF(AND(ISNUMBER(C161),ISNUMBER(D161),C161&gt;=0,D161&gt;0),C161-D161,"n.a.")</x:f>
        <x:v>-12.644469444444447</x:v>
      </x:c>
      <x:c r="F161" s="12" t="n">
        <x:f>IF(ISNUMBER(E161),E161/D161,"n.a.")</x:f>
        <x:v>-0.19626296140864274</x:v>
      </x:c>
      <x:c r="G161" s="2" t="n">
        <x:f>IF(ISNUMBER(F161),IF(AND(ABS(F161)+0.00000000001&gt;=$B$6,ABS(E161)+0.000000001&gt;=$D$6),1,0),"n.a.")</x:f>
        <x:v>1</x:v>
      </x:c>
      <x:c r="H161" s="2" t="n">
        <x:f>IF(ISNUMBER(E161),SIGN(E161),"n.a.")</x:f>
        <x:v>-1</x:v>
      </x:c>
      <x:c r="I161" s="2" t="n">
        <x:f>IF(NOT(ISNUMBER(G161)),"n.a.",IF(G161=0,0,IF(AND(B161=B147,A161=EDATE(A147,1),H161=H147,ISNUMBER(I147)),I147+1,1)))</x:f>
        <x:v>9</x:v>
      </x:c>
      <x:c r="J161" s="2" t="n">
        <x:f>IF(ISNUMBER(F161),IF(AND(ABS(F161)+0.00000000001&gt;=$B$7,ABS(E161)+0.000000001&gt;=$D$7),1,0),"n.a.")</x:f>
        <x:v>0</x:v>
      </x:c>
      <x:c r="K161" s="2" t="str">
        <x:f>IF(NOT(ISNUMBER(F161)),"No evaluable",IF(OR(J161=1,I161&gt;=$B$8),"Prioridad",IF(G161=1,"Observar","Sin umbral")))</x:f>
        <x:v>Prioridad</x:v>
      </x:c>
      <x:c r="L161" s="2" t="str">
        <x:f>IF(K161="No evaluable","Faltan datos",IF(J161=1,"Magnitud",IF(I161&gt;=$B$8,"Persistencia",IF(G161=1,"Cambio del mes","Sin umbral"))))</x:f>
        <x:v>Persistencia</x:v>
      </x:c>
      <x:c r="M161" s="2" t="n">
        <x:f>ROW()-40</x:f>
        <x:v>121</x:v>
      </x:c>
    </x:row>
    <x:row r="162" ht="48" customHeight="1">
      <x:c r="A162" s="4" t="n">
        <x:v>45170</x:v>
      </x:c>
      <x:c r="B162" s="32" t="str">
        <x:v>Gran siderurgia</x:v>
      </x:c>
      <x:c r="C162" s="10" t="n">
        <x:f>IF(ISNUMBER('Actividades'!F299),'Actividades'!F299,"n.a.")</x:f>
        <x:v>372.39305972222223</x:v>
      </x:c>
      <x:c r="D162" s="10" t="n">
        <x:f>IF(ISNUMBER('Actividades'!G299),'Actividades'!G299,"n.a.")</x:f>
        <x:v>370.34691111111107</x:v>
      </x:c>
      <x:c r="E162" s="10" t="n">
        <x:f>IF(AND(ISNUMBER(C162),ISNUMBER(D162),C162&gt;=0,D162&gt;0),C162-D162,"n.a.")</x:f>
        <x:v>2.046148611111164</x:v>
      </x:c>
      <x:c r="F162" s="12" t="n">
        <x:f>IF(ISNUMBER(E162),E162/D162,"n.a.")</x:f>
        <x:v>0.005524951200409177</x:v>
      </x:c>
      <x:c r="G162" s="2" t="n">
        <x:f>IF(ISNUMBER(F162),IF(AND(ABS(F162)+0.00000000001&gt;=$B$6,ABS(E162)+0.000000001&gt;=$D$6),1,0),"n.a.")</x:f>
        <x:v>0</x:v>
      </x:c>
      <x:c r="H162" s="2" t="n">
        <x:f>IF(ISNUMBER(E162),SIGN(E162),"n.a.")</x:f>
        <x:v>1</x:v>
      </x:c>
      <x:c r="I162" s="2" t="n">
        <x:f>IF(NOT(ISNUMBER(G162)),"n.a.",IF(G162=0,0,IF(AND(B162=B148,A162=EDATE(A148,1),H162=H148,ISNUMBER(I148)),I148+1,1)))</x:f>
        <x:v>0</x:v>
      </x:c>
      <x:c r="J162" s="2" t="n">
        <x:f>IF(ISNUMBER(F162),IF(AND(ABS(F162)+0.00000000001&gt;=$B$7,ABS(E162)+0.000000001&gt;=$D$7),1,0),"n.a.")</x:f>
        <x:v>0</x:v>
      </x:c>
      <x:c r="K162" s="2" t="str">
        <x:f>IF(NOT(ISNUMBER(F162)),"No evaluable",IF(OR(J162=1,I162&gt;=$B$8),"Prioridad",IF(G162=1,"Observar","Sin umbral")))</x:f>
        <x:v>Sin umbral</x:v>
      </x:c>
      <x:c r="L162" s="2" t="str">
        <x:f>IF(K162="No evaluable","Faltan datos",IF(J162=1,"Magnitud",IF(I162&gt;=$B$8,"Persistencia",IF(G162=1,"Cambio del mes","Sin umbral"))))</x:f>
        <x:v>Sin umbral</x:v>
      </x:c>
      <x:c r="M162" s="2" t="n">
        <x:f>ROW()-40</x:f>
        <x:v>122</x:v>
      </x:c>
    </x:row>
    <x:row r="163" ht="48" customHeight="1">
      <x:c r="A163" s="4" t="n">
        <x:v>45170</x:v>
      </x:c>
      <x:c r="B163" s="32" t="str">
        <x:v>Industria textil</x:v>
      </x:c>
      <x:c r="C163" s="10" t="n">
        <x:f>IF(ISNUMBER('Actividades'!F300),'Actividades'!F300,"n.a.")</x:f>
        <x:v>65.2964375</x:v>
      </x:c>
      <x:c r="D163" s="10" t="n">
        <x:f>IF(ISNUMBER('Actividades'!G300),'Actividades'!G300,"n.a.")</x:f>
        <x:v>64.808925</x:v>
      </x:c>
      <x:c r="E163" s="10" t="n">
        <x:f>IF(AND(ISNUMBER(C163),ISNUMBER(D163),C163&gt;=0,D163&gt;0),C163-D163,"n.a.")</x:f>
        <x:v>0.487512499999994</x:v>
      </x:c>
      <x:c r="F163" s="12" t="n">
        <x:f>IF(ISNUMBER(E163),E163/D163,"n.a.")</x:f>
        <x:v>0.007522304991172034</x:v>
      </x:c>
      <x:c r="G163" s="2" t="n">
        <x:f>IF(ISNUMBER(F163),IF(AND(ABS(F163)+0.00000000001&gt;=$B$6,ABS(E163)+0.000000001&gt;=$D$6),1,0),"n.a.")</x:f>
        <x:v>0</x:v>
      </x:c>
      <x:c r="H163" s="2" t="n">
        <x:f>IF(ISNUMBER(E163),SIGN(E163),"n.a.")</x:f>
        <x:v>1</x:v>
      </x:c>
      <x:c r="I163" s="2" t="n">
        <x:f>IF(NOT(ISNUMBER(G163)),"n.a.",IF(G163=0,0,IF(AND(B163=B149,A163=EDATE(A149,1),H163=H149,ISNUMBER(I149)),I149+1,1)))</x:f>
        <x:v>0</x:v>
      </x:c>
      <x:c r="J163" s="2" t="n">
        <x:f>IF(ISNUMBER(F163),IF(AND(ABS(F163)+0.00000000001&gt;=$B$7,ABS(E163)+0.000000001&gt;=$D$7),1,0),"n.a.")</x:f>
        <x:v>0</x:v>
      </x:c>
      <x:c r="K163" s="2" t="str">
        <x:f>IF(NOT(ISNUMBER(F163)),"No evaluable",IF(OR(J163=1,I163&gt;=$B$8),"Prioridad",IF(G163=1,"Observar","Sin umbral")))</x:f>
        <x:v>Sin umbral</x:v>
      </x:c>
      <x:c r="L163" s="2" t="str">
        <x:f>IF(K163="No evaluable","Faltan datos",IF(J163=1,"Magnitud",IF(I163&gt;=$B$8,"Persistencia",IF(G163=1,"Cambio del mes","Sin umbral"))))</x:f>
        <x:v>Sin umbral</x:v>
      </x:c>
      <x:c r="M163" s="2" t="n">
        <x:f>ROW()-40</x:f>
        <x:v>123</x:v>
      </x:c>
    </x:row>
    <x:row r="164" ht="48" customHeight="1">
      <x:c r="A164" s="4" t="n">
        <x:v>45170</x:v>
      </x:c>
      <x:c r="B164" s="32" t="str">
        <x:v>Químicas, caucho, plástico y otros minerales no metálicos</x:v>
      </x:c>
      <x:c r="C164" s="10" t="n">
        <x:f>IF(ISNUMBER('Actividades'!F301),'Actividades'!F301,"n.a.")</x:f>
        <x:v>337.14813055555555</x:v>
      </x:c>
      <x:c r="D164" s="10" t="n">
        <x:f>IF(ISNUMBER('Actividades'!G301),'Actividades'!G301,"n.a.")</x:f>
        <x:v>320.6918444444444</x:v>
      </x:c>
      <x:c r="E164" s="10" t="n">
        <x:f>IF(AND(ISNUMBER(C164),ISNUMBER(D164),C164&gt;=0,D164&gt;0),C164-D164,"n.a.")</x:f>
        <x:v>16.456286111111126</x:v>
      </x:c>
      <x:c r="F164" s="12" t="n">
        <x:f>IF(ISNUMBER(E164),E164/D164,"n.a.")</x:f>
        <x:v>0.05131495046161661</x:v>
      </x:c>
      <x:c r="G164" s="2" t="n">
        <x:f>IF(ISNUMBER(F164),IF(AND(ABS(F164)+0.00000000001&gt;=$B$6,ABS(E164)+0.000000001&gt;=$D$6),1,0),"n.a.")</x:f>
        <x:v>0</x:v>
      </x:c>
      <x:c r="H164" s="2" t="n">
        <x:f>IF(ISNUMBER(E164),SIGN(E164),"n.a.")</x:f>
        <x:v>1</x:v>
      </x:c>
      <x:c r="I164" s="2" t="n">
        <x:f>IF(NOT(ISNUMBER(G164)),"n.a.",IF(G164=0,0,IF(AND(B164=B150,A164=EDATE(A150,1),H164=H150,ISNUMBER(I150)),I150+1,1)))</x:f>
        <x:v>0</x:v>
      </x:c>
      <x:c r="J164" s="2" t="n">
        <x:f>IF(ISNUMBER(F164),IF(AND(ABS(F164)+0.00000000001&gt;=$B$7,ABS(E164)+0.000000001&gt;=$D$7),1,0),"n.a.")</x:f>
        <x:v>0</x:v>
      </x:c>
      <x:c r="K164" s="2" t="str">
        <x:f>IF(NOT(ISNUMBER(F164)),"No evaluable",IF(OR(J164=1,I164&gt;=$B$8),"Prioridad",IF(G164=1,"Observar","Sin umbral")))</x:f>
        <x:v>Sin umbral</x:v>
      </x:c>
      <x:c r="L164" s="2" t="str">
        <x:f>IF(K164="No evaluable","Faltan datos",IF(J164=1,"Magnitud",IF(I164&gt;=$B$8,"Persistencia",IF(G164=1,"Cambio del mes","Sin umbral"))))</x:f>
        <x:v>Sin umbral</x:v>
      </x:c>
      <x:c r="M164" s="2" t="n">
        <x:f>ROW()-40</x:f>
        <x:v>124</x:v>
      </x:c>
    </x:row>
    <x:row r="165" ht="48" customHeight="1">
      <x:c r="A165" s="4" t="n">
        <x:v>45170</x:v>
      </x:c>
      <x:c r="B165" s="32" t="str">
        <x:v>Extracción de minerales</x:v>
      </x:c>
      <x:c r="C165" s="10" t="n">
        <x:f>IF(ISNUMBER('Actividades'!F302),'Actividades'!F302,"n.a.")</x:f>
        <x:v>23.118481944444444</x:v>
      </x:c>
      <x:c r="D165" s="10" t="n">
        <x:f>IF(ISNUMBER('Actividades'!G302),'Actividades'!G302,"n.a.")</x:f>
        <x:v>20.128856944444447</x:v>
      </x:c>
      <x:c r="E165" s="10" t="n">
        <x:f>IF(AND(ISNUMBER(C165),ISNUMBER(D165),C165&gt;=0,D165&gt;0),C165-D165,"n.a.")</x:f>
        <x:v>2.9896249999999966</x:v>
      </x:c>
      <x:c r="F165" s="12" t="n">
        <x:f>IF(ISNUMBER(E165),E165/D165,"n.a.")</x:f>
        <x:v>0.14852433043025484</x:v>
      </x:c>
      <x:c r="G165" s="2" t="n">
        <x:f>IF(ISNUMBER(F165),IF(AND(ABS(F165)+0.00000000001&gt;=$B$6,ABS(E165)+0.000000001&gt;=$D$6),1,0),"n.a.")</x:f>
        <x:v>0</x:v>
      </x:c>
      <x:c r="H165" s="2" t="n">
        <x:f>IF(ISNUMBER(E165),SIGN(E165),"n.a.")</x:f>
        <x:v>1</x:v>
      </x:c>
      <x:c r="I165" s="2" t="n">
        <x:f>IF(NOT(ISNUMBER(G165)),"n.a.",IF(G165=0,0,IF(AND(B165=B151,A165=EDATE(A151,1),H165=H151,ISNUMBER(I151)),I151+1,1)))</x:f>
        <x:v>0</x:v>
      </x:c>
      <x:c r="J165" s="2" t="n">
        <x:f>IF(ISNUMBER(F165),IF(AND(ABS(F165)+0.00000000001&gt;=$B$7,ABS(E165)+0.000000001&gt;=$D$7),1,0),"n.a.")</x:f>
        <x:v>0</x:v>
      </x:c>
      <x:c r="K165" s="2" t="str">
        <x:f>IF(NOT(ISNUMBER(F165)),"No evaluable",IF(OR(J165=1,I165&gt;=$B$8),"Prioridad",IF(G165=1,"Observar","Sin umbral")))</x:f>
        <x:v>Sin umbral</x:v>
      </x:c>
      <x:c r="L165" s="2" t="str">
        <x:f>IF(K165="No evaluable","Faltan datos",IF(J165=1,"Magnitud",IF(I165&gt;=$B$8,"Persistencia",IF(G165=1,"Cambio del mes","Sin umbral"))))</x:f>
        <x:v>Sin umbral</x:v>
      </x:c>
      <x:c r="M165" s="2" t="n">
        <x:f>ROW()-40</x:f>
        <x:v>125</x:v>
      </x:c>
    </x:row>
    <x:row r="166" ht="48" customHeight="1">
      <x:c r="A166" s="4" t="n">
        <x:v>45170</x:v>
      </x:c>
      <x:c r="B166" s="32" t="str">
        <x:v>Extracción de petróleo</x:v>
      </x:c>
      <x:c r="C166" s="10" t="n">
        <x:f>IF(ISNUMBER('Actividades'!F303),'Actividades'!F303,"n.a.")</x:f>
        <x:v>156.64385555555555</x:v>
      </x:c>
      <x:c r="D166" s="10" t="n">
        <x:f>IF(ISNUMBER('Actividades'!G303),'Actividades'!G303,"n.a.")</x:f>
        <x:v>153.81158472222222</x:v>
      </x:c>
      <x:c r="E166" s="10" t="n">
        <x:f>IF(AND(ISNUMBER(C166),ISNUMBER(D166),C166&gt;=0,D166&gt;0),C166-D166,"n.a.")</x:f>
        <x:v>2.8322708333333253</x:v>
      </x:c>
      <x:c r="F166" s="12" t="n">
        <x:f>IF(ISNUMBER(E166),E166/D166,"n.a.")</x:f>
        <x:v>0.018413898006761305</x:v>
      </x:c>
      <x:c r="G166" s="2" t="n">
        <x:f>IF(ISNUMBER(F166),IF(AND(ABS(F166)+0.00000000001&gt;=$B$6,ABS(E166)+0.000000001&gt;=$D$6),1,0),"n.a.")</x:f>
        <x:v>0</x:v>
      </x:c>
      <x:c r="H166" s="2" t="n">
        <x:f>IF(ISNUMBER(E166),SIGN(E166),"n.a.")</x:f>
        <x:v>1</x:v>
      </x:c>
      <x:c r="I166" s="2" t="n">
        <x:f>IF(NOT(ISNUMBER(G166)),"n.a.",IF(G166=0,0,IF(AND(B166=B152,A166=EDATE(A152,1),H166=H152,ISNUMBER(I152)),I152+1,1)))</x:f>
        <x:v>0</x:v>
      </x:c>
      <x:c r="J166" s="2" t="n">
        <x:f>IF(ISNUMBER(F166),IF(AND(ABS(F166)+0.00000000001&gt;=$B$7,ABS(E166)+0.000000001&gt;=$D$7),1,0),"n.a.")</x:f>
        <x:v>0</x:v>
      </x:c>
      <x:c r="K166" s="2" t="str">
        <x:f>IF(NOT(ISNUMBER(F166)),"No evaluable",IF(OR(J166=1,I166&gt;=$B$8),"Prioridad",IF(G166=1,"Observar","Sin umbral")))</x:f>
        <x:v>Sin umbral</x:v>
      </x:c>
      <x:c r="L166" s="2" t="str">
        <x:f>IF(K166="No evaluable","Faltan datos",IF(J166=1,"Magnitud",IF(I166&gt;=$B$8,"Persistencia",IF(G166=1,"Cambio del mes","Sin umbral"))))</x:f>
        <x:v>Sin umbral</x:v>
      </x:c>
      <x:c r="M166" s="2" t="n">
        <x:f>ROW()-40</x:f>
        <x:v>126</x:v>
      </x:c>
    </x:row>
    <x:row r="167" ht="48" customHeight="1">
      <x:c r="A167" s="4" t="n">
        <x:v>45200</x:v>
      </x:c>
      <x:c r="B167" s="32" t="str">
        <x:v>Cargas y puertos</x:v>
      </x:c>
      <x:c r="C167" s="10" t="n">
        <x:f>IF(ISNUMBER('Actividades'!F304),'Actividades'!F304,"n.a.")</x:f>
        <x:v>9.658463709677418</x:v>
      </x:c>
      <x:c r="D167" s="10" t="n">
        <x:f>IF(ISNUMBER('Actividades'!G304),'Actividades'!G304,"n.a.")</x:f>
        <x:v>7.185059139784947</x:v>
      </x:c>
      <x:c r="E167" s="10" t="n">
        <x:f>IF(AND(ISNUMBER(C167),ISNUMBER(D167),C167&gt;=0,D167&gt;0),C167-D167,"n.a.")</x:f>
        <x:v>2.4734045698924714</x:v>
      </x:c>
      <x:c r="F167" s="12" t="n">
        <x:f>IF(ISNUMBER(E167),E167/D167,"n.a.")</x:f>
        <x:v>0.3442427573347019</x:v>
      </x:c>
      <x:c r="G167" s="2" t="n">
        <x:f>IF(ISNUMBER(F167),IF(AND(ABS(F167)+0.00000000001&gt;=$B$6,ABS(E167)+0.000000001&gt;=$D$6),1,0),"n.a.")</x:f>
        <x:v>0</x:v>
      </x:c>
      <x:c r="H167" s="2" t="n">
        <x:f>IF(ISNUMBER(E167),SIGN(E167),"n.a.")</x:f>
        <x:v>1</x:v>
      </x:c>
      <x:c r="I167" s="2" t="n">
        <x:f>IF(NOT(ISNUMBER(G167)),"n.a.",IF(G167=0,0,IF(AND(B167=B153,A167=EDATE(A153,1),H167=H153,ISNUMBER(I153)),I153+1,1)))</x:f>
        <x:v>0</x:v>
      </x:c>
      <x:c r="J167" s="2" t="n">
        <x:f>IF(ISNUMBER(F167),IF(AND(ABS(F167)+0.00000000001&gt;=$B$7,ABS(E167)+0.000000001&gt;=$D$7),1,0),"n.a.")</x:f>
        <x:v>0</x:v>
      </x:c>
      <x:c r="K167" s="2" t="str">
        <x:f>IF(NOT(ISNUMBER(F167)),"No evaluable",IF(OR(J167=1,I167&gt;=$B$8),"Prioridad",IF(G167=1,"Observar","Sin umbral")))</x:f>
        <x:v>Sin umbral</x:v>
      </x:c>
      <x:c r="L167" s="2" t="str">
        <x:f>IF(K167="No evaluable","Faltan datos",IF(J167=1,"Magnitud",IF(I167&gt;=$B$8,"Persistencia",IF(G167=1,"Cambio del mes","Sin umbral"))))</x:f>
        <x:v>Sin umbral</x:v>
      </x:c>
      <x:c r="M167" s="2" t="n">
        <x:f>ROW()-40</x:f>
        <x:v>127</x:v>
      </x:c>
    </x:row>
    <x:row r="168" ht="48" customHeight="1">
      <x:c r="A168" s="4" t="n">
        <x:v>45200</x:v>
      </x:c>
      <x:c r="B168" s="32" t="str">
        <x:v>Comercio y servicios: principalmente supermercados y centros comerciales</x:v>
      </x:c>
      <x:c r="C168" s="10" t="n">
        <x:f>IF(ISNUMBER('Actividades'!F305),'Actividades'!F305,"n.a.")</x:f>
        <x:v>30.093684139784948</x:v>
      </x:c>
      <x:c r="D168" s="10" t="n">
        <x:f>IF(ISNUMBER('Actividades'!G305),'Actividades'!G305,"n.a.")</x:f>
        <x:v>30.752962365591397</x:v>
      </x:c>
      <x:c r="E168" s="10" t="n">
        <x:f>IF(AND(ISNUMBER(C168),ISNUMBER(D168),C168&gt;=0,D168&gt;0),C168-D168,"n.a.")</x:f>
        <x:v>-0.6592782258064496</x:v>
      </x:c>
      <x:c r="F168" s="12" t="n">
        <x:f>IF(ISNUMBER(E168),E168/D168,"n.a.")</x:f>
        <x:v>-0.021437877039907446</x:v>
      </x:c>
      <x:c r="G168" s="2" t="n">
        <x:f>IF(ISNUMBER(F168),IF(AND(ABS(F168)+0.00000000001&gt;=$B$6,ABS(E168)+0.000000001&gt;=$D$6),1,0),"n.a.")</x:f>
        <x:v>0</x:v>
      </x:c>
      <x:c r="H168" s="2" t="n">
        <x:f>IF(ISNUMBER(E168),SIGN(E168),"n.a.")</x:f>
        <x:v>-1</x:v>
      </x:c>
      <x:c r="I168" s="2" t="n">
        <x:f>IF(NOT(ISNUMBER(G168)),"n.a.",IF(G168=0,0,IF(AND(B168=B154,A168=EDATE(A154,1),H168=H154,ISNUMBER(I154)),I154+1,1)))</x:f>
        <x:v>0</x:v>
      </x:c>
      <x:c r="J168" s="2" t="n">
        <x:f>IF(ISNUMBER(F168),IF(AND(ABS(F168)+0.00000000001&gt;=$B$7,ABS(E168)+0.000000001&gt;=$D$7),1,0),"n.a.")</x:f>
        <x:v>0</x:v>
      </x:c>
      <x:c r="K168" s="2" t="str">
        <x:f>IF(NOT(ISNUMBER(F168)),"No evaluable",IF(OR(J168=1,I168&gt;=$B$8),"Prioridad",IF(G168=1,"Observar","Sin umbral")))</x:f>
        <x:v>Sin umbral</x:v>
      </x:c>
      <x:c r="L168" s="2" t="str">
        <x:f>IF(K168="No evaluable","Faltan datos",IF(J168=1,"Magnitud",IF(I168&gt;=$B$8,"Persistencia",IF(G168=1,"Cambio del mes","Sin umbral"))))</x:f>
        <x:v>Sin umbral</x:v>
      </x:c>
      <x:c r="M168" s="2" t="n">
        <x:f>ROW()-40</x:f>
        <x:v>128</x:v>
      </x:c>
    </x:row>
    <x:row r="169" ht="48" customHeight="1">
      <x:c r="A169" s="4" t="n">
        <x:v>45200</x:v>
      </x:c>
      <x:c r="B169" s="32" t="str">
        <x:v>Alimentación y artículos de consumo masivo</x:v>
      </x:c>
      <x:c r="C169" s="10" t="n">
        <x:f>IF(ISNUMBER('Actividades'!F306),'Actividades'!F306,"n.a.")</x:f>
        <x:v>251.34576209677414</x:v>
      </x:c>
      <x:c r="D169" s="10" t="n">
        <x:f>IF(ISNUMBER('Actividades'!G306),'Actividades'!G306,"n.a.")</x:f>
        <x:v>265.7251129032258</x:v>
      </x:c>
      <x:c r="E169" s="10" t="n">
        <x:f>IF(AND(ISNUMBER(C169),ISNUMBER(D169),C169&gt;=0,D169&gt;0),C169-D169,"n.a.")</x:f>
        <x:v>-14.379350806451669</x:v>
      </x:c>
      <x:c r="F169" s="12" t="n">
        <x:f>IF(ISNUMBER(E169),E169/D169,"n.a.")</x:f>
        <x:v>-0.0541136313739698</x:v>
      </x:c>
      <x:c r="G169" s="2" t="n">
        <x:f>IF(ISNUMBER(F169),IF(AND(ABS(F169)+0.00000000001&gt;=$B$6,ABS(E169)+0.000000001&gt;=$D$6),1,0),"n.a.")</x:f>
        <x:v>0</x:v>
      </x:c>
      <x:c r="H169" s="2" t="n">
        <x:f>IF(ISNUMBER(E169),SIGN(E169),"n.a.")</x:f>
        <x:v>-1</x:v>
      </x:c>
      <x:c r="I169" s="2" t="n">
        <x:f>IF(NOT(ISNUMBER(G169)),"n.a.",IF(G169=0,0,IF(AND(B169=B155,A169=EDATE(A155,1),H169=H155,ISNUMBER(I155)),I155+1,1)))</x:f>
        <x:v>0</x:v>
      </x:c>
      <x:c r="J169" s="2" t="n">
        <x:f>IF(ISNUMBER(F169),IF(AND(ABS(F169)+0.00000000001&gt;=$B$7,ABS(E169)+0.000000001&gt;=$D$7),1,0),"n.a.")</x:f>
        <x:v>0</x:v>
      </x:c>
      <x:c r="K169" s="2" t="str">
        <x:f>IF(NOT(ISNUMBER(F169)),"No evaluable",IF(OR(J169=1,I169&gt;=$B$8),"Prioridad",IF(G169=1,"Observar","Sin umbral")))</x:f>
        <x:v>Sin umbral</x:v>
      </x:c>
      <x:c r="L169" s="2" t="str">
        <x:f>IF(K169="No evaluable","Faltan datos",IF(J169=1,"Magnitud",IF(I169&gt;=$B$8,"Persistencia",IF(G169=1,"Cambio del mes","Sin umbral"))))</x:f>
        <x:v>Sin umbral</x:v>
      </x:c>
      <x:c r="M169" s="2" t="n">
        <x:f>ROW()-40</x:f>
        <x:v>129</x:v>
      </x:c>
    </x:row>
    <x:row r="170" ht="48" customHeight="1">
      <x:c r="A170" s="4" t="n">
        <x:v>45200</x:v>
      </x:c>
      <x:c r="B170" s="32" t="str">
        <x:v>Servicios públicos y transporte: agua y transporte en GBA</x:v>
      </x:c>
      <x:c r="C170" s="10" t="n">
        <x:f>IF(ISNUMBER('Actividades'!F307),'Actividades'!F307,"n.a.")</x:f>
        <x:v>86.44149731182794</x:v>
      </x:c>
      <x:c r="D170" s="10" t="n">
        <x:f>IF(ISNUMBER('Actividades'!G307),'Actividades'!G307,"n.a.")</x:f>
        <x:v>81.01035349462366</x:v>
      </x:c>
      <x:c r="E170" s="10" t="n">
        <x:f>IF(AND(ISNUMBER(C170),ISNUMBER(D170),C170&gt;=0,D170&gt;0),C170-D170,"n.a.")</x:f>
        <x:v>5.431143817204287</x:v>
      </x:c>
      <x:c r="F170" s="12" t="n">
        <x:f>IF(ISNUMBER(E170),E170/D170,"n.a.")</x:f>
        <x:v>0.06704258879162564</x:v>
      </x:c>
      <x:c r="G170" s="2" t="n">
        <x:f>IF(ISNUMBER(F170),IF(AND(ABS(F170)+0.00000000001&gt;=$B$6,ABS(E170)+0.000000001&gt;=$D$6),1,0),"n.a.")</x:f>
        <x:v>0</x:v>
      </x:c>
      <x:c r="H170" s="2" t="n">
        <x:f>IF(ISNUMBER(E170),SIGN(E170),"n.a.")</x:f>
        <x:v>1</x:v>
      </x:c>
      <x:c r="I170" s="2" t="n">
        <x:f>IF(NOT(ISNUMBER(G170)),"n.a.",IF(G170=0,0,IF(AND(B170=B156,A170=EDATE(A156,1),H170=H156,ISNUMBER(I156)),I156+1,1)))</x:f>
        <x:v>0</x:v>
      </x:c>
      <x:c r="J170" s="2" t="n">
        <x:f>IF(ISNUMBER(F170),IF(AND(ABS(F170)+0.00000000001&gt;=$B$7,ABS(E170)+0.000000001&gt;=$D$7),1,0),"n.a.")</x:f>
        <x:v>0</x:v>
      </x:c>
      <x:c r="K170" s="2" t="str">
        <x:f>IF(NOT(ISNUMBER(F170)),"No evaluable",IF(OR(J170=1,I170&gt;=$B$8),"Prioridad",IF(G170=1,"Observar","Sin umbral")))</x:f>
        <x:v>Sin umbral</x:v>
      </x:c>
      <x:c r="L170" s="2" t="str">
        <x:f>IF(K170="No evaluable","Faltan datos",IF(J170=1,"Magnitud",IF(I170&gt;=$B$8,"Persistencia",IF(G170=1,"Cambio del mes","Sin umbral"))))</x:f>
        <x:v>Sin umbral</x:v>
      </x:c>
      <x:c r="M170" s="2" t="n">
        <x:f>ROW()-40</x:f>
        <x:v>130</x:v>
      </x:c>
    </x:row>
    <x:row r="171" ht="48" customHeight="1">
      <x:c r="A171" s="4" t="n">
        <x:v>45200</x:v>
      </x:c>
      <x:c r="B171" s="32" t="str">
        <x:v>Industria automotriz</x:v>
      </x:c>
      <x:c r="C171" s="10" t="n">
        <x:f>IF(ISNUMBER('Actividades'!F308),'Actividades'!F308,"n.a.")</x:f>
        <x:v>37.03747311827957</x:v>
      </x:c>
      <x:c r="D171" s="10" t="n">
        <x:f>IF(ISNUMBER('Actividades'!G308),'Actividades'!G308,"n.a.")</x:f>
        <x:v>36.911353494623654</x:v>
      </x:c>
      <x:c r="E171" s="10" t="n">
        <x:f>IF(AND(ISNUMBER(C171),ISNUMBER(D171),C171&gt;=0,D171&gt;0),C171-D171,"n.a.")</x:f>
        <x:v>0.12611962365591722</x:v>
      </x:c>
      <x:c r="F171" s="12" t="n">
        <x:f>IF(ISNUMBER(E171),E171/D171,"n.a.")</x:f>
        <x:v>0.0034168246817144554</x:v>
      </x:c>
      <x:c r="G171" s="2" t="n">
        <x:f>IF(ISNUMBER(F171),IF(AND(ABS(F171)+0.00000000001&gt;=$B$6,ABS(E171)+0.000000001&gt;=$D$6),1,0),"n.a.")</x:f>
        <x:v>0</x:v>
      </x:c>
      <x:c r="H171" s="2" t="n">
        <x:f>IF(ISNUMBER(E171),SIGN(E171),"n.a.")</x:f>
        <x:v>1</x:v>
      </x:c>
      <x:c r="I171" s="2" t="n">
        <x:f>IF(NOT(ISNUMBER(G171)),"n.a.",IF(G171=0,0,IF(AND(B171=B157,A171=EDATE(A157,1),H171=H157,ISNUMBER(I157)),I157+1,1)))</x:f>
        <x:v>0</x:v>
      </x:c>
      <x:c r="J171" s="2" t="n">
        <x:f>IF(ISNUMBER(F171),IF(AND(ABS(F171)+0.00000000001&gt;=$B$7,ABS(E171)+0.000000001&gt;=$D$7),1,0),"n.a.")</x:f>
        <x:v>0</x:v>
      </x:c>
      <x:c r="K171" s="2" t="str">
        <x:f>IF(NOT(ISNUMBER(F171)),"No evaluable",IF(OR(J171=1,I171&gt;=$B$8),"Prioridad",IF(G171=1,"Observar","Sin umbral")))</x:f>
        <x:v>Sin umbral</x:v>
      </x:c>
      <x:c r="L171" s="2" t="str">
        <x:f>IF(K171="No evaluable","Faltan datos",IF(J171=1,"Magnitud",IF(I171&gt;=$B$8,"Persistencia",IF(G171=1,"Cambio del mes","Sin umbral"))))</x:f>
        <x:v>Sin umbral</x:v>
      </x:c>
      <x:c r="M171" s="2" t="n">
        <x:f>ROW()-40</x:f>
        <x:v>131</x:v>
      </x:c>
    </x:row>
    <x:row r="172" ht="48" customHeight="1">
      <x:c r="A172" s="4" t="n">
        <x:v>45200</x:v>
      </x:c>
      <x:c r="B172" s="32" t="str">
        <x:v>Derivados de petróleo</x:v>
      </x:c>
      <x:c r="C172" s="10" t="n">
        <x:f>IF(ISNUMBER('Actividades'!F309),'Actividades'!F309,"n.a.")</x:f>
        <x:v>140.4176370967742</x:v>
      </x:c>
      <x:c r="D172" s="10" t="n">
        <x:f>IF(ISNUMBER('Actividades'!G309),'Actividades'!G309,"n.a.")</x:f>
        <x:v>157.4165067204301</x:v>
      </x:c>
      <x:c r="E172" s="10" t="n">
        <x:f>IF(AND(ISNUMBER(C172),ISNUMBER(D172),C172&gt;=0,D172&gt;0),C172-D172,"n.a.")</x:f>
        <x:v>-16.998869623655906</x:v>
      </x:c>
      <x:c r="F172" s="12" t="n">
        <x:f>IF(ISNUMBER(E172),E172/D172,"n.a.")</x:f>
        <x:v>-0.10798657636232331</x:v>
      </x:c>
      <x:c r="G172" s="2" t="n">
        <x:f>IF(ISNUMBER(F172),IF(AND(ABS(F172)+0.00000000001&gt;=$B$6,ABS(E172)+0.000000001&gt;=$D$6),1,0),"n.a.")</x:f>
        <x:v>1</x:v>
      </x:c>
      <x:c r="H172" s="2" t="n">
        <x:f>IF(ISNUMBER(E172),SIGN(E172),"n.a.")</x:f>
        <x:v>-1</x:v>
      </x:c>
      <x:c r="I172" s="2" t="n">
        <x:f>IF(NOT(ISNUMBER(G172)),"n.a.",IF(G172=0,0,IF(AND(B172=B158,A172=EDATE(A158,1),H172=H158,ISNUMBER(I158)),I158+1,1)))</x:f>
        <x:v>1</x:v>
      </x:c>
      <x:c r="J172" s="2" t="n">
        <x:f>IF(ISNUMBER(F172),IF(AND(ABS(F172)+0.00000000001&gt;=$B$7,ABS(E172)+0.000000001&gt;=$D$7),1,0),"n.a.")</x:f>
        <x:v>0</x:v>
      </x:c>
      <x:c r="K172" s="2" t="str">
        <x:f>IF(NOT(ISNUMBER(F172)),"No evaluable",IF(OR(J172=1,I172&gt;=$B$8),"Prioridad",IF(G172=1,"Observar","Sin umbral")))</x:f>
        <x:v>Observar</x:v>
      </x:c>
      <x:c r="L172" s="2" t="str">
        <x:f>IF(K172="No evaluable","Faltan datos",IF(J172=1,"Magnitud",IF(I172&gt;=$B$8,"Persistencia",IF(G172=1,"Cambio del mes","Sin umbral"))))</x:f>
        <x:v>Cambio del mes</x:v>
      </x:c>
      <x:c r="M172" s="2" t="n">
        <x:f>ROW()-40</x:f>
        <x:v>132</x:v>
      </x:c>
    </x:row>
    <x:row r="173" ht="48" customHeight="1">
      <x:c r="A173" s="4" t="n">
        <x:v>45200</x:v>
      </x:c>
      <x:c r="B173" s="32" t="str">
        <x:v>Construcción: elaboración de cemento y canteras</x:v>
      </x:c>
      <x:c r="C173" s="10" t="n">
        <x:f>IF(ISNUMBER('Actividades'!F310),'Actividades'!F310,"n.a.")</x:f>
        <x:v>188.02799731182796</x:v>
      </x:c>
      <x:c r="D173" s="10" t="n">
        <x:f>IF(ISNUMBER('Actividades'!G310),'Actividades'!G310,"n.a.")</x:f>
        <x:v>195.07546908602149</x:v>
      </x:c>
      <x:c r="E173" s="10" t="n">
        <x:f>IF(AND(ISNUMBER(C173),ISNUMBER(D173),C173&gt;=0,D173&gt;0),C173-D173,"n.a.")</x:f>
        <x:v>-7.047471774193525</x:v>
      </x:c>
      <x:c r="F173" s="12" t="n">
        <x:f>IF(ISNUMBER(E173),E173/D173,"n.a.")</x:f>
        <x:v>-0.036126899026375454</x:v>
      </x:c>
      <x:c r="G173" s="2" t="n">
        <x:f>IF(ISNUMBER(F173),IF(AND(ABS(F173)+0.00000000001&gt;=$B$6,ABS(E173)+0.000000001&gt;=$D$6),1,0),"n.a.")</x:f>
        <x:v>0</x:v>
      </x:c>
      <x:c r="H173" s="2" t="n">
        <x:f>IF(ISNUMBER(E173),SIGN(E173),"n.a.")</x:f>
        <x:v>-1</x:v>
      </x:c>
      <x:c r="I173" s="2" t="n">
        <x:f>IF(NOT(ISNUMBER(G173)),"n.a.",IF(G173=0,0,IF(AND(B173=B159,A173=EDATE(A159,1),H173=H159,ISNUMBER(I159)),I159+1,1)))</x:f>
        <x:v>0</x:v>
      </x:c>
      <x:c r="J173" s="2" t="n">
        <x:f>IF(ISNUMBER(F173),IF(AND(ABS(F173)+0.00000000001&gt;=$B$7,ABS(E173)+0.000000001&gt;=$D$7),1,0),"n.a.")</x:f>
        <x:v>0</x:v>
      </x:c>
      <x:c r="K173" s="2" t="str">
        <x:f>IF(NOT(ISNUMBER(F173)),"No evaluable",IF(OR(J173=1,I173&gt;=$B$8),"Prioridad",IF(G173=1,"Observar","Sin umbral")))</x:f>
        <x:v>Sin umbral</x:v>
      </x:c>
      <x:c r="L173" s="2" t="str">
        <x:f>IF(K173="No evaluable","Faltan datos",IF(J173=1,"Magnitud",IF(I173&gt;=$B$8,"Persistencia",IF(G173=1,"Cambio del mes","Sin umbral"))))</x:f>
        <x:v>Sin umbral</x:v>
      </x:c>
      <x:c r="M173" s="2" t="n">
        <x:f>ROW()-40</x:f>
        <x:v>133</x:v>
      </x:c>
    </x:row>
    <x:row r="174" ht="48" customHeight="1">
      <x:c r="A174" s="4" t="n">
        <x:v>45200</x:v>
      </x:c>
      <x:c r="B174" s="32" t="str">
        <x:v>Madera y papel</x:v>
      </x:c>
      <x:c r="C174" s="10" t="n">
        <x:f>IF(ISNUMBER('Actividades'!F311),'Actividades'!F311,"n.a.")</x:f>
        <x:v>106.23979569892474</x:v>
      </x:c>
      <x:c r="D174" s="10" t="n">
        <x:f>IF(ISNUMBER('Actividades'!G311),'Actividades'!G311,"n.a.")</x:f>
        <x:v>108.78326075268816</x:v>
      </x:c>
      <x:c r="E174" s="10" t="n">
        <x:f>IF(AND(ISNUMBER(C174),ISNUMBER(D174),C174&gt;=0,D174&gt;0),C174-D174,"n.a.")</x:f>
        <x:v>-2.543465053763427</x:v>
      </x:c>
      <x:c r="F174" s="12" t="n">
        <x:f>IF(ISNUMBER(E174),E174/D174,"n.a.")</x:f>
        <x:v>-0.023381033406838513</x:v>
      </x:c>
      <x:c r="G174" s="2" t="n">
        <x:f>IF(ISNUMBER(F174),IF(AND(ABS(F174)+0.00000000001&gt;=$B$6,ABS(E174)+0.000000001&gt;=$D$6),1,0),"n.a.")</x:f>
        <x:v>0</x:v>
      </x:c>
      <x:c r="H174" s="2" t="n">
        <x:f>IF(ISNUMBER(E174),SIGN(E174),"n.a.")</x:f>
        <x:v>-1</x:v>
      </x:c>
      <x:c r="I174" s="2" t="n">
        <x:f>IF(NOT(ISNUMBER(G174)),"n.a.",IF(G174=0,0,IF(AND(B174=B160,A174=EDATE(A160,1),H174=H160,ISNUMBER(I160)),I160+1,1)))</x:f>
        <x:v>0</x:v>
      </x:c>
      <x:c r="J174" s="2" t="n">
        <x:f>IF(ISNUMBER(F174),IF(AND(ABS(F174)+0.00000000001&gt;=$B$7,ABS(E174)+0.000000001&gt;=$D$7),1,0),"n.a.")</x:f>
        <x:v>0</x:v>
      </x:c>
      <x:c r="K174" s="2" t="str">
        <x:f>IF(NOT(ISNUMBER(F174)),"No evaluable",IF(OR(J174=1,I174&gt;=$B$8),"Prioridad",IF(G174=1,"Observar","Sin umbral")))</x:f>
        <x:v>Sin umbral</x:v>
      </x:c>
      <x:c r="L174" s="2" t="str">
        <x:f>IF(K174="No evaluable","Faltan datos",IF(J174=1,"Magnitud",IF(I174&gt;=$B$8,"Persistencia",IF(G174=1,"Cambio del mes","Sin umbral"))))</x:f>
        <x:v>Sin umbral</x:v>
      </x:c>
      <x:c r="M174" s="2" t="n">
        <x:f>ROW()-40</x:f>
        <x:v>134</x:v>
      </x:c>
    </x:row>
    <x:row r="175" ht="48" customHeight="1">
      <x:c r="A175" s="4" t="n">
        <x:v>45200</x:v>
      </x:c>
      <x:c r="B175" s="32" t="str">
        <x:v>Productos metálicos no automotores</x:v>
      </x:c>
      <x:c r="C175" s="10" t="n">
        <x:f>IF(ISNUMBER('Actividades'!F312),'Actividades'!F312,"n.a.")</x:f>
        <x:v>50.29255510752688</x:v>
      </x:c>
      <x:c r="D175" s="10" t="n">
        <x:f>IF(ISNUMBER('Actividades'!G312),'Actividades'!G312,"n.a.")</x:f>
        <x:v>63.52213440860215</x:v>
      </x:c>
      <x:c r="E175" s="10" t="n">
        <x:f>IF(AND(ISNUMBER(C175),ISNUMBER(D175),C175&gt;=0,D175&gt;0),C175-D175,"n.a.")</x:f>
        <x:v>-13.229579301075269</x:v>
      </x:c>
      <x:c r="F175" s="12" t="n">
        <x:f>IF(ISNUMBER(E175),E175/D175,"n.a.")</x:f>
        <x:v>-0.20826723510228465</x:v>
      </x:c>
      <x:c r="G175" s="2" t="n">
        <x:f>IF(ISNUMBER(F175),IF(AND(ABS(F175)+0.00000000001&gt;=$B$6,ABS(E175)+0.000000001&gt;=$D$6),1,0),"n.a.")</x:f>
        <x:v>1</x:v>
      </x:c>
      <x:c r="H175" s="2" t="n">
        <x:f>IF(ISNUMBER(E175),SIGN(E175),"n.a.")</x:f>
        <x:v>-1</x:v>
      </x:c>
      <x:c r="I175" s="2" t="n">
        <x:f>IF(NOT(ISNUMBER(G175)),"n.a.",IF(G175=0,0,IF(AND(B175=B161,A175=EDATE(A161,1),H175=H161,ISNUMBER(I161)),I161+1,1)))</x:f>
        <x:v>10</x:v>
      </x:c>
      <x:c r="J175" s="2" t="n">
        <x:f>IF(ISNUMBER(F175),IF(AND(ABS(F175)+0.00000000001&gt;=$B$7,ABS(E175)+0.000000001&gt;=$D$7),1,0),"n.a.")</x:f>
        <x:v>1</x:v>
      </x:c>
      <x:c r="K175" s="2" t="str">
        <x:f>IF(NOT(ISNUMBER(F175)),"No evaluable",IF(OR(J175=1,I175&gt;=$B$8),"Prioridad",IF(G175=1,"Observar","Sin umbral")))</x:f>
        <x:v>Prioridad</x:v>
      </x:c>
      <x:c r="L175" s="2" t="str">
        <x:f>IF(K175="No evaluable","Faltan datos",IF(J175=1,"Magnitud",IF(I175&gt;=$B$8,"Persistencia",IF(G175=1,"Cambio del mes","Sin umbral"))))</x:f>
        <x:v>Magnitud</x:v>
      </x:c>
      <x:c r="M175" s="2" t="n">
        <x:f>ROW()-40</x:f>
        <x:v>135</x:v>
      </x:c>
    </x:row>
    <x:row r="176" ht="48" customHeight="1">
      <x:c r="A176" s="4" t="n">
        <x:v>45200</x:v>
      </x:c>
      <x:c r="B176" s="32" t="str">
        <x:v>Gran siderurgia</x:v>
      </x:c>
      <x:c r="C176" s="10" t="n">
        <x:f>IF(ISNUMBER('Actividades'!F313),'Actividades'!F313,"n.a.")</x:f>
        <x:v>373.34215860215056</x:v>
      </x:c>
      <x:c r="D176" s="10" t="n">
        <x:f>IF(ISNUMBER('Actividades'!G313),'Actividades'!G313,"n.a.")</x:f>
        <x:v>367.2557701612903</x:v>
      </x:c>
      <x:c r="E176" s="10" t="n">
        <x:f>IF(AND(ISNUMBER(C176),ISNUMBER(D176),C176&gt;=0,D176&gt;0),C176-D176,"n.a.")</x:f>
        <x:v>6.086388440860276</x:v>
      </x:c>
      <x:c r="F176" s="12" t="n">
        <x:f>IF(ISNUMBER(E176),E176/D176,"n.a.")</x:f>
        <x:v>0.01657261487869142</x:v>
      </x:c>
      <x:c r="G176" s="2" t="n">
        <x:f>IF(ISNUMBER(F176),IF(AND(ABS(F176)+0.00000000001&gt;=$B$6,ABS(E176)+0.000000001&gt;=$D$6),1,0),"n.a.")</x:f>
        <x:v>0</x:v>
      </x:c>
      <x:c r="H176" s="2" t="n">
        <x:f>IF(ISNUMBER(E176),SIGN(E176),"n.a.")</x:f>
        <x:v>1</x:v>
      </x:c>
      <x:c r="I176" s="2" t="n">
        <x:f>IF(NOT(ISNUMBER(G176)),"n.a.",IF(G176=0,0,IF(AND(B176=B162,A176=EDATE(A162,1),H176=H162,ISNUMBER(I162)),I162+1,1)))</x:f>
        <x:v>0</x:v>
      </x:c>
      <x:c r="J176" s="2" t="n">
        <x:f>IF(ISNUMBER(F176),IF(AND(ABS(F176)+0.00000000001&gt;=$B$7,ABS(E176)+0.000000001&gt;=$D$7),1,0),"n.a.")</x:f>
        <x:v>0</x:v>
      </x:c>
      <x:c r="K176" s="2" t="str">
        <x:f>IF(NOT(ISNUMBER(F176)),"No evaluable",IF(OR(J176=1,I176&gt;=$B$8),"Prioridad",IF(G176=1,"Observar","Sin umbral")))</x:f>
        <x:v>Sin umbral</x:v>
      </x:c>
      <x:c r="L176" s="2" t="str">
        <x:f>IF(K176="No evaluable","Faltan datos",IF(J176=1,"Magnitud",IF(I176&gt;=$B$8,"Persistencia",IF(G176=1,"Cambio del mes","Sin umbral"))))</x:f>
        <x:v>Sin umbral</x:v>
      </x:c>
      <x:c r="M176" s="2" t="n">
        <x:f>ROW()-40</x:f>
        <x:v>136</x:v>
      </x:c>
    </x:row>
    <x:row r="177" ht="48" customHeight="1">
      <x:c r="A177" s="4" t="n">
        <x:v>45200</x:v>
      </x:c>
      <x:c r="B177" s="32" t="str">
        <x:v>Industria textil</x:v>
      </x:c>
      <x:c r="C177" s="10" t="n">
        <x:f>IF(ISNUMBER('Actividades'!F314),'Actividades'!F314,"n.a.")</x:f>
        <x:v>62.87235080645161</x:v>
      </x:c>
      <x:c r="D177" s="10" t="n">
        <x:f>IF(ISNUMBER('Actividades'!G314),'Actividades'!G314,"n.a.")</x:f>
        <x:v>62.25362768817204</x:v>
      </x:c>
      <x:c r="E177" s="10" t="n">
        <x:f>IF(AND(ISNUMBER(C177),ISNUMBER(D177),C177&gt;=0,D177&gt;0),C177-D177,"n.a.")</x:f>
        <x:v>0.6187231182795685</x:v>
      </x:c>
      <x:c r="F177" s="12" t="n">
        <x:f>IF(ISNUMBER(E177),E177/D177,"n.a.")</x:f>
        <x:v>0.00993874800965412</x:v>
      </x:c>
      <x:c r="G177" s="2" t="n">
        <x:f>IF(ISNUMBER(F177),IF(AND(ABS(F177)+0.00000000001&gt;=$B$6,ABS(E177)+0.000000001&gt;=$D$6),1,0),"n.a.")</x:f>
        <x:v>0</x:v>
      </x:c>
      <x:c r="H177" s="2" t="n">
        <x:f>IF(ISNUMBER(E177),SIGN(E177),"n.a.")</x:f>
        <x:v>1</x:v>
      </x:c>
      <x:c r="I177" s="2" t="n">
        <x:f>IF(NOT(ISNUMBER(G177)),"n.a.",IF(G177=0,0,IF(AND(B177=B163,A177=EDATE(A163,1),H177=H163,ISNUMBER(I163)),I163+1,1)))</x:f>
        <x:v>0</x:v>
      </x:c>
      <x:c r="J177" s="2" t="n">
        <x:f>IF(ISNUMBER(F177),IF(AND(ABS(F177)+0.00000000001&gt;=$B$7,ABS(E177)+0.000000001&gt;=$D$7),1,0),"n.a.")</x:f>
        <x:v>0</x:v>
      </x:c>
      <x:c r="K177" s="2" t="str">
        <x:f>IF(NOT(ISNUMBER(F177)),"No evaluable",IF(OR(J177=1,I177&gt;=$B$8),"Prioridad",IF(G177=1,"Observar","Sin umbral")))</x:f>
        <x:v>Sin umbral</x:v>
      </x:c>
      <x:c r="L177" s="2" t="str">
        <x:f>IF(K177="No evaluable","Faltan datos",IF(J177=1,"Magnitud",IF(I177&gt;=$B$8,"Persistencia",IF(G177=1,"Cambio del mes","Sin umbral"))))</x:f>
        <x:v>Sin umbral</x:v>
      </x:c>
      <x:c r="M177" s="2" t="n">
        <x:f>ROW()-40</x:f>
        <x:v>137</x:v>
      </x:c>
    </x:row>
    <x:row r="178" ht="48" customHeight="1">
      <x:c r="A178" s="4" t="n">
        <x:v>45200</x:v>
      </x:c>
      <x:c r="B178" s="32" t="str">
        <x:v>Químicas, caucho, plástico y otros minerales no metálicos</x:v>
      </x:c>
      <x:c r="C178" s="10" t="n">
        <x:f>IF(ISNUMBER('Actividades'!F315),'Actividades'!F315,"n.a.")</x:f>
        <x:v>343.069125</x:v>
      </x:c>
      <x:c r="D178" s="10" t="n">
        <x:f>IF(ISNUMBER('Actividades'!G315),'Actividades'!G315,"n.a.")</x:f>
        <x:v>325.6305268817204</x:v>
      </x:c>
      <x:c r="E178" s="10" t="n">
        <x:f>IF(AND(ISNUMBER(C178),ISNUMBER(D178),C178&gt;=0,D178&gt;0),C178-D178,"n.a.")</x:f>
        <x:v>17.43859811827957</x:v>
      </x:c>
      <x:c r="F178" s="12" t="n">
        <x:f>IF(ISNUMBER(E178),E178/D178,"n.a.")</x:f>
        <x:v>0.05355332709520148</x:v>
      </x:c>
      <x:c r="G178" s="2" t="n">
        <x:f>IF(ISNUMBER(F178),IF(AND(ABS(F178)+0.00000000001&gt;=$B$6,ABS(E178)+0.000000001&gt;=$D$6),1,0),"n.a.")</x:f>
        <x:v>0</x:v>
      </x:c>
      <x:c r="H178" s="2" t="n">
        <x:f>IF(ISNUMBER(E178),SIGN(E178),"n.a.")</x:f>
        <x:v>1</x:v>
      </x:c>
      <x:c r="I178" s="2" t="n">
        <x:f>IF(NOT(ISNUMBER(G178)),"n.a.",IF(G178=0,0,IF(AND(B178=B164,A178=EDATE(A164,1),H178=H164,ISNUMBER(I164)),I164+1,1)))</x:f>
        <x:v>0</x:v>
      </x:c>
      <x:c r="J178" s="2" t="n">
        <x:f>IF(ISNUMBER(F178),IF(AND(ABS(F178)+0.00000000001&gt;=$B$7,ABS(E178)+0.000000001&gt;=$D$7),1,0),"n.a.")</x:f>
        <x:v>0</x:v>
      </x:c>
      <x:c r="K178" s="2" t="str">
        <x:f>IF(NOT(ISNUMBER(F178)),"No evaluable",IF(OR(J178=1,I178&gt;=$B$8),"Prioridad",IF(G178=1,"Observar","Sin umbral")))</x:f>
        <x:v>Sin umbral</x:v>
      </x:c>
      <x:c r="L178" s="2" t="str">
        <x:f>IF(K178="No evaluable","Faltan datos",IF(J178=1,"Magnitud",IF(I178&gt;=$B$8,"Persistencia",IF(G178=1,"Cambio del mes","Sin umbral"))))</x:f>
        <x:v>Sin umbral</x:v>
      </x:c>
      <x:c r="M178" s="2" t="n">
        <x:f>ROW()-40</x:f>
        <x:v>138</x:v>
      </x:c>
    </x:row>
    <x:row r="179" ht="48" customHeight="1">
      <x:c r="A179" s="4" t="n">
        <x:v>45200</x:v>
      </x:c>
      <x:c r="B179" s="32" t="str">
        <x:v>Extracción de minerales</x:v>
      </x:c>
      <x:c r="C179" s="10" t="n">
        <x:f>IF(ISNUMBER('Actividades'!F316),'Actividades'!F316,"n.a.")</x:f>
        <x:v>22.651575268817204</x:v>
      </x:c>
      <x:c r="D179" s="10" t="n">
        <x:f>IF(ISNUMBER('Actividades'!G316),'Actividades'!G316,"n.a.")</x:f>
        <x:v>20.161274193548387</x:v>
      </x:c>
      <x:c r="E179" s="10" t="n">
        <x:f>IF(AND(ISNUMBER(C179),ISNUMBER(D179),C179&gt;=0,D179&gt;0),C179-D179,"n.a.")</x:f>
        <x:v>2.4903010752688175</x:v>
      </x:c>
      <x:c r="F179" s="12" t="n">
        <x:f>IF(ISNUMBER(E179),E179/D179,"n.a.")</x:f>
        <x:v>0.12351903214855907</x:v>
      </x:c>
      <x:c r="G179" s="2" t="n">
        <x:f>IF(ISNUMBER(F179),IF(AND(ABS(F179)+0.00000000001&gt;=$B$6,ABS(E179)+0.000000001&gt;=$D$6),1,0),"n.a.")</x:f>
        <x:v>0</x:v>
      </x:c>
      <x:c r="H179" s="2" t="n">
        <x:f>IF(ISNUMBER(E179),SIGN(E179),"n.a.")</x:f>
        <x:v>1</x:v>
      </x:c>
      <x:c r="I179" s="2" t="n">
        <x:f>IF(NOT(ISNUMBER(G179)),"n.a.",IF(G179=0,0,IF(AND(B179=B165,A179=EDATE(A165,1),H179=H165,ISNUMBER(I165)),I165+1,1)))</x:f>
        <x:v>0</x:v>
      </x:c>
      <x:c r="J179" s="2" t="n">
        <x:f>IF(ISNUMBER(F179),IF(AND(ABS(F179)+0.00000000001&gt;=$B$7,ABS(E179)+0.000000001&gt;=$D$7),1,0),"n.a.")</x:f>
        <x:v>0</x:v>
      </x:c>
      <x:c r="K179" s="2" t="str">
        <x:f>IF(NOT(ISNUMBER(F179)),"No evaluable",IF(OR(J179=1,I179&gt;=$B$8),"Prioridad",IF(G179=1,"Observar","Sin umbral")))</x:f>
        <x:v>Sin umbral</x:v>
      </x:c>
      <x:c r="L179" s="2" t="str">
        <x:f>IF(K179="No evaluable","Faltan datos",IF(J179=1,"Magnitud",IF(I179&gt;=$B$8,"Persistencia",IF(G179=1,"Cambio del mes","Sin umbral"))))</x:f>
        <x:v>Sin umbral</x:v>
      </x:c>
      <x:c r="M179" s="2" t="n">
        <x:f>ROW()-40</x:f>
        <x:v>139</x:v>
      </x:c>
    </x:row>
    <x:row r="180" ht="48" customHeight="1">
      <x:c r="A180" s="4" t="n">
        <x:v>45200</x:v>
      </x:c>
      <x:c r="B180" s="32" t="str">
        <x:v>Extracción de petróleo</x:v>
      </x:c>
      <x:c r="C180" s="10" t="n">
        <x:f>IF(ISNUMBER('Actividades'!F317),'Actividades'!F317,"n.a.")</x:f>
        <x:v>152.40779704301076</x:v>
      </x:c>
      <x:c r="D180" s="10" t="n">
        <x:f>IF(ISNUMBER('Actividades'!G317),'Actividades'!G317,"n.a.")</x:f>
        <x:v>157.465373655914</x:v>
      </x:c>
      <x:c r="E180" s="10" t="n">
        <x:f>IF(AND(ISNUMBER(C180),ISNUMBER(D180),C180&gt;=0,D180&gt;0),C180-D180,"n.a.")</x:f>
        <x:v>-5.057576612903233</x:v>
      </x:c>
      <x:c r="F180" s="12" t="n">
        <x:f>IF(ISNUMBER(E180),E180/D180,"n.a.")</x:f>
        <x:v>-0.03211865882308078</x:v>
      </x:c>
      <x:c r="G180" s="2" t="n">
        <x:f>IF(ISNUMBER(F180),IF(AND(ABS(F180)+0.00000000001&gt;=$B$6,ABS(E180)+0.000000001&gt;=$D$6),1,0),"n.a.")</x:f>
        <x:v>0</x:v>
      </x:c>
      <x:c r="H180" s="2" t="n">
        <x:f>IF(ISNUMBER(E180),SIGN(E180),"n.a.")</x:f>
        <x:v>-1</x:v>
      </x:c>
      <x:c r="I180" s="2" t="n">
        <x:f>IF(NOT(ISNUMBER(G180)),"n.a.",IF(G180=0,0,IF(AND(B180=B166,A180=EDATE(A166,1),H180=H166,ISNUMBER(I166)),I166+1,1)))</x:f>
        <x:v>0</x:v>
      </x:c>
      <x:c r="J180" s="2" t="n">
        <x:f>IF(ISNUMBER(F180),IF(AND(ABS(F180)+0.00000000001&gt;=$B$7,ABS(E180)+0.000000001&gt;=$D$7),1,0),"n.a.")</x:f>
        <x:v>0</x:v>
      </x:c>
      <x:c r="K180" s="2" t="str">
        <x:f>IF(NOT(ISNUMBER(F180)),"No evaluable",IF(OR(J180=1,I180&gt;=$B$8),"Prioridad",IF(G180=1,"Observar","Sin umbral")))</x:f>
        <x:v>Sin umbral</x:v>
      </x:c>
      <x:c r="L180" s="2" t="str">
        <x:f>IF(K180="No evaluable","Faltan datos",IF(J180=1,"Magnitud",IF(I180&gt;=$B$8,"Persistencia",IF(G180=1,"Cambio del mes","Sin umbral"))))</x:f>
        <x:v>Sin umbral</x:v>
      </x:c>
      <x:c r="M180" s="2" t="n">
        <x:f>ROW()-40</x:f>
        <x:v>140</x:v>
      </x:c>
    </x:row>
    <x:row r="181" ht="48" customHeight="1">
      <x:c r="A181" s="4" t="n">
        <x:v>45231</x:v>
      </x:c>
      <x:c r="B181" s="32" t="str">
        <x:v>Cargas y puertos</x:v>
      </x:c>
      <x:c r="C181" s="10" t="n">
        <x:f>IF(ISNUMBER('Actividades'!F318),'Actividades'!F318,"n.a.")</x:f>
        <x:v>10.10809861111111</x:v>
      </x:c>
      <x:c r="D181" s="10" t="n">
        <x:f>IF(ISNUMBER('Actividades'!G318),'Actividades'!G318,"n.a.")</x:f>
        <x:v>8.462795833333333</x:v>
      </x:c>
      <x:c r="E181" s="10" t="n">
        <x:f>IF(AND(ISNUMBER(C181),ISNUMBER(D181),C181&gt;=0,D181&gt;0),C181-D181,"n.a.")</x:f>
        <x:v>1.6453027777777773</x:v>
      </x:c>
      <x:c r="F181" s="12" t="n">
        <x:f>IF(ISNUMBER(E181),E181/D181,"n.a.")</x:f>
        <x:v>0.1944159838167482</x:v>
      </x:c>
      <x:c r="G181" s="2" t="n">
        <x:f>IF(ISNUMBER(F181),IF(AND(ABS(F181)+0.00000000001&gt;=$B$6,ABS(E181)+0.000000001&gt;=$D$6),1,0),"n.a.")</x:f>
        <x:v>0</x:v>
      </x:c>
      <x:c r="H181" s="2" t="n">
        <x:f>IF(ISNUMBER(E181),SIGN(E181),"n.a.")</x:f>
        <x:v>1</x:v>
      </x:c>
      <x:c r="I181" s="2" t="n">
        <x:f>IF(NOT(ISNUMBER(G181)),"n.a.",IF(G181=0,0,IF(AND(B181=B167,A181=EDATE(A167,1),H181=H167,ISNUMBER(I167)),I167+1,1)))</x:f>
        <x:v>0</x:v>
      </x:c>
      <x:c r="J181" s="2" t="n">
        <x:f>IF(ISNUMBER(F181),IF(AND(ABS(F181)+0.00000000001&gt;=$B$7,ABS(E181)+0.000000001&gt;=$D$7),1,0),"n.a.")</x:f>
        <x:v>0</x:v>
      </x:c>
      <x:c r="K181" s="2" t="str">
        <x:f>IF(NOT(ISNUMBER(F181)),"No evaluable",IF(OR(J181=1,I181&gt;=$B$8),"Prioridad",IF(G181=1,"Observar","Sin umbral")))</x:f>
        <x:v>Sin umbral</x:v>
      </x:c>
      <x:c r="L181" s="2" t="str">
        <x:f>IF(K181="No evaluable","Faltan datos",IF(J181=1,"Magnitud",IF(I181&gt;=$B$8,"Persistencia",IF(G181=1,"Cambio del mes","Sin umbral"))))</x:f>
        <x:v>Sin umbral</x:v>
      </x:c>
      <x:c r="M181" s="2" t="n">
        <x:f>ROW()-40</x:f>
        <x:v>141</x:v>
      </x:c>
    </x:row>
    <x:row r="182" ht="48" customHeight="1">
      <x:c r="A182" s="4" t="n">
        <x:v>45231</x:v>
      </x:c>
      <x:c r="B182" s="32" t="str">
        <x:v>Comercio y servicios: principalmente supermercados y centros comerciales</x:v>
      </x:c>
      <x:c r="C182" s="10" t="n">
        <x:f>IF(ISNUMBER('Actividades'!F319),'Actividades'!F319,"n.a.")</x:f>
        <x:v>36.82725</x:v>
      </x:c>
      <x:c r="D182" s="10" t="n">
        <x:f>IF(ISNUMBER('Actividades'!G319),'Actividades'!G319,"n.a.")</x:f>
        <x:v>35.74963888888889</x:v>
      </x:c>
      <x:c r="E182" s="10" t="n">
        <x:f>IF(AND(ISNUMBER(C182),ISNUMBER(D182),C182&gt;=0,D182&gt;0),C182-D182,"n.a.")</x:f>
        <x:v>1.0776111111111106</x:v>
      </x:c>
      <x:c r="F182" s="12" t="n">
        <x:f>IF(ISNUMBER(E182),E182/D182,"n.a.")</x:f>
        <x:v>0.030143272620469348</x:v>
      </x:c>
      <x:c r="G182" s="2" t="n">
        <x:f>IF(ISNUMBER(F182),IF(AND(ABS(F182)+0.00000000001&gt;=$B$6,ABS(E182)+0.000000001&gt;=$D$6),1,0),"n.a.")</x:f>
        <x:v>0</x:v>
      </x:c>
      <x:c r="H182" s="2" t="n">
        <x:f>IF(ISNUMBER(E182),SIGN(E182),"n.a.")</x:f>
        <x:v>1</x:v>
      </x:c>
      <x:c r="I182" s="2" t="n">
        <x:f>IF(NOT(ISNUMBER(G182)),"n.a.",IF(G182=0,0,IF(AND(B182=B168,A182=EDATE(A168,1),H182=H168,ISNUMBER(I168)),I168+1,1)))</x:f>
        <x:v>0</x:v>
      </x:c>
      <x:c r="J182" s="2" t="n">
        <x:f>IF(ISNUMBER(F182),IF(AND(ABS(F182)+0.00000000001&gt;=$B$7,ABS(E182)+0.000000001&gt;=$D$7),1,0),"n.a.")</x:f>
        <x:v>0</x:v>
      </x:c>
      <x:c r="K182" s="2" t="str">
        <x:f>IF(NOT(ISNUMBER(F182)),"No evaluable",IF(OR(J182=1,I182&gt;=$B$8),"Prioridad",IF(G182=1,"Observar","Sin umbral")))</x:f>
        <x:v>Sin umbral</x:v>
      </x:c>
      <x:c r="L182" s="2" t="str">
        <x:f>IF(K182="No evaluable","Faltan datos",IF(J182=1,"Magnitud",IF(I182&gt;=$B$8,"Persistencia",IF(G182=1,"Cambio del mes","Sin umbral"))))</x:f>
        <x:v>Sin umbral</x:v>
      </x:c>
      <x:c r="M182" s="2" t="n">
        <x:f>ROW()-40</x:f>
        <x:v>142</x:v>
      </x:c>
    </x:row>
    <x:row r="183" ht="48" customHeight="1">
      <x:c r="A183" s="4" t="n">
        <x:v>45231</x:v>
      </x:c>
      <x:c r="B183" s="32" t="str">
        <x:v>Alimentación y artículos de consumo masivo</x:v>
      </x:c>
      <x:c r="C183" s="10" t="n">
        <x:f>IF(ISNUMBER('Actividades'!F320),'Actividades'!F320,"n.a.")</x:f>
        <x:v>261.1768861111111</x:v>
      </x:c>
      <x:c r="D183" s="10" t="n">
        <x:f>IF(ISNUMBER('Actividades'!G320),'Actividades'!G320,"n.a.")</x:f>
        <x:v>294.71852638888885</x:v>
      </x:c>
      <x:c r="E183" s="10" t="n">
        <x:f>IF(AND(ISNUMBER(C183),ISNUMBER(D183),C183&gt;=0,D183&gt;0),C183-D183,"n.a.")</x:f>
        <x:v>-33.54164027777773</x:v>
      </x:c>
      <x:c r="F183" s="12" t="n">
        <x:f>IF(ISNUMBER(E183),E183/D183,"n.a.")</x:f>
        <x:v>-0.11380906619191851</x:v>
      </x:c>
      <x:c r="G183" s="2" t="n">
        <x:f>IF(ISNUMBER(F183),IF(AND(ABS(F183)+0.00000000001&gt;=$B$6,ABS(E183)+0.000000001&gt;=$D$6),1,0),"n.a.")</x:f>
        <x:v>1</x:v>
      </x:c>
      <x:c r="H183" s="2" t="n">
        <x:f>IF(ISNUMBER(E183),SIGN(E183),"n.a.")</x:f>
        <x:v>-1</x:v>
      </x:c>
      <x:c r="I183" s="2" t="n">
        <x:f>IF(NOT(ISNUMBER(G183)),"n.a.",IF(G183=0,0,IF(AND(B183=B169,A183=EDATE(A169,1),H183=H169,ISNUMBER(I169)),I169+1,1)))</x:f>
        <x:v>1</x:v>
      </x:c>
      <x:c r="J183" s="2" t="n">
        <x:f>IF(ISNUMBER(F183),IF(AND(ABS(F183)+0.00000000001&gt;=$B$7,ABS(E183)+0.000000001&gt;=$D$7),1,0),"n.a.")</x:f>
        <x:v>0</x:v>
      </x:c>
      <x:c r="K183" s="2" t="str">
        <x:f>IF(NOT(ISNUMBER(F183)),"No evaluable",IF(OR(J183=1,I183&gt;=$B$8),"Prioridad",IF(G183=1,"Observar","Sin umbral")))</x:f>
        <x:v>Observar</x:v>
      </x:c>
      <x:c r="L183" s="2" t="str">
        <x:f>IF(K183="No evaluable","Faltan datos",IF(J183=1,"Magnitud",IF(I183&gt;=$B$8,"Persistencia",IF(G183=1,"Cambio del mes","Sin umbral"))))</x:f>
        <x:v>Cambio del mes</x:v>
      </x:c>
      <x:c r="M183" s="2" t="n">
        <x:f>ROW()-40</x:f>
        <x:v>143</x:v>
      </x:c>
    </x:row>
    <x:row r="184" ht="48" customHeight="1">
      <x:c r="A184" s="4" t="n">
        <x:v>45231</x:v>
      </x:c>
      <x:c r="B184" s="32" t="str">
        <x:v>Servicios públicos y transporte: agua y transporte en GBA</x:v>
      </x:c>
      <x:c r="C184" s="10" t="n">
        <x:f>IF(ISNUMBER('Actividades'!F321),'Actividades'!F321,"n.a.")</x:f>
        <x:v>87.20690555555555</x:v>
      </x:c>
      <x:c r="D184" s="10" t="n">
        <x:f>IF(ISNUMBER('Actividades'!G321),'Actividades'!G321,"n.a.")</x:f>
        <x:v>86.6111388888889</x:v>
      </x:c>
      <x:c r="E184" s="10" t="n">
        <x:f>IF(AND(ISNUMBER(C184),ISNUMBER(D184),C184&gt;=0,D184&gt;0),C184-D184,"n.a.")</x:f>
        <x:v>0.5957666666666483</x:v>
      </x:c>
      <x:c r="F184" s="12" t="n">
        <x:f>IF(ISNUMBER(E184),E184/D184,"n.a.")</x:f>
        <x:v>0.006878637947838804</x:v>
      </x:c>
      <x:c r="G184" s="2" t="n">
        <x:f>IF(ISNUMBER(F184),IF(AND(ABS(F184)+0.00000000001&gt;=$B$6,ABS(E184)+0.000000001&gt;=$D$6),1,0),"n.a.")</x:f>
        <x:v>0</x:v>
      </x:c>
      <x:c r="H184" s="2" t="n">
        <x:f>IF(ISNUMBER(E184),SIGN(E184),"n.a.")</x:f>
        <x:v>1</x:v>
      </x:c>
      <x:c r="I184" s="2" t="n">
        <x:f>IF(NOT(ISNUMBER(G184)),"n.a.",IF(G184=0,0,IF(AND(B184=B170,A184=EDATE(A170,1),H184=H170,ISNUMBER(I170)),I170+1,1)))</x:f>
        <x:v>0</x:v>
      </x:c>
      <x:c r="J184" s="2" t="n">
        <x:f>IF(ISNUMBER(F184),IF(AND(ABS(F184)+0.00000000001&gt;=$B$7,ABS(E184)+0.000000001&gt;=$D$7),1,0),"n.a.")</x:f>
        <x:v>0</x:v>
      </x:c>
      <x:c r="K184" s="2" t="str">
        <x:f>IF(NOT(ISNUMBER(F184)),"No evaluable",IF(OR(J184=1,I184&gt;=$B$8),"Prioridad",IF(G184=1,"Observar","Sin umbral")))</x:f>
        <x:v>Sin umbral</x:v>
      </x:c>
      <x:c r="L184" s="2" t="str">
        <x:f>IF(K184="No evaluable","Faltan datos",IF(J184=1,"Magnitud",IF(I184&gt;=$B$8,"Persistencia",IF(G184=1,"Cambio del mes","Sin umbral"))))</x:f>
        <x:v>Sin umbral</x:v>
      </x:c>
      <x:c r="M184" s="2" t="n">
        <x:f>ROW()-40</x:f>
        <x:v>144</x:v>
      </x:c>
    </x:row>
    <x:row r="185" ht="48" customHeight="1">
      <x:c r="A185" s="4" t="n">
        <x:v>45231</x:v>
      </x:c>
      <x:c r="B185" s="32" t="str">
        <x:v>Industria automotriz</x:v>
      </x:c>
      <x:c r="C185" s="10" t="n">
        <x:f>IF(ISNUMBER('Actividades'!F322),'Actividades'!F322,"n.a.")</x:f>
        <x:v>46.246047222222224</x:v>
      </x:c>
      <x:c r="D185" s="10" t="n">
        <x:f>IF(ISNUMBER('Actividades'!G322),'Actividades'!G322,"n.a.")</x:f>
        <x:v>42.028394444444444</x:v>
      </x:c>
      <x:c r="E185" s="10" t="n">
        <x:f>IF(AND(ISNUMBER(C185),ISNUMBER(D185),C185&gt;=0,D185&gt;0),C185-D185,"n.a.")</x:f>
        <x:v>4.217652777777779</x:v>
      </x:c>
      <x:c r="F185" s="12" t="n">
        <x:f>IF(ISNUMBER(E185),E185/D185,"n.a.")</x:f>
        <x:v>0.1003524601291376</x:v>
      </x:c>
      <x:c r="G185" s="2" t="n">
        <x:f>IF(ISNUMBER(F185),IF(AND(ABS(F185)+0.00000000001&gt;=$B$6,ABS(E185)+0.000000001&gt;=$D$6),1,0),"n.a.")</x:f>
        <x:v>0</x:v>
      </x:c>
      <x:c r="H185" s="2" t="n">
        <x:f>IF(ISNUMBER(E185),SIGN(E185),"n.a.")</x:f>
        <x:v>1</x:v>
      </x:c>
      <x:c r="I185" s="2" t="n">
        <x:f>IF(NOT(ISNUMBER(G185)),"n.a.",IF(G185=0,0,IF(AND(B185=B171,A185=EDATE(A171,1),H185=H171,ISNUMBER(I171)),I171+1,1)))</x:f>
        <x:v>0</x:v>
      </x:c>
      <x:c r="J185" s="2" t="n">
        <x:f>IF(ISNUMBER(F185),IF(AND(ABS(F185)+0.00000000001&gt;=$B$7,ABS(E185)+0.000000001&gt;=$D$7),1,0),"n.a.")</x:f>
        <x:v>0</x:v>
      </x:c>
      <x:c r="K185" s="2" t="str">
        <x:f>IF(NOT(ISNUMBER(F185)),"No evaluable",IF(OR(J185=1,I185&gt;=$B$8),"Prioridad",IF(G185=1,"Observar","Sin umbral")))</x:f>
        <x:v>Sin umbral</x:v>
      </x:c>
      <x:c r="L185" s="2" t="str">
        <x:f>IF(K185="No evaluable","Faltan datos",IF(J185=1,"Magnitud",IF(I185&gt;=$B$8,"Persistencia",IF(G185=1,"Cambio del mes","Sin umbral"))))</x:f>
        <x:v>Sin umbral</x:v>
      </x:c>
      <x:c r="M185" s="2" t="n">
        <x:f>ROW()-40</x:f>
        <x:v>145</x:v>
      </x:c>
    </x:row>
    <x:row r="186" ht="48" customHeight="1">
      <x:c r="A186" s="4" t="n">
        <x:v>45231</x:v>
      </x:c>
      <x:c r="B186" s="32" t="str">
        <x:v>Derivados de petróleo</x:v>
      </x:c>
      <x:c r="C186" s="10" t="n">
        <x:f>IF(ISNUMBER('Actividades'!F323),'Actividades'!F323,"n.a.")</x:f>
        <x:v>166.46679444444445</x:v>
      </x:c>
      <x:c r="D186" s="10" t="n">
        <x:f>IF(ISNUMBER('Actividades'!G323),'Actividades'!G323,"n.a.")</x:f>
        <x:v>162.29210972222225</x:v>
      </x:c>
      <x:c r="E186" s="10" t="n">
        <x:f>IF(AND(ISNUMBER(C186),ISNUMBER(D186),C186&gt;=0,D186&gt;0),C186-D186,"n.a.")</x:f>
        <x:v>4.174684722222196</x:v>
      </x:c>
      <x:c r="F186" s="12" t="n">
        <x:f>IF(ISNUMBER(E186),E186/D186,"n.a.")</x:f>
        <x:v>0.02572327594587038</x:v>
      </x:c>
      <x:c r="G186" s="2" t="n">
        <x:f>IF(ISNUMBER(F186),IF(AND(ABS(F186)+0.00000000001&gt;=$B$6,ABS(E186)+0.000000001&gt;=$D$6),1,0),"n.a.")</x:f>
        <x:v>0</x:v>
      </x:c>
      <x:c r="H186" s="2" t="n">
        <x:f>IF(ISNUMBER(E186),SIGN(E186),"n.a.")</x:f>
        <x:v>1</x:v>
      </x:c>
      <x:c r="I186" s="2" t="n">
        <x:f>IF(NOT(ISNUMBER(G186)),"n.a.",IF(G186=0,0,IF(AND(B186=B172,A186=EDATE(A172,1),H186=H172,ISNUMBER(I172)),I172+1,1)))</x:f>
        <x:v>0</x:v>
      </x:c>
      <x:c r="J186" s="2" t="n">
        <x:f>IF(ISNUMBER(F186),IF(AND(ABS(F186)+0.00000000001&gt;=$B$7,ABS(E186)+0.000000001&gt;=$D$7),1,0),"n.a.")</x:f>
        <x:v>0</x:v>
      </x:c>
      <x:c r="K186" s="2" t="str">
        <x:f>IF(NOT(ISNUMBER(F186)),"No evaluable",IF(OR(J186=1,I186&gt;=$B$8),"Prioridad",IF(G186=1,"Observar","Sin umbral")))</x:f>
        <x:v>Sin umbral</x:v>
      </x:c>
      <x:c r="L186" s="2" t="str">
        <x:f>IF(K186="No evaluable","Faltan datos",IF(J186=1,"Magnitud",IF(I186&gt;=$B$8,"Persistencia",IF(G186=1,"Cambio del mes","Sin umbral"))))</x:f>
        <x:v>Sin umbral</x:v>
      </x:c>
      <x:c r="M186" s="2" t="n">
        <x:f>ROW()-40</x:f>
        <x:v>146</x:v>
      </x:c>
    </x:row>
    <x:row r="187" ht="48" customHeight="1">
      <x:c r="A187" s="4" t="n">
        <x:v>45231</x:v>
      </x:c>
      <x:c r="B187" s="32" t="str">
        <x:v>Construcción: elaboración de cemento y canteras</x:v>
      </x:c>
      <x:c r="C187" s="10" t="n">
        <x:f>IF(ISNUMBER('Actividades'!F324),'Actividades'!F324,"n.a.")</x:f>
        <x:v>181.767525</x:v>
      </x:c>
      <x:c r="D187" s="10" t="n">
        <x:f>IF(ISNUMBER('Actividades'!G324),'Actividades'!G324,"n.a.")</x:f>
        <x:v>184.2408125</x:v>
      </x:c>
      <x:c r="E187" s="10" t="n">
        <x:f>IF(AND(ISNUMBER(C187),ISNUMBER(D187),C187&gt;=0,D187&gt;0),C187-D187,"n.a.")</x:f>
        <x:v>-2.473287499999998</x:v>
      </x:c>
      <x:c r="F187" s="12" t="n">
        <x:f>IF(ISNUMBER(E187),E187/D187,"n.a.")</x:f>
        <x:v>-0.013424210773060925</x:v>
      </x:c>
      <x:c r="G187" s="2" t="n">
        <x:f>IF(ISNUMBER(F187),IF(AND(ABS(F187)+0.00000000001&gt;=$B$6,ABS(E187)+0.000000001&gt;=$D$6),1,0),"n.a.")</x:f>
        <x:v>0</x:v>
      </x:c>
      <x:c r="H187" s="2" t="n">
        <x:f>IF(ISNUMBER(E187),SIGN(E187),"n.a.")</x:f>
        <x:v>-1</x:v>
      </x:c>
      <x:c r="I187" s="2" t="n">
        <x:f>IF(NOT(ISNUMBER(G187)),"n.a.",IF(G187=0,0,IF(AND(B187=B173,A187=EDATE(A173,1),H187=H173,ISNUMBER(I173)),I173+1,1)))</x:f>
        <x:v>0</x:v>
      </x:c>
      <x:c r="J187" s="2" t="n">
        <x:f>IF(ISNUMBER(F187),IF(AND(ABS(F187)+0.00000000001&gt;=$B$7,ABS(E187)+0.000000001&gt;=$D$7),1,0),"n.a.")</x:f>
        <x:v>0</x:v>
      </x:c>
      <x:c r="K187" s="2" t="str">
        <x:f>IF(NOT(ISNUMBER(F187)),"No evaluable",IF(OR(J187=1,I187&gt;=$B$8),"Prioridad",IF(G187=1,"Observar","Sin umbral")))</x:f>
        <x:v>Sin umbral</x:v>
      </x:c>
      <x:c r="L187" s="2" t="str">
        <x:f>IF(K187="No evaluable","Faltan datos",IF(J187=1,"Magnitud",IF(I187&gt;=$B$8,"Persistencia",IF(G187=1,"Cambio del mes","Sin umbral"))))</x:f>
        <x:v>Sin umbral</x:v>
      </x:c>
      <x:c r="M187" s="2" t="n">
        <x:f>ROW()-40</x:f>
        <x:v>147</x:v>
      </x:c>
    </x:row>
    <x:row r="188" ht="48" customHeight="1">
      <x:c r="A188" s="4" t="n">
        <x:v>45231</x:v>
      </x:c>
      <x:c r="B188" s="32" t="str">
        <x:v>Madera y papel</x:v>
      </x:c>
      <x:c r="C188" s="10" t="n">
        <x:f>IF(ISNUMBER('Actividades'!F325),'Actividades'!F325,"n.a.")</x:f>
        <x:v>111.24213333333334</x:v>
      </x:c>
      <x:c r="D188" s="10" t="n">
        <x:f>IF(ISNUMBER('Actividades'!G325),'Actividades'!G325,"n.a.")</x:f>
        <x:v>110.09355416666666</x:v>
      </x:c>
      <x:c r="E188" s="10" t="n">
        <x:f>IF(AND(ISNUMBER(C188),ISNUMBER(D188),C188&gt;=0,D188&gt;0),C188-D188,"n.a.")</x:f>
        <x:v>1.1485791666666785</x:v>
      </x:c>
      <x:c r="F188" s="12" t="n">
        <x:f>IF(ISNUMBER(E188),E188/D188,"n.a.")</x:f>
        <x:v>0.010432755808100136</x:v>
      </x:c>
      <x:c r="G188" s="2" t="n">
        <x:f>IF(ISNUMBER(F188),IF(AND(ABS(F188)+0.00000000001&gt;=$B$6,ABS(E188)+0.000000001&gt;=$D$6),1,0),"n.a.")</x:f>
        <x:v>0</x:v>
      </x:c>
      <x:c r="H188" s="2" t="n">
        <x:f>IF(ISNUMBER(E188),SIGN(E188),"n.a.")</x:f>
        <x:v>1</x:v>
      </x:c>
      <x:c r="I188" s="2" t="n">
        <x:f>IF(NOT(ISNUMBER(G188)),"n.a.",IF(G188=0,0,IF(AND(B188=B174,A188=EDATE(A174,1),H188=H174,ISNUMBER(I174)),I174+1,1)))</x:f>
        <x:v>0</x:v>
      </x:c>
      <x:c r="J188" s="2" t="n">
        <x:f>IF(ISNUMBER(F188),IF(AND(ABS(F188)+0.00000000001&gt;=$B$7,ABS(E188)+0.000000001&gt;=$D$7),1,0),"n.a.")</x:f>
        <x:v>0</x:v>
      </x:c>
      <x:c r="K188" s="2" t="str">
        <x:f>IF(NOT(ISNUMBER(F188)),"No evaluable",IF(OR(J188=1,I188&gt;=$B$8),"Prioridad",IF(G188=1,"Observar","Sin umbral")))</x:f>
        <x:v>Sin umbral</x:v>
      </x:c>
      <x:c r="L188" s="2" t="str">
        <x:f>IF(K188="No evaluable","Faltan datos",IF(J188=1,"Magnitud",IF(I188&gt;=$B$8,"Persistencia",IF(G188=1,"Cambio del mes","Sin umbral"))))</x:f>
        <x:v>Sin umbral</x:v>
      </x:c>
      <x:c r="M188" s="2" t="n">
        <x:f>ROW()-40</x:f>
        <x:v>148</x:v>
      </x:c>
    </x:row>
    <x:row r="189" ht="48" customHeight="1">
      <x:c r="A189" s="4" t="n">
        <x:v>45231</x:v>
      </x:c>
      <x:c r="B189" s="32" t="str">
        <x:v>Productos metálicos no automotores</x:v>
      </x:c>
      <x:c r="C189" s="10" t="n">
        <x:f>IF(ISNUMBER('Actividades'!F326),'Actividades'!F326,"n.a.")</x:f>
        <x:v>49.571956944444445</x:v>
      </x:c>
      <x:c r="D189" s="10" t="n">
        <x:f>IF(ISNUMBER('Actividades'!G326),'Actividades'!G326,"n.a.")</x:f>
        <x:v>54.11564722222222</x:v>
      </x:c>
      <x:c r="E189" s="10" t="n">
        <x:f>IF(AND(ISNUMBER(C189),ISNUMBER(D189),C189&gt;=0,D189&gt;0),C189-D189,"n.a.")</x:f>
        <x:v>-4.5436902777777775</x:v>
      </x:c>
      <x:c r="F189" s="12" t="n">
        <x:f>IF(ISNUMBER(E189),E189/D189,"n.a.")</x:f>
        <x:v>-0.08396259697531515</x:v>
      </x:c>
      <x:c r="G189" s="2" t="n">
        <x:f>IF(ISNUMBER(F189),IF(AND(ABS(F189)+0.00000000001&gt;=$B$6,ABS(E189)+0.000000001&gt;=$D$6),1,0),"n.a.")</x:f>
        <x:v>0</x:v>
      </x:c>
      <x:c r="H189" s="2" t="n">
        <x:f>IF(ISNUMBER(E189),SIGN(E189),"n.a.")</x:f>
        <x:v>-1</x:v>
      </x:c>
      <x:c r="I189" s="2" t="n">
        <x:f>IF(NOT(ISNUMBER(G189)),"n.a.",IF(G189=0,0,IF(AND(B189=B175,A189=EDATE(A175,1),H189=H175,ISNUMBER(I175)),I175+1,1)))</x:f>
        <x:v>0</x:v>
      </x:c>
      <x:c r="J189" s="2" t="n">
        <x:f>IF(ISNUMBER(F189),IF(AND(ABS(F189)+0.00000000001&gt;=$B$7,ABS(E189)+0.000000001&gt;=$D$7),1,0),"n.a.")</x:f>
        <x:v>0</x:v>
      </x:c>
      <x:c r="K189" s="2" t="str">
        <x:f>IF(NOT(ISNUMBER(F189)),"No evaluable",IF(OR(J189=1,I189&gt;=$B$8),"Prioridad",IF(G189=1,"Observar","Sin umbral")))</x:f>
        <x:v>Sin umbral</x:v>
      </x:c>
      <x:c r="L189" s="2" t="str">
        <x:f>IF(K189="No evaluable","Faltan datos",IF(J189=1,"Magnitud",IF(I189&gt;=$B$8,"Persistencia",IF(G189=1,"Cambio del mes","Sin umbral"))))</x:f>
        <x:v>Sin umbral</x:v>
      </x:c>
      <x:c r="M189" s="2" t="n">
        <x:f>ROW()-40</x:f>
        <x:v>149</x:v>
      </x:c>
    </x:row>
    <x:row r="190" ht="48" customHeight="1">
      <x:c r="A190" s="4" t="n">
        <x:v>45231</x:v>
      </x:c>
      <x:c r="B190" s="32" t="str">
        <x:v>Gran siderurgia</x:v>
      </x:c>
      <x:c r="C190" s="10" t="n">
        <x:f>IF(ISNUMBER('Actividades'!F327),'Actividades'!F327,"n.a.")</x:f>
        <x:v>351.0860930555555</x:v>
      </x:c>
      <x:c r="D190" s="10" t="n">
        <x:f>IF(ISNUMBER('Actividades'!G327),'Actividades'!G327,"n.a.")</x:f>
        <x:v>364.3673902777778</x:v>
      </x:c>
      <x:c r="E190" s="10" t="n">
        <x:f>IF(AND(ISNUMBER(C190),ISNUMBER(D190),C190&gt;=0,D190&gt;0),C190-D190,"n.a.")</x:f>
        <x:v>-13.281297222222292</x:v>
      </x:c>
      <x:c r="F190" s="12" t="n">
        <x:f>IF(ISNUMBER(E190),E190/D190,"n.a.")</x:f>
        <x:v>-0.03645029049415539</x:v>
      </x:c>
      <x:c r="G190" s="2" t="n">
        <x:f>IF(ISNUMBER(F190),IF(AND(ABS(F190)+0.00000000001&gt;=$B$6,ABS(E190)+0.000000001&gt;=$D$6),1,0),"n.a.")</x:f>
        <x:v>0</x:v>
      </x:c>
      <x:c r="H190" s="2" t="n">
        <x:f>IF(ISNUMBER(E190),SIGN(E190),"n.a.")</x:f>
        <x:v>-1</x:v>
      </x:c>
      <x:c r="I190" s="2" t="n">
        <x:f>IF(NOT(ISNUMBER(G190)),"n.a.",IF(G190=0,0,IF(AND(B190=B176,A190=EDATE(A176,1),H190=H176,ISNUMBER(I176)),I176+1,1)))</x:f>
        <x:v>0</x:v>
      </x:c>
      <x:c r="J190" s="2" t="n">
        <x:f>IF(ISNUMBER(F190),IF(AND(ABS(F190)+0.00000000001&gt;=$B$7,ABS(E190)+0.000000001&gt;=$D$7),1,0),"n.a.")</x:f>
        <x:v>0</x:v>
      </x:c>
      <x:c r="K190" s="2" t="str">
        <x:f>IF(NOT(ISNUMBER(F190)),"No evaluable",IF(OR(J190=1,I190&gt;=$B$8),"Prioridad",IF(G190=1,"Observar","Sin umbral")))</x:f>
        <x:v>Sin umbral</x:v>
      </x:c>
      <x:c r="L190" s="2" t="str">
        <x:f>IF(K190="No evaluable","Faltan datos",IF(J190=1,"Magnitud",IF(I190&gt;=$B$8,"Persistencia",IF(G190=1,"Cambio del mes","Sin umbral"))))</x:f>
        <x:v>Sin umbral</x:v>
      </x:c>
      <x:c r="M190" s="2" t="n">
        <x:f>ROW()-40</x:f>
        <x:v>150</x:v>
      </x:c>
    </x:row>
    <x:row r="191" ht="48" customHeight="1">
      <x:c r="A191" s="4" t="n">
        <x:v>45231</x:v>
      </x:c>
      <x:c r="B191" s="32" t="str">
        <x:v>Industria textil</x:v>
      </x:c>
      <x:c r="C191" s="10" t="n">
        <x:f>IF(ISNUMBER('Actividades'!F328),'Actividades'!F328,"n.a.")</x:f>
        <x:v>66.27253750000001</x:v>
      </x:c>
      <x:c r="D191" s="10" t="n">
        <x:f>IF(ISNUMBER('Actividades'!G328),'Actividades'!G328,"n.a.")</x:f>
        <x:v>65.30156111111111</x:v>
      </x:c>
      <x:c r="E191" s="10" t="n">
        <x:f>IF(AND(ISNUMBER(C191),ISNUMBER(D191),C191&gt;=0,D191&gt;0),C191-D191,"n.a.")</x:f>
        <x:v>0.9709763888889</x:v>
      </x:c>
      <x:c r="F191" s="12" t="n">
        <x:f>IF(ISNUMBER(E191),E191/D191,"n.a.")</x:f>
        <x:v>0.014869114495391253</x:v>
      </x:c>
      <x:c r="G191" s="2" t="n">
        <x:f>IF(ISNUMBER(F191),IF(AND(ABS(F191)+0.00000000001&gt;=$B$6,ABS(E191)+0.000000001&gt;=$D$6),1,0),"n.a.")</x:f>
        <x:v>0</x:v>
      </x:c>
      <x:c r="H191" s="2" t="n">
        <x:f>IF(ISNUMBER(E191),SIGN(E191),"n.a.")</x:f>
        <x:v>1</x:v>
      </x:c>
      <x:c r="I191" s="2" t="n">
        <x:f>IF(NOT(ISNUMBER(G191)),"n.a.",IF(G191=0,0,IF(AND(B191=B177,A191=EDATE(A177,1),H191=H177,ISNUMBER(I177)),I177+1,1)))</x:f>
        <x:v>0</x:v>
      </x:c>
      <x:c r="J191" s="2" t="n">
        <x:f>IF(ISNUMBER(F191),IF(AND(ABS(F191)+0.00000000001&gt;=$B$7,ABS(E191)+0.000000001&gt;=$D$7),1,0),"n.a.")</x:f>
        <x:v>0</x:v>
      </x:c>
      <x:c r="K191" s="2" t="str">
        <x:f>IF(NOT(ISNUMBER(F191)),"No evaluable",IF(OR(J191=1,I191&gt;=$B$8),"Prioridad",IF(G191=1,"Observar","Sin umbral")))</x:f>
        <x:v>Sin umbral</x:v>
      </x:c>
      <x:c r="L191" s="2" t="str">
        <x:f>IF(K191="No evaluable","Faltan datos",IF(J191=1,"Magnitud",IF(I191&gt;=$B$8,"Persistencia",IF(G191=1,"Cambio del mes","Sin umbral"))))</x:f>
        <x:v>Sin umbral</x:v>
      </x:c>
      <x:c r="M191" s="2" t="n">
        <x:f>ROW()-40</x:f>
        <x:v>151</x:v>
      </x:c>
    </x:row>
    <x:row r="192" ht="48" customHeight="1">
      <x:c r="A192" s="4" t="n">
        <x:v>45231</x:v>
      </x:c>
      <x:c r="B192" s="32" t="str">
        <x:v>Químicas, caucho, plástico y otros minerales no metálicos</x:v>
      </x:c>
      <x:c r="C192" s="10" t="n">
        <x:f>IF(ISNUMBER('Actividades'!F329),'Actividades'!F329,"n.a.")</x:f>
        <x:v>332.10415555555556</x:v>
      </x:c>
      <x:c r="D192" s="10" t="n">
        <x:f>IF(ISNUMBER('Actividades'!G329),'Actividades'!G329,"n.a.")</x:f>
        <x:v>349.0123597222222</x:v>
      </x:c>
      <x:c r="E192" s="10" t="n">
        <x:f>IF(AND(ISNUMBER(C192),ISNUMBER(D192),C192&gt;=0,D192&gt;0),C192-D192,"n.a.")</x:f>
        <x:v>-16.90820416666662</x:v>
      </x:c>
      <x:c r="F192" s="12" t="n">
        <x:f>IF(ISNUMBER(E192),E192/D192,"n.a.")</x:f>
        <x:v>-0.04844586071428475</x:v>
      </x:c>
      <x:c r="G192" s="2" t="n">
        <x:f>IF(ISNUMBER(F192),IF(AND(ABS(F192)+0.00000000001&gt;=$B$6,ABS(E192)+0.000000001&gt;=$D$6),1,0),"n.a.")</x:f>
        <x:v>0</x:v>
      </x:c>
      <x:c r="H192" s="2" t="n">
        <x:f>IF(ISNUMBER(E192),SIGN(E192),"n.a.")</x:f>
        <x:v>-1</x:v>
      </x:c>
      <x:c r="I192" s="2" t="n">
        <x:f>IF(NOT(ISNUMBER(G192)),"n.a.",IF(G192=0,0,IF(AND(B192=B178,A192=EDATE(A178,1),H192=H178,ISNUMBER(I178)),I178+1,1)))</x:f>
        <x:v>0</x:v>
      </x:c>
      <x:c r="J192" s="2" t="n">
        <x:f>IF(ISNUMBER(F192),IF(AND(ABS(F192)+0.00000000001&gt;=$B$7,ABS(E192)+0.000000001&gt;=$D$7),1,0),"n.a.")</x:f>
        <x:v>0</x:v>
      </x:c>
      <x:c r="K192" s="2" t="str">
        <x:f>IF(NOT(ISNUMBER(F192)),"No evaluable",IF(OR(J192=1,I192&gt;=$B$8),"Prioridad",IF(G192=1,"Observar","Sin umbral")))</x:f>
        <x:v>Sin umbral</x:v>
      </x:c>
      <x:c r="L192" s="2" t="str">
        <x:f>IF(K192="No evaluable","Faltan datos",IF(J192=1,"Magnitud",IF(I192&gt;=$B$8,"Persistencia",IF(G192=1,"Cambio del mes","Sin umbral"))))</x:f>
        <x:v>Sin umbral</x:v>
      </x:c>
      <x:c r="M192" s="2" t="n">
        <x:f>ROW()-40</x:f>
        <x:v>152</x:v>
      </x:c>
    </x:row>
    <x:row r="193" ht="48" customHeight="1">
      <x:c r="A193" s="4" t="n">
        <x:v>45231</x:v>
      </x:c>
      <x:c r="B193" s="32" t="str">
        <x:v>Extracción de minerales</x:v>
      </x:c>
      <x:c r="C193" s="10" t="n">
        <x:f>IF(ISNUMBER('Actividades'!F330),'Actividades'!F330,"n.a.")</x:f>
        <x:v>22.9203875</x:v>
      </x:c>
      <x:c r="D193" s="10" t="n">
        <x:f>IF(ISNUMBER('Actividades'!G330),'Actividades'!G330,"n.a.")</x:f>
        <x:v>19.485816666666665</x:v>
      </x:c>
      <x:c r="E193" s="10" t="n">
        <x:f>IF(AND(ISNUMBER(C193),ISNUMBER(D193),C193&gt;=0,D193&gt;0),C193-D193,"n.a.")</x:f>
        <x:v>3.4345708333333356</x:v>
      </x:c>
      <x:c r="F193" s="12" t="n">
        <x:f>IF(ISNUMBER(E193),E193/D193,"n.a.")</x:f>
        <x:v>0.1762600404225639</x:v>
      </x:c>
      <x:c r="G193" s="2" t="n">
        <x:f>IF(ISNUMBER(F193),IF(AND(ABS(F193)+0.00000000001&gt;=$B$6,ABS(E193)+0.000000001&gt;=$D$6),1,0),"n.a.")</x:f>
        <x:v>0</x:v>
      </x:c>
      <x:c r="H193" s="2" t="n">
        <x:f>IF(ISNUMBER(E193),SIGN(E193),"n.a.")</x:f>
        <x:v>1</x:v>
      </x:c>
      <x:c r="I193" s="2" t="n">
        <x:f>IF(NOT(ISNUMBER(G193)),"n.a.",IF(G193=0,0,IF(AND(B193=B179,A193=EDATE(A179,1),H193=H179,ISNUMBER(I179)),I179+1,1)))</x:f>
        <x:v>0</x:v>
      </x:c>
      <x:c r="J193" s="2" t="n">
        <x:f>IF(ISNUMBER(F193),IF(AND(ABS(F193)+0.00000000001&gt;=$B$7,ABS(E193)+0.000000001&gt;=$D$7),1,0),"n.a.")</x:f>
        <x:v>0</x:v>
      </x:c>
      <x:c r="K193" s="2" t="str">
        <x:f>IF(NOT(ISNUMBER(F193)),"No evaluable",IF(OR(J193=1,I193&gt;=$B$8),"Prioridad",IF(G193=1,"Observar","Sin umbral")))</x:f>
        <x:v>Sin umbral</x:v>
      </x:c>
      <x:c r="L193" s="2" t="str">
        <x:f>IF(K193="No evaluable","Faltan datos",IF(J193=1,"Magnitud",IF(I193&gt;=$B$8,"Persistencia",IF(G193=1,"Cambio del mes","Sin umbral"))))</x:f>
        <x:v>Sin umbral</x:v>
      </x:c>
      <x:c r="M193" s="2" t="n">
        <x:f>ROW()-40</x:f>
        <x:v>153</x:v>
      </x:c>
    </x:row>
    <x:row r="194" ht="48" customHeight="1">
      <x:c r="A194" s="4" t="n">
        <x:v>45231</x:v>
      </x:c>
      <x:c r="B194" s="32" t="str">
        <x:v>Extracción de petróleo</x:v>
      </x:c>
      <x:c r="C194" s="10" t="n">
        <x:f>IF(ISNUMBER('Actividades'!F331),'Actividades'!F331,"n.a.")</x:f>
        <x:v>143.01479027777776</x:v>
      </x:c>
      <x:c r="D194" s="10" t="n">
        <x:f>IF(ISNUMBER('Actividades'!G331),'Actividades'!G331,"n.a.")</x:f>
        <x:v>150.54812777777778</x:v>
      </x:c>
      <x:c r="E194" s="10" t="n">
        <x:f>IF(AND(ISNUMBER(C194),ISNUMBER(D194),C194&gt;=0,D194&gt;0),C194-D194,"n.a.")</x:f>
        <x:v>-7.533337500000016</x:v>
      </x:c>
      <x:c r="F194" s="12" t="n">
        <x:f>IF(ISNUMBER(E194),E194/D194,"n.a.")</x:f>
        <x:v>-0.050039396777619725</x:v>
      </x:c>
      <x:c r="G194" s="2" t="n">
        <x:f>IF(ISNUMBER(F194),IF(AND(ABS(F194)+0.00000000001&gt;=$B$6,ABS(E194)+0.000000001&gt;=$D$6),1,0),"n.a.")</x:f>
        <x:v>0</x:v>
      </x:c>
      <x:c r="H194" s="2" t="n">
        <x:f>IF(ISNUMBER(E194),SIGN(E194),"n.a.")</x:f>
        <x:v>-1</x:v>
      </x:c>
      <x:c r="I194" s="2" t="n">
        <x:f>IF(NOT(ISNUMBER(G194)),"n.a.",IF(G194=0,0,IF(AND(B194=B180,A194=EDATE(A180,1),H194=H180,ISNUMBER(I180)),I180+1,1)))</x:f>
        <x:v>0</x:v>
      </x:c>
      <x:c r="J194" s="2" t="n">
        <x:f>IF(ISNUMBER(F194),IF(AND(ABS(F194)+0.00000000001&gt;=$B$7,ABS(E194)+0.000000001&gt;=$D$7),1,0),"n.a.")</x:f>
        <x:v>0</x:v>
      </x:c>
      <x:c r="K194" s="2" t="str">
        <x:f>IF(NOT(ISNUMBER(F194)),"No evaluable",IF(OR(J194=1,I194&gt;=$B$8),"Prioridad",IF(G194=1,"Observar","Sin umbral")))</x:f>
        <x:v>Sin umbral</x:v>
      </x:c>
      <x:c r="L194" s="2" t="str">
        <x:f>IF(K194="No evaluable","Faltan datos",IF(J194=1,"Magnitud",IF(I194&gt;=$B$8,"Persistencia",IF(G194=1,"Cambio del mes","Sin umbral"))))</x:f>
        <x:v>Sin umbral</x:v>
      </x:c>
      <x:c r="M194" s="2" t="n">
        <x:f>ROW()-40</x:f>
        <x:v>154</x:v>
      </x:c>
    </x:row>
    <x:row r="195" ht="48" customHeight="1">
      <x:c r="A195" s="4" t="n">
        <x:v>45261</x:v>
      </x:c>
      <x:c r="B195" s="32" t="str">
        <x:v>Cargas y puertos</x:v>
      </x:c>
      <x:c r="C195" s="10" t="n">
        <x:f>IF(ISNUMBER('Actividades'!F332),'Actividades'!F332,"n.a.")</x:f>
        <x:v>10.850903225806452</x:v>
      </x:c>
      <x:c r="D195" s="10" t="n">
        <x:f>IF(ISNUMBER('Actividades'!G332),'Actividades'!G332,"n.a.")</x:f>
        <x:v>9.232108870967743</x:v>
      </x:c>
      <x:c r="E195" s="10" t="n">
        <x:f>IF(AND(ISNUMBER(C195),ISNUMBER(D195),C195&gt;=0,D195&gt;0),C195-D195,"n.a.")</x:f>
        <x:v>1.618794354838709</x:v>
      </x:c>
      <x:c r="F195" s="12" t="n">
        <x:f>IF(ISNUMBER(E195),E195/D195,"n.a.")</x:f>
        <x:v>0.17534394118004168</x:v>
      </x:c>
      <x:c r="G195" s="2" t="n">
        <x:f>IF(ISNUMBER(F195),IF(AND(ABS(F195)+0.00000000001&gt;=$B$6,ABS(E195)+0.000000001&gt;=$D$6),1,0),"n.a.")</x:f>
        <x:v>0</x:v>
      </x:c>
      <x:c r="H195" s="2" t="n">
        <x:f>IF(ISNUMBER(E195),SIGN(E195),"n.a.")</x:f>
        <x:v>1</x:v>
      </x:c>
      <x:c r="I195" s="2" t="n">
        <x:f>IF(NOT(ISNUMBER(G195)),"n.a.",IF(G195=0,0,IF(AND(B195=B181,A195=EDATE(A181,1),H195=H181,ISNUMBER(I181)),I181+1,1)))</x:f>
        <x:v>0</x:v>
      </x:c>
      <x:c r="J195" s="2" t="n">
        <x:f>IF(ISNUMBER(F195),IF(AND(ABS(F195)+0.00000000001&gt;=$B$7,ABS(E195)+0.000000001&gt;=$D$7),1,0),"n.a.")</x:f>
        <x:v>0</x:v>
      </x:c>
      <x:c r="K195" s="2" t="str">
        <x:f>IF(NOT(ISNUMBER(F195)),"No evaluable",IF(OR(J195=1,I195&gt;=$B$8),"Prioridad",IF(G195=1,"Observar","Sin umbral")))</x:f>
        <x:v>Sin umbral</x:v>
      </x:c>
      <x:c r="L195" s="2" t="str">
        <x:f>IF(K195="No evaluable","Faltan datos",IF(J195=1,"Magnitud",IF(I195&gt;=$B$8,"Persistencia",IF(G195=1,"Cambio del mes","Sin umbral"))))</x:f>
        <x:v>Sin umbral</x:v>
      </x:c>
      <x:c r="M195" s="2" t="n">
        <x:f>ROW()-40</x:f>
        <x:v>155</x:v>
      </x:c>
    </x:row>
    <x:row r="196" ht="48" customHeight="1">
      <x:c r="A196" s="4" t="n">
        <x:v>45261</x:v>
      </x:c>
      <x:c r="B196" s="32" t="str">
        <x:v>Comercio y servicios: principalmente supermercados y centros comerciales</x:v>
      </x:c>
      <x:c r="C196" s="10" t="n">
        <x:f>IF(ISNUMBER('Actividades'!F333),'Actividades'!F333,"n.a.")</x:f>
        <x:v>39.50687903225806</x:v>
      </x:c>
      <x:c r="D196" s="10" t="n">
        <x:f>IF(ISNUMBER('Actividades'!G333),'Actividades'!G333,"n.a.")</x:f>
        <x:v>38.40540188172044</x:v>
      </x:c>
      <x:c r="E196" s="10" t="n">
        <x:f>IF(AND(ISNUMBER(C196),ISNUMBER(D196),C196&gt;=0,D196&gt;0),C196-D196,"n.a.")</x:f>
        <x:v>1.101477150537626</x:v>
      </x:c>
      <x:c r="F196" s="12" t="n">
        <x:f>IF(ISNUMBER(E196),E196/D196,"n.a.")</x:f>
        <x:v>0.028680266227389454</x:v>
      </x:c>
      <x:c r="G196" s="2" t="n">
        <x:f>IF(ISNUMBER(F196),IF(AND(ABS(F196)+0.00000000001&gt;=$B$6,ABS(E196)+0.000000001&gt;=$D$6),1,0),"n.a.")</x:f>
        <x:v>0</x:v>
      </x:c>
      <x:c r="H196" s="2" t="n">
        <x:f>IF(ISNUMBER(E196),SIGN(E196),"n.a.")</x:f>
        <x:v>1</x:v>
      </x:c>
      <x:c r="I196" s="2" t="n">
        <x:f>IF(NOT(ISNUMBER(G196)),"n.a.",IF(G196=0,0,IF(AND(B196=B182,A196=EDATE(A182,1),H196=H182,ISNUMBER(I182)),I182+1,1)))</x:f>
        <x:v>0</x:v>
      </x:c>
      <x:c r="J196" s="2" t="n">
        <x:f>IF(ISNUMBER(F196),IF(AND(ABS(F196)+0.00000000001&gt;=$B$7,ABS(E196)+0.000000001&gt;=$D$7),1,0),"n.a.")</x:f>
        <x:v>0</x:v>
      </x:c>
      <x:c r="K196" s="2" t="str">
        <x:f>IF(NOT(ISNUMBER(F196)),"No evaluable",IF(OR(J196=1,I196&gt;=$B$8),"Prioridad",IF(G196=1,"Observar","Sin umbral")))</x:f>
        <x:v>Sin umbral</x:v>
      </x:c>
      <x:c r="L196" s="2" t="str">
        <x:f>IF(K196="No evaluable","Faltan datos",IF(J196=1,"Magnitud",IF(I196&gt;=$B$8,"Persistencia",IF(G196=1,"Cambio del mes","Sin umbral"))))</x:f>
        <x:v>Sin umbral</x:v>
      </x:c>
      <x:c r="M196" s="2" t="n">
        <x:f>ROW()-40</x:f>
        <x:v>156</x:v>
      </x:c>
    </x:row>
    <x:row r="197" ht="48" customHeight="1">
      <x:c r="A197" s="4" t="n">
        <x:v>45261</x:v>
      </x:c>
      <x:c r="B197" s="32" t="str">
        <x:v>Alimentación y artículos de consumo masivo</x:v>
      </x:c>
      <x:c r="C197" s="10" t="n">
        <x:f>IF(ISNUMBER('Actividades'!F334),'Actividades'!F334,"n.a.")</x:f>
        <x:v>253.93697983870965</x:v>
      </x:c>
      <x:c r="D197" s="10" t="n">
        <x:f>IF(ISNUMBER('Actividades'!G334),'Actividades'!G334,"n.a.")</x:f>
        <x:v>257.60786693548386</x:v>
      </x:c>
      <x:c r="E197" s="10" t="n">
        <x:f>IF(AND(ISNUMBER(C197),ISNUMBER(D197),C197&gt;=0,D197&gt;0),C197-D197,"n.a.")</x:f>
        <x:v>-3.6708870967742087</x:v>
      </x:c>
      <x:c r="F197" s="12" t="n">
        <x:f>IF(ISNUMBER(E197),E197/D197,"n.a.")</x:f>
        <x:v>-0.014249902925882142</x:v>
      </x:c>
      <x:c r="G197" s="2" t="n">
        <x:f>IF(ISNUMBER(F197),IF(AND(ABS(F197)+0.00000000001&gt;=$B$6,ABS(E197)+0.000000001&gt;=$D$6),1,0),"n.a.")</x:f>
        <x:v>0</x:v>
      </x:c>
      <x:c r="H197" s="2" t="n">
        <x:f>IF(ISNUMBER(E197),SIGN(E197),"n.a.")</x:f>
        <x:v>-1</x:v>
      </x:c>
      <x:c r="I197" s="2" t="n">
        <x:f>IF(NOT(ISNUMBER(G197)),"n.a.",IF(G197=0,0,IF(AND(B197=B183,A197=EDATE(A183,1),H197=H183,ISNUMBER(I183)),I183+1,1)))</x:f>
        <x:v>0</x:v>
      </x:c>
      <x:c r="J197" s="2" t="n">
        <x:f>IF(ISNUMBER(F197),IF(AND(ABS(F197)+0.00000000001&gt;=$B$7,ABS(E197)+0.000000001&gt;=$D$7),1,0),"n.a.")</x:f>
        <x:v>0</x:v>
      </x:c>
      <x:c r="K197" s="2" t="str">
        <x:f>IF(NOT(ISNUMBER(F197)),"No evaluable",IF(OR(J197=1,I197&gt;=$B$8),"Prioridad",IF(G197=1,"Observar","Sin umbral")))</x:f>
        <x:v>Sin umbral</x:v>
      </x:c>
      <x:c r="L197" s="2" t="str">
        <x:f>IF(K197="No evaluable","Faltan datos",IF(J197=1,"Magnitud",IF(I197&gt;=$B$8,"Persistencia",IF(G197=1,"Cambio del mes","Sin umbral"))))</x:f>
        <x:v>Sin umbral</x:v>
      </x:c>
      <x:c r="M197" s="2" t="n">
        <x:f>ROW()-40</x:f>
        <x:v>157</x:v>
      </x:c>
    </x:row>
    <x:row r="198" ht="48" customHeight="1">
      <x:c r="A198" s="4" t="n">
        <x:v>45261</x:v>
      </x:c>
      <x:c r="B198" s="32" t="str">
        <x:v>Servicios públicos y transporte: agua y transporte en GBA</x:v>
      </x:c>
      <x:c r="C198" s="10" t="n">
        <x:f>IF(ISNUMBER('Actividades'!F335),'Actividades'!F335,"n.a.")</x:f>
        <x:v>87.48374059139785</x:v>
      </x:c>
      <x:c r="D198" s="10" t="n">
        <x:f>IF(ISNUMBER('Actividades'!G335),'Actividades'!G335,"n.a.")</x:f>
        <x:v>87.92454838709678</x:v>
      </x:c>
      <x:c r="E198" s="10" t="n">
        <x:f>IF(AND(ISNUMBER(C198),ISNUMBER(D198),C198&gt;=0,D198&gt;0),C198-D198,"n.a.")</x:f>
        <x:v>-0.44080779569893025</x:v>
      </x:c>
      <x:c r="F198" s="12" t="n">
        <x:f>IF(ISNUMBER(E198),E198/D198,"n.a.")</x:f>
        <x:v>-0.005013478076204942</x:v>
      </x:c>
      <x:c r="G198" s="2" t="n">
        <x:f>IF(ISNUMBER(F198),IF(AND(ABS(F198)+0.00000000001&gt;=$B$6,ABS(E198)+0.000000001&gt;=$D$6),1,0),"n.a.")</x:f>
        <x:v>0</x:v>
      </x:c>
      <x:c r="H198" s="2" t="n">
        <x:f>IF(ISNUMBER(E198),SIGN(E198),"n.a.")</x:f>
        <x:v>-1</x:v>
      </x:c>
      <x:c r="I198" s="2" t="n">
        <x:f>IF(NOT(ISNUMBER(G198)),"n.a.",IF(G198=0,0,IF(AND(B198=B184,A198=EDATE(A184,1),H198=H184,ISNUMBER(I184)),I184+1,1)))</x:f>
        <x:v>0</x:v>
      </x:c>
      <x:c r="J198" s="2" t="n">
        <x:f>IF(ISNUMBER(F198),IF(AND(ABS(F198)+0.00000000001&gt;=$B$7,ABS(E198)+0.000000001&gt;=$D$7),1,0),"n.a.")</x:f>
        <x:v>0</x:v>
      </x:c>
      <x:c r="K198" s="2" t="str">
        <x:f>IF(NOT(ISNUMBER(F198)),"No evaluable",IF(OR(J198=1,I198&gt;=$B$8),"Prioridad",IF(G198=1,"Observar","Sin umbral")))</x:f>
        <x:v>Sin umbral</x:v>
      </x:c>
      <x:c r="L198" s="2" t="str">
        <x:f>IF(K198="No evaluable","Faltan datos",IF(J198=1,"Magnitud",IF(I198&gt;=$B$8,"Persistencia",IF(G198=1,"Cambio del mes","Sin umbral"))))</x:f>
        <x:v>Sin umbral</x:v>
      </x:c>
      <x:c r="M198" s="2" t="n">
        <x:f>ROW()-40</x:f>
        <x:v>158</x:v>
      </x:c>
    </x:row>
    <x:row r="199" ht="48" customHeight="1">
      <x:c r="A199" s="4" t="n">
        <x:v>45261</x:v>
      </x:c>
      <x:c r="B199" s="32" t="str">
        <x:v>Industria automotriz</x:v>
      </x:c>
      <x:c r="C199" s="10" t="n">
        <x:f>IF(ISNUMBER('Actividades'!F336),'Actividades'!F336,"n.a.")</x:f>
        <x:v>37.83376075268817</x:v>
      </x:c>
      <x:c r="D199" s="10" t="n">
        <x:f>IF(ISNUMBER('Actividades'!G336),'Actividades'!G336,"n.a.")</x:f>
        <x:v>36.612905913978494</x:v>
      </x:c>
      <x:c r="E199" s="10" t="n">
        <x:f>IF(AND(ISNUMBER(C199),ISNUMBER(D199),C199&gt;=0,D199&gt;0),C199-D199,"n.a.")</x:f>
        <x:v>1.220854838709677</x:v>
      </x:c>
      <x:c r="F199" s="12" t="n">
        <x:f>IF(ISNUMBER(E199),E199/D199,"n.a.")</x:f>
        <x:v>0.03334493147247198</x:v>
      </x:c>
      <x:c r="G199" s="2" t="n">
        <x:f>IF(ISNUMBER(F199),IF(AND(ABS(F199)+0.00000000001&gt;=$B$6,ABS(E199)+0.000000001&gt;=$D$6),1,0),"n.a.")</x:f>
        <x:v>0</x:v>
      </x:c>
      <x:c r="H199" s="2" t="n">
        <x:f>IF(ISNUMBER(E199),SIGN(E199),"n.a.")</x:f>
        <x:v>1</x:v>
      </x:c>
      <x:c r="I199" s="2" t="n">
        <x:f>IF(NOT(ISNUMBER(G199)),"n.a.",IF(G199=0,0,IF(AND(B199=B185,A199=EDATE(A185,1),H199=H185,ISNUMBER(I185)),I185+1,1)))</x:f>
        <x:v>0</x:v>
      </x:c>
      <x:c r="J199" s="2" t="n">
        <x:f>IF(ISNUMBER(F199),IF(AND(ABS(F199)+0.00000000001&gt;=$B$7,ABS(E199)+0.000000001&gt;=$D$7),1,0),"n.a.")</x:f>
        <x:v>0</x:v>
      </x:c>
      <x:c r="K199" s="2" t="str">
        <x:f>IF(NOT(ISNUMBER(F199)),"No evaluable",IF(OR(J199=1,I199&gt;=$B$8),"Prioridad",IF(G199=1,"Observar","Sin umbral")))</x:f>
        <x:v>Sin umbral</x:v>
      </x:c>
      <x:c r="L199" s="2" t="str">
        <x:f>IF(K199="No evaluable","Faltan datos",IF(J199=1,"Magnitud",IF(I199&gt;=$B$8,"Persistencia",IF(G199=1,"Cambio del mes","Sin umbral"))))</x:f>
        <x:v>Sin umbral</x:v>
      </x:c>
      <x:c r="M199" s="2" t="n">
        <x:f>ROW()-40</x:f>
        <x:v>159</x:v>
      </x:c>
    </x:row>
    <x:row r="200" ht="48" customHeight="1">
      <x:c r="A200" s="4" t="n">
        <x:v>45261</x:v>
      </x:c>
      <x:c r="B200" s="32" t="str">
        <x:v>Derivados de petróleo</x:v>
      </x:c>
      <x:c r="C200" s="10" t="n">
        <x:f>IF(ISNUMBER('Actividades'!F337),'Actividades'!F337,"n.a.")</x:f>
        <x:v>149.47365860215055</x:v>
      </x:c>
      <x:c r="D200" s="10" t="n">
        <x:f>IF(ISNUMBER('Actividades'!G337),'Actividades'!G337,"n.a.")</x:f>
        <x:v>167.18915456989248</x:v>
      </x:c>
      <x:c r="E200" s="10" t="n">
        <x:f>IF(AND(ISNUMBER(C200),ISNUMBER(D200),C200&gt;=0,D200&gt;0),C200-D200,"n.a.")</x:f>
        <x:v>-17.71549596774193</x:v>
      </x:c>
      <x:c r="F200" s="12" t="n">
        <x:f>IF(ISNUMBER(E200),E200/D200,"n.a.")</x:f>
        <x:v>-0.10596079640043916</x:v>
      </x:c>
      <x:c r="G200" s="2" t="n">
        <x:f>IF(ISNUMBER(F200),IF(AND(ABS(F200)+0.00000000001&gt;=$B$6,ABS(E200)+0.000000001&gt;=$D$6),1,0),"n.a.")</x:f>
        <x:v>1</x:v>
      </x:c>
      <x:c r="H200" s="2" t="n">
        <x:f>IF(ISNUMBER(E200),SIGN(E200),"n.a.")</x:f>
        <x:v>-1</x:v>
      </x:c>
      <x:c r="I200" s="2" t="n">
        <x:f>IF(NOT(ISNUMBER(G200)),"n.a.",IF(G200=0,0,IF(AND(B200=B186,A200=EDATE(A186,1),H200=H186,ISNUMBER(I186)),I186+1,1)))</x:f>
        <x:v>1</x:v>
      </x:c>
      <x:c r="J200" s="2" t="n">
        <x:f>IF(ISNUMBER(F200),IF(AND(ABS(F200)+0.00000000001&gt;=$B$7,ABS(E200)+0.000000001&gt;=$D$7),1,0),"n.a.")</x:f>
        <x:v>0</x:v>
      </x:c>
      <x:c r="K200" s="2" t="str">
        <x:f>IF(NOT(ISNUMBER(F200)),"No evaluable",IF(OR(J200=1,I200&gt;=$B$8),"Prioridad",IF(G200=1,"Observar","Sin umbral")))</x:f>
        <x:v>Observar</x:v>
      </x:c>
      <x:c r="L200" s="2" t="str">
        <x:f>IF(K200="No evaluable","Faltan datos",IF(J200=1,"Magnitud",IF(I200&gt;=$B$8,"Persistencia",IF(G200=1,"Cambio del mes","Sin umbral"))))</x:f>
        <x:v>Cambio del mes</x:v>
      </x:c>
      <x:c r="M200" s="2" t="n">
        <x:f>ROW()-40</x:f>
        <x:v>160</x:v>
      </x:c>
    </x:row>
    <x:row r="201" ht="48" customHeight="1">
      <x:c r="A201" s="4" t="n">
        <x:v>45261</x:v>
      </x:c>
      <x:c r="B201" s="32" t="str">
        <x:v>Construcción: elaboración de cemento y canteras</x:v>
      </x:c>
      <x:c r="C201" s="10" t="n">
        <x:f>IF(ISNUMBER('Actividades'!F338),'Actividades'!F338,"n.a.")</x:f>
        <x:v>170.31919086021506</x:v>
      </x:c>
      <x:c r="D201" s="10" t="n">
        <x:f>IF(ISNUMBER('Actividades'!G338),'Actividades'!G338,"n.a.")</x:f>
        <x:v>177.185125</x:v>
      </x:c>
      <x:c r="E201" s="10" t="n">
        <x:f>IF(AND(ISNUMBER(C201),ISNUMBER(D201),C201&gt;=0,D201&gt;0),C201-D201,"n.a.")</x:f>
        <x:v>-6.86593413978494</x:v>
      </x:c>
      <x:c r="F201" s="12" t="n">
        <x:f>IF(ISNUMBER(E201),E201/D201,"n.a.")</x:f>
        <x:v>-0.038750059519866244</x:v>
      </x:c>
      <x:c r="G201" s="2" t="n">
        <x:f>IF(ISNUMBER(F201),IF(AND(ABS(F201)+0.00000000001&gt;=$B$6,ABS(E201)+0.000000001&gt;=$D$6),1,0),"n.a.")</x:f>
        <x:v>0</x:v>
      </x:c>
      <x:c r="H201" s="2" t="n">
        <x:f>IF(ISNUMBER(E201),SIGN(E201),"n.a.")</x:f>
        <x:v>-1</x:v>
      </x:c>
      <x:c r="I201" s="2" t="n">
        <x:f>IF(NOT(ISNUMBER(G201)),"n.a.",IF(G201=0,0,IF(AND(B201=B187,A201=EDATE(A187,1),H201=H187,ISNUMBER(I187)),I187+1,1)))</x:f>
        <x:v>0</x:v>
      </x:c>
      <x:c r="J201" s="2" t="n">
        <x:f>IF(ISNUMBER(F201),IF(AND(ABS(F201)+0.00000000001&gt;=$B$7,ABS(E201)+0.000000001&gt;=$D$7),1,0),"n.a.")</x:f>
        <x:v>0</x:v>
      </x:c>
      <x:c r="K201" s="2" t="str">
        <x:f>IF(NOT(ISNUMBER(F201)),"No evaluable",IF(OR(J201=1,I201&gt;=$B$8),"Prioridad",IF(G201=1,"Observar","Sin umbral")))</x:f>
        <x:v>Sin umbral</x:v>
      </x:c>
      <x:c r="L201" s="2" t="str">
        <x:f>IF(K201="No evaluable","Faltan datos",IF(J201=1,"Magnitud",IF(I201&gt;=$B$8,"Persistencia",IF(G201=1,"Cambio del mes","Sin umbral"))))</x:f>
        <x:v>Sin umbral</x:v>
      </x:c>
      <x:c r="M201" s="2" t="n">
        <x:f>ROW()-40</x:f>
        <x:v>161</x:v>
      </x:c>
    </x:row>
    <x:row r="202" ht="48" customHeight="1">
      <x:c r="A202" s="4" t="n">
        <x:v>45261</x:v>
      </x:c>
      <x:c r="B202" s="32" t="str">
        <x:v>Madera y papel</x:v>
      </x:c>
      <x:c r="C202" s="10" t="n">
        <x:f>IF(ISNUMBER('Actividades'!F339),'Actividades'!F339,"n.a.")</x:f>
        <x:v>101.91472849462365</x:v>
      </x:c>
      <x:c r="D202" s="10" t="n">
        <x:f>IF(ISNUMBER('Actividades'!G339),'Actividades'!G339,"n.a.")</x:f>
        <x:v>104.11995161290322</x:v>
      </x:c>
      <x:c r="E202" s="10" t="n">
        <x:f>IF(AND(ISNUMBER(C202),ISNUMBER(D202),C202&gt;=0,D202&gt;0),C202-D202,"n.a.")</x:f>
        <x:v>-2.2052231182795765</x:v>
      </x:c>
      <x:c r="F202" s="12" t="n">
        <x:f>IF(ISNUMBER(E202),E202/D202,"n.a.")</x:f>
        <x:v>-0.021179640252601606</x:v>
      </x:c>
      <x:c r="G202" s="2" t="n">
        <x:f>IF(ISNUMBER(F202),IF(AND(ABS(F202)+0.00000000001&gt;=$B$6,ABS(E202)+0.000000001&gt;=$D$6),1,0),"n.a.")</x:f>
        <x:v>0</x:v>
      </x:c>
      <x:c r="H202" s="2" t="n">
        <x:f>IF(ISNUMBER(E202),SIGN(E202),"n.a.")</x:f>
        <x:v>-1</x:v>
      </x:c>
      <x:c r="I202" s="2" t="n">
        <x:f>IF(NOT(ISNUMBER(G202)),"n.a.",IF(G202=0,0,IF(AND(B202=B188,A202=EDATE(A188,1),H202=H188,ISNUMBER(I188)),I188+1,1)))</x:f>
        <x:v>0</x:v>
      </x:c>
      <x:c r="J202" s="2" t="n">
        <x:f>IF(ISNUMBER(F202),IF(AND(ABS(F202)+0.00000000001&gt;=$B$7,ABS(E202)+0.000000001&gt;=$D$7),1,0),"n.a.")</x:f>
        <x:v>0</x:v>
      </x:c>
      <x:c r="K202" s="2" t="str">
        <x:f>IF(NOT(ISNUMBER(F202)),"No evaluable",IF(OR(J202=1,I202&gt;=$B$8),"Prioridad",IF(G202=1,"Observar","Sin umbral")))</x:f>
        <x:v>Sin umbral</x:v>
      </x:c>
      <x:c r="L202" s="2" t="str">
        <x:f>IF(K202="No evaluable","Faltan datos",IF(J202=1,"Magnitud",IF(I202&gt;=$B$8,"Persistencia",IF(G202=1,"Cambio del mes","Sin umbral"))))</x:f>
        <x:v>Sin umbral</x:v>
      </x:c>
      <x:c r="M202" s="2" t="n">
        <x:f>ROW()-40</x:f>
        <x:v>162</x:v>
      </x:c>
    </x:row>
    <x:row r="203" ht="48" customHeight="1">
      <x:c r="A203" s="4" t="n">
        <x:v>45261</x:v>
      </x:c>
      <x:c r="B203" s="32" t="str">
        <x:v>Productos metálicos no automotores</x:v>
      </x:c>
      <x:c r="C203" s="10" t="n">
        <x:f>IF(ISNUMBER('Actividades'!F340),'Actividades'!F340,"n.a.")</x:f>
        <x:v>40.546857526881716</x:v>
      </x:c>
      <x:c r="D203" s="10" t="n">
        <x:f>IF(ISNUMBER('Actividades'!G340),'Actividades'!G340,"n.a.")</x:f>
        <x:v>45.46657795698925</x:v>
      </x:c>
      <x:c r="E203" s="10" t="n">
        <x:f>IF(AND(ISNUMBER(C203),ISNUMBER(D203),C203&gt;=0,D203&gt;0),C203-D203,"n.a.")</x:f>
        <x:v>-4.919720430107532</x:v>
      </x:c>
      <x:c r="F203" s="12" t="n">
        <x:f>IF(ISNUMBER(E203),E203/D203,"n.a.")</x:f>
        <x:v>-0.1082052059154643</x:v>
      </x:c>
      <x:c r="G203" s="2" t="n">
        <x:f>IF(ISNUMBER(F203),IF(AND(ABS(F203)+0.00000000001&gt;=$B$6,ABS(E203)+0.000000001&gt;=$D$6),1,0),"n.a.")</x:f>
        <x:v>0</x:v>
      </x:c>
      <x:c r="H203" s="2" t="n">
        <x:f>IF(ISNUMBER(E203),SIGN(E203),"n.a.")</x:f>
        <x:v>-1</x:v>
      </x:c>
      <x:c r="I203" s="2" t="n">
        <x:f>IF(NOT(ISNUMBER(G203)),"n.a.",IF(G203=0,0,IF(AND(B203=B189,A203=EDATE(A189,1),H203=H189,ISNUMBER(I189)),I189+1,1)))</x:f>
        <x:v>0</x:v>
      </x:c>
      <x:c r="J203" s="2" t="n">
        <x:f>IF(ISNUMBER(F203),IF(AND(ABS(F203)+0.00000000001&gt;=$B$7,ABS(E203)+0.000000001&gt;=$D$7),1,0),"n.a.")</x:f>
        <x:v>0</x:v>
      </x:c>
      <x:c r="K203" s="2" t="str">
        <x:f>IF(NOT(ISNUMBER(F203)),"No evaluable",IF(OR(J203=1,I203&gt;=$B$8),"Prioridad",IF(G203=1,"Observar","Sin umbral")))</x:f>
        <x:v>Sin umbral</x:v>
      </x:c>
      <x:c r="L203" s="2" t="str">
        <x:f>IF(K203="No evaluable","Faltan datos",IF(J203=1,"Magnitud",IF(I203&gt;=$B$8,"Persistencia",IF(G203=1,"Cambio del mes","Sin umbral"))))</x:f>
        <x:v>Sin umbral</x:v>
      </x:c>
      <x:c r="M203" s="2" t="n">
        <x:f>ROW()-40</x:f>
        <x:v>163</x:v>
      </x:c>
    </x:row>
    <x:row r="204" ht="48" customHeight="1">
      <x:c r="A204" s="4" t="n">
        <x:v>45261</x:v>
      </x:c>
      <x:c r="B204" s="32" t="str">
        <x:v>Gran siderurgia</x:v>
      </x:c>
      <x:c r="C204" s="10" t="n">
        <x:f>IF(ISNUMBER('Actividades'!F341),'Actividades'!F341,"n.a.")</x:f>
        <x:v>271.11159005376345</x:v>
      </x:c>
      <x:c r="D204" s="10" t="n">
        <x:f>IF(ISNUMBER('Actividades'!G341),'Actividades'!G341,"n.a.")</x:f>
        <x:v>317.68285618279566</x:v>
      </x:c>
      <x:c r="E204" s="10" t="n">
        <x:f>IF(AND(ISNUMBER(C204),ISNUMBER(D204),C204&gt;=0,D204&gt;0),C204-D204,"n.a.")</x:f>
        <x:v>-46.57126612903221</x:v>
      </x:c>
      <x:c r="F204" s="12" t="n">
        <x:f>IF(ISNUMBER(E204),E204/D204,"n.a.")</x:f>
        <x:v>-0.14659672444595173</x:v>
      </x:c>
      <x:c r="G204" s="2" t="n">
        <x:f>IF(ISNUMBER(F204),IF(AND(ABS(F204)+0.00000000001&gt;=$B$6,ABS(E204)+0.000000001&gt;=$D$6),1,0),"n.a.")</x:f>
        <x:v>1</x:v>
      </x:c>
      <x:c r="H204" s="2" t="n">
        <x:f>IF(ISNUMBER(E204),SIGN(E204),"n.a.")</x:f>
        <x:v>-1</x:v>
      </x:c>
      <x:c r="I204" s="2" t="n">
        <x:f>IF(NOT(ISNUMBER(G204)),"n.a.",IF(G204=0,0,IF(AND(B204=B190,A204=EDATE(A190,1),H204=H190,ISNUMBER(I190)),I190+1,1)))</x:f>
        <x:v>1</x:v>
      </x:c>
      <x:c r="J204" s="2" t="n">
        <x:f>IF(ISNUMBER(F204),IF(AND(ABS(F204)+0.00000000001&gt;=$B$7,ABS(E204)+0.000000001&gt;=$D$7),1,0),"n.a.")</x:f>
        <x:v>0</x:v>
      </x:c>
      <x:c r="K204" s="2" t="str">
        <x:f>IF(NOT(ISNUMBER(F204)),"No evaluable",IF(OR(J204=1,I204&gt;=$B$8),"Prioridad",IF(G204=1,"Observar","Sin umbral")))</x:f>
        <x:v>Observar</x:v>
      </x:c>
      <x:c r="L204" s="2" t="str">
        <x:f>IF(K204="No evaluable","Faltan datos",IF(J204=1,"Magnitud",IF(I204&gt;=$B$8,"Persistencia",IF(G204=1,"Cambio del mes","Sin umbral"))))</x:f>
        <x:v>Cambio del mes</x:v>
      </x:c>
      <x:c r="M204" s="2" t="n">
        <x:f>ROW()-40</x:f>
        <x:v>164</x:v>
      </x:c>
    </x:row>
    <x:row r="205" ht="48" customHeight="1">
      <x:c r="A205" s="4" t="n">
        <x:v>45261</x:v>
      </x:c>
      <x:c r="B205" s="32" t="str">
        <x:v>Industria textil</x:v>
      </x:c>
      <x:c r="C205" s="10" t="n">
        <x:f>IF(ISNUMBER('Actividades'!F342),'Actividades'!F342,"n.a.")</x:f>
        <x:v>50.00543951612903</x:v>
      </x:c>
      <x:c r="D205" s="10" t="n">
        <x:f>IF(ISNUMBER('Actividades'!G342),'Actividades'!G342,"n.a.")</x:f>
        <x:v>48.548680107526884</x:v>
      </x:c>
      <x:c r="E205" s="10" t="n">
        <x:f>IF(AND(ISNUMBER(C205),ISNUMBER(D205),C205&gt;=0,D205&gt;0),C205-D205,"n.a.")</x:f>
        <x:v>1.4567594086021458</x:v>
      </x:c>
      <x:c r="F205" s="12" t="n">
        <x:f>IF(ISNUMBER(E205),E205/D205,"n.a.")</x:f>
        <x:v>0.030006158877557063</x:v>
      </x:c>
      <x:c r="G205" s="2" t="n">
        <x:f>IF(ISNUMBER(F205),IF(AND(ABS(F205)+0.00000000001&gt;=$B$6,ABS(E205)+0.000000001&gt;=$D$6),1,0),"n.a.")</x:f>
        <x:v>0</x:v>
      </x:c>
      <x:c r="H205" s="2" t="n">
        <x:f>IF(ISNUMBER(E205),SIGN(E205),"n.a.")</x:f>
        <x:v>1</x:v>
      </x:c>
      <x:c r="I205" s="2" t="n">
        <x:f>IF(NOT(ISNUMBER(G205)),"n.a.",IF(G205=0,0,IF(AND(B205=B191,A205=EDATE(A191,1),H205=H191,ISNUMBER(I191)),I191+1,1)))</x:f>
        <x:v>0</x:v>
      </x:c>
      <x:c r="J205" s="2" t="n">
        <x:f>IF(ISNUMBER(F205),IF(AND(ABS(F205)+0.00000000001&gt;=$B$7,ABS(E205)+0.000000001&gt;=$D$7),1,0),"n.a.")</x:f>
        <x:v>0</x:v>
      </x:c>
      <x:c r="K205" s="2" t="str">
        <x:f>IF(NOT(ISNUMBER(F205)),"No evaluable",IF(OR(J205=1,I205&gt;=$B$8),"Prioridad",IF(G205=1,"Observar","Sin umbral")))</x:f>
        <x:v>Sin umbral</x:v>
      </x:c>
      <x:c r="L205" s="2" t="str">
        <x:f>IF(K205="No evaluable","Faltan datos",IF(J205=1,"Magnitud",IF(I205&gt;=$B$8,"Persistencia",IF(G205=1,"Cambio del mes","Sin umbral"))))</x:f>
        <x:v>Sin umbral</x:v>
      </x:c>
      <x:c r="M205" s="2" t="n">
        <x:f>ROW()-40</x:f>
        <x:v>165</x:v>
      </x:c>
    </x:row>
    <x:row r="206" ht="48" customHeight="1">
      <x:c r="A206" s="4" t="n">
        <x:v>45261</x:v>
      </x:c>
      <x:c r="B206" s="32" t="str">
        <x:v>Químicas, caucho, plástico y otros minerales no metálicos</x:v>
      </x:c>
      <x:c r="C206" s="10" t="n">
        <x:f>IF(ISNUMBER('Actividades'!F343),'Actividades'!F343,"n.a.")</x:f>
        <x:v>303.3661639784946</x:v>
      </x:c>
      <x:c r="D206" s="10" t="n">
        <x:f>IF(ISNUMBER('Actividades'!G343),'Actividades'!G343,"n.a.")</x:f>
        <x:v>324.8328051075269</x:v>
      </x:c>
      <x:c r="E206" s="10" t="n">
        <x:f>IF(AND(ISNUMBER(C206),ISNUMBER(D206),C206&gt;=0,D206&gt;0),C206-D206,"n.a.")</x:f>
        <x:v>-21.46664112903227</x:v>
      </x:c>
      <x:c r="F206" s="12" t="n">
        <x:f>IF(ISNUMBER(E206),E206/D206,"n.a.")</x:f>
        <x:v>-0.06608520072942242</x:v>
      </x:c>
      <x:c r="G206" s="2" t="n">
        <x:f>IF(ISNUMBER(F206),IF(AND(ABS(F206)+0.00000000001&gt;=$B$6,ABS(E206)+0.000000001&gt;=$D$6),1,0),"n.a.")</x:f>
        <x:v>0</x:v>
      </x:c>
      <x:c r="H206" s="2" t="n">
        <x:f>IF(ISNUMBER(E206),SIGN(E206),"n.a.")</x:f>
        <x:v>-1</x:v>
      </x:c>
      <x:c r="I206" s="2" t="n">
        <x:f>IF(NOT(ISNUMBER(G206)),"n.a.",IF(G206=0,0,IF(AND(B206=B192,A206=EDATE(A192,1),H206=H192,ISNUMBER(I192)),I192+1,1)))</x:f>
        <x:v>0</x:v>
      </x:c>
      <x:c r="J206" s="2" t="n">
        <x:f>IF(ISNUMBER(F206),IF(AND(ABS(F206)+0.00000000001&gt;=$B$7,ABS(E206)+0.000000001&gt;=$D$7),1,0),"n.a.")</x:f>
        <x:v>0</x:v>
      </x:c>
      <x:c r="K206" s="2" t="str">
        <x:f>IF(NOT(ISNUMBER(F206)),"No evaluable",IF(OR(J206=1,I206&gt;=$B$8),"Prioridad",IF(G206=1,"Observar","Sin umbral")))</x:f>
        <x:v>Sin umbral</x:v>
      </x:c>
      <x:c r="L206" s="2" t="str">
        <x:f>IF(K206="No evaluable","Faltan datos",IF(J206=1,"Magnitud",IF(I206&gt;=$B$8,"Persistencia",IF(G206=1,"Cambio del mes","Sin umbral"))))</x:f>
        <x:v>Sin umbral</x:v>
      </x:c>
      <x:c r="M206" s="2" t="n">
        <x:f>ROW()-40</x:f>
        <x:v>166</x:v>
      </x:c>
    </x:row>
    <x:row r="207" ht="48" customHeight="1">
      <x:c r="A207" s="4" t="n">
        <x:v>45261</x:v>
      </x:c>
      <x:c r="B207" s="32" t="str">
        <x:v>Extracción de minerales</x:v>
      </x:c>
      <x:c r="C207" s="10" t="n">
        <x:f>IF(ISNUMBER('Actividades'!F344),'Actividades'!F344,"n.a.")</x:f>
        <x:v>20.7108185483871</x:v>
      </x:c>
      <x:c r="D207" s="10" t="n">
        <x:f>IF(ISNUMBER('Actividades'!G344),'Actividades'!G344,"n.a.")</x:f>
        <x:v>18.08874193548387</x:v>
      </x:c>
      <x:c r="E207" s="10" t="n">
        <x:f>IF(AND(ISNUMBER(C207),ISNUMBER(D207),C207&gt;=0,D207&gt;0),C207-D207,"n.a.")</x:f>
        <x:v>2.6220766129032285</x:v>
      </x:c>
      <x:c r="F207" s="12" t="n">
        <x:f>IF(ISNUMBER(E207),E207/D207,"n.a.")</x:f>
        <x:v>0.1449562729268429</x:v>
      </x:c>
      <x:c r="G207" s="2" t="n">
        <x:f>IF(ISNUMBER(F207),IF(AND(ABS(F207)+0.00000000001&gt;=$B$6,ABS(E207)+0.000000001&gt;=$D$6),1,0),"n.a.")</x:f>
        <x:v>0</x:v>
      </x:c>
      <x:c r="H207" s="2" t="n">
        <x:f>IF(ISNUMBER(E207),SIGN(E207),"n.a.")</x:f>
        <x:v>1</x:v>
      </x:c>
      <x:c r="I207" s="2" t="n">
        <x:f>IF(NOT(ISNUMBER(G207)),"n.a.",IF(G207=0,0,IF(AND(B207=B193,A207=EDATE(A193,1),H207=H193,ISNUMBER(I193)),I193+1,1)))</x:f>
        <x:v>0</x:v>
      </x:c>
      <x:c r="J207" s="2" t="n">
        <x:f>IF(ISNUMBER(F207),IF(AND(ABS(F207)+0.00000000001&gt;=$B$7,ABS(E207)+0.000000001&gt;=$D$7),1,0),"n.a.")</x:f>
        <x:v>0</x:v>
      </x:c>
      <x:c r="K207" s="2" t="str">
        <x:f>IF(NOT(ISNUMBER(F207)),"No evaluable",IF(OR(J207=1,I207&gt;=$B$8),"Prioridad",IF(G207=1,"Observar","Sin umbral")))</x:f>
        <x:v>Sin umbral</x:v>
      </x:c>
      <x:c r="L207" s="2" t="str">
        <x:f>IF(K207="No evaluable","Faltan datos",IF(J207=1,"Magnitud",IF(I207&gt;=$B$8,"Persistencia",IF(G207=1,"Cambio del mes","Sin umbral"))))</x:f>
        <x:v>Sin umbral</x:v>
      </x:c>
      <x:c r="M207" s="2" t="n">
        <x:f>ROW()-40</x:f>
        <x:v>167</x:v>
      </x:c>
    </x:row>
    <x:row r="208" ht="48" customHeight="1">
      <x:c r="A208" s="4" t="n">
        <x:v>45261</x:v>
      </x:c>
      <x:c r="B208" s="32" t="str">
        <x:v>Extracción de petróleo</x:v>
      </x:c>
      <x:c r="C208" s="10" t="n">
        <x:f>IF(ISNUMBER('Actividades'!F345),'Actividades'!F345,"n.a.")</x:f>
        <x:v>138.14910215053766</x:v>
      </x:c>
      <x:c r="D208" s="10" t="n">
        <x:f>IF(ISNUMBER('Actividades'!G345),'Actividades'!G345,"n.a.")</x:f>
        <x:v>149.72840188172043</x:v>
      </x:c>
      <x:c r="E208" s="10" t="n">
        <x:f>IF(AND(ISNUMBER(C208),ISNUMBER(D208),C208&gt;=0,D208&gt;0),C208-D208,"n.a.")</x:f>
        <x:v>-11.579299731182772</x:v>
      </x:c>
      <x:c r="F208" s="12" t="n">
        <x:f>IF(ISNUMBER(E208),E208/D208,"n.a.")</x:f>
        <x:v>-0.07733535912798939</x:v>
      </x:c>
      <x:c r="G208" s="2" t="n">
        <x:f>IF(ISNUMBER(F208),IF(AND(ABS(F208)+0.00000000001&gt;=$B$6,ABS(E208)+0.000000001&gt;=$D$6),1,0),"n.a.")</x:f>
        <x:v>0</x:v>
      </x:c>
      <x:c r="H208" s="2" t="n">
        <x:f>IF(ISNUMBER(E208),SIGN(E208),"n.a.")</x:f>
        <x:v>-1</x:v>
      </x:c>
      <x:c r="I208" s="2" t="n">
        <x:f>IF(NOT(ISNUMBER(G208)),"n.a.",IF(G208=0,0,IF(AND(B208=B194,A208=EDATE(A194,1),H208=H194,ISNUMBER(I194)),I194+1,1)))</x:f>
        <x:v>0</x:v>
      </x:c>
      <x:c r="J208" s="2" t="n">
        <x:f>IF(ISNUMBER(F208),IF(AND(ABS(F208)+0.00000000001&gt;=$B$7,ABS(E208)+0.000000001&gt;=$D$7),1,0),"n.a.")</x:f>
        <x:v>0</x:v>
      </x:c>
      <x:c r="K208" s="2" t="str">
        <x:f>IF(NOT(ISNUMBER(F208)),"No evaluable",IF(OR(J208=1,I208&gt;=$B$8),"Prioridad",IF(G208=1,"Observar","Sin umbral")))</x:f>
        <x:v>Sin umbral</x:v>
      </x:c>
      <x:c r="L208" s="2" t="str">
        <x:f>IF(K208="No evaluable","Faltan datos",IF(J208=1,"Magnitud",IF(I208&gt;=$B$8,"Persistencia",IF(G208=1,"Cambio del mes","Sin umbral"))))</x:f>
        <x:v>Sin umbral</x:v>
      </x:c>
      <x:c r="M208" s="2" t="n">
        <x:f>ROW()-40</x:f>
        <x:v>168</x:v>
      </x:c>
    </x:row>
    <x:row r="209" ht="48" customHeight="1">
      <x:c r="A209" s="4" t="n">
        <x:v>45292</x:v>
      </x:c>
      <x:c r="B209" s="32" t="str">
        <x:v>Cargas y puertos</x:v>
      </x:c>
      <x:c r="C209" s="10" t="n">
        <x:f>IF(ISNUMBER('Actividades'!F346),'Actividades'!F346,"n.a.")</x:f>
        <x:v>12.258646505376344</x:v>
      </x:c>
      <x:c r="D209" s="10" t="n">
        <x:f>IF(ISNUMBER('Actividades'!G346),'Actividades'!G346,"n.a.")</x:f>
        <x:v>9.867298387096774</x:v>
      </x:c>
      <x:c r="E209" s="10" t="n">
        <x:f>IF(AND(ISNUMBER(C209),ISNUMBER(D209),C209&gt;=0,D209&gt;0),C209-D209,"n.a.")</x:f>
        <x:v>2.39134811827957</x:v>
      </x:c>
      <x:c r="F209" s="12" t="n">
        <x:f>IF(ISNUMBER(E209),E209/D209,"n.a.")</x:f>
        <x:v>0.2423508466518736</x:v>
      </x:c>
      <x:c r="G209" s="2" t="n">
        <x:f>IF(ISNUMBER(F209),IF(AND(ABS(F209)+0.00000000001&gt;=$B$6,ABS(E209)+0.000000001&gt;=$D$6),1,0),"n.a.")</x:f>
        <x:v>0</x:v>
      </x:c>
      <x:c r="H209" s="2" t="n">
        <x:f>IF(ISNUMBER(E209),SIGN(E209),"n.a.")</x:f>
        <x:v>1</x:v>
      </x:c>
      <x:c r="I209" s="2" t="n">
        <x:f>IF(NOT(ISNUMBER(G209)),"n.a.",IF(G209=0,0,IF(AND(B209=B195,A209=EDATE(A195,1),H209=H195,ISNUMBER(I195)),I195+1,1)))</x:f>
        <x:v>0</x:v>
      </x:c>
      <x:c r="J209" s="2" t="n">
        <x:f>IF(ISNUMBER(F209),IF(AND(ABS(F209)+0.00000000001&gt;=$B$7,ABS(E209)+0.000000001&gt;=$D$7),1,0),"n.a.")</x:f>
        <x:v>0</x:v>
      </x:c>
      <x:c r="K209" s="2" t="str">
        <x:f>IF(NOT(ISNUMBER(F209)),"No evaluable",IF(OR(J209=1,I209&gt;=$B$8),"Prioridad",IF(G209=1,"Observar","Sin umbral")))</x:f>
        <x:v>Sin umbral</x:v>
      </x:c>
      <x:c r="L209" s="2" t="str">
        <x:f>IF(K209="No evaluable","Faltan datos",IF(J209=1,"Magnitud",IF(I209&gt;=$B$8,"Persistencia",IF(G209=1,"Cambio del mes","Sin umbral"))))</x:f>
        <x:v>Sin umbral</x:v>
      </x:c>
      <x:c r="M209" s="2" t="n">
        <x:f>ROW()-40</x:f>
        <x:v>169</x:v>
      </x:c>
    </x:row>
    <x:row r="210" ht="48" customHeight="1">
      <x:c r="A210" s="4" t="n">
        <x:v>45292</x:v>
      </x:c>
      <x:c r="B210" s="32" t="str">
        <x:v>Comercio y servicios: principalmente supermercados y centros comerciales</x:v>
      </x:c>
      <x:c r="C210" s="10" t="n">
        <x:f>IF(ISNUMBER('Actividades'!F347),'Actividades'!F347,"n.a.")</x:f>
        <x:v>42.51775403225807</x:v>
      </x:c>
      <x:c r="D210" s="10" t="n">
        <x:f>IF(ISNUMBER('Actividades'!G347),'Actividades'!G347,"n.a.")</x:f>
        <x:v>39.40074462365592</x:v>
      </x:c>
      <x:c r="E210" s="10" t="n">
        <x:f>IF(AND(ISNUMBER(C210),ISNUMBER(D210),C210&gt;=0,D210&gt;0),C210-D210,"n.a.")</x:f>
        <x:v>3.1170094086021507</x:v>
      </x:c>
      <x:c r="F210" s="12" t="n">
        <x:f>IF(ISNUMBER(E210),E210/D210,"n.a.")</x:f>
        <x:v>0.07911041880997145</x:v>
      </x:c>
      <x:c r="G210" s="2" t="n">
        <x:f>IF(ISNUMBER(F210),IF(AND(ABS(F210)+0.00000000001&gt;=$B$6,ABS(E210)+0.000000001&gt;=$D$6),1,0),"n.a.")</x:f>
        <x:v>0</x:v>
      </x:c>
      <x:c r="H210" s="2" t="n">
        <x:f>IF(ISNUMBER(E210),SIGN(E210),"n.a.")</x:f>
        <x:v>1</x:v>
      </x:c>
      <x:c r="I210" s="2" t="n">
        <x:f>IF(NOT(ISNUMBER(G210)),"n.a.",IF(G210=0,0,IF(AND(B210=B196,A210=EDATE(A196,1),H210=H196,ISNUMBER(I196)),I196+1,1)))</x:f>
        <x:v>0</x:v>
      </x:c>
      <x:c r="J210" s="2" t="n">
        <x:f>IF(ISNUMBER(F210),IF(AND(ABS(F210)+0.00000000001&gt;=$B$7,ABS(E210)+0.000000001&gt;=$D$7),1,0),"n.a.")</x:f>
        <x:v>0</x:v>
      </x:c>
      <x:c r="K210" s="2" t="str">
        <x:f>IF(NOT(ISNUMBER(F210)),"No evaluable",IF(OR(J210=1,I210&gt;=$B$8),"Prioridad",IF(G210=1,"Observar","Sin umbral")))</x:f>
        <x:v>Sin umbral</x:v>
      </x:c>
      <x:c r="L210" s="2" t="str">
        <x:f>IF(K210="No evaluable","Faltan datos",IF(J210=1,"Magnitud",IF(I210&gt;=$B$8,"Persistencia",IF(G210=1,"Cambio del mes","Sin umbral"))))</x:f>
        <x:v>Sin umbral</x:v>
      </x:c>
      <x:c r="M210" s="2" t="n">
        <x:f>ROW()-40</x:f>
        <x:v>170</x:v>
      </x:c>
    </x:row>
    <x:row r="211" ht="48" customHeight="1">
      <x:c r="A211" s="4" t="n">
        <x:v>45292</x:v>
      </x:c>
      <x:c r="B211" s="32" t="str">
        <x:v>Alimentación y artículos de consumo masivo</x:v>
      </x:c>
      <x:c r="C211" s="10" t="n">
        <x:f>IF(ISNUMBER('Actividades'!F348),'Actividades'!F348,"n.a.")</x:f>
        <x:v>257.9740793010753</x:v>
      </x:c>
      <x:c r="D211" s="10" t="n">
        <x:f>IF(ISNUMBER('Actividades'!G348),'Actividades'!G348,"n.a.")</x:f>
        <x:v>253.06402956989245</x:v>
      </x:c>
      <x:c r="E211" s="10" t="n">
        <x:f>IF(AND(ISNUMBER(C211),ISNUMBER(D211),C211&gt;=0,D211&gt;0),C211-D211,"n.a.")</x:f>
        <x:v>4.9100497311828235</x:v>
      </x:c>
      <x:c r="F211" s="12" t="n">
        <x:f>IF(ISNUMBER(E211),E211/D211,"n.a.")</x:f>
        <x:v>0.01940240080555084</x:v>
      </x:c>
      <x:c r="G211" s="2" t="n">
        <x:f>IF(ISNUMBER(F211),IF(AND(ABS(F211)+0.00000000001&gt;=$B$6,ABS(E211)+0.000000001&gt;=$D$6),1,0),"n.a.")</x:f>
        <x:v>0</x:v>
      </x:c>
      <x:c r="H211" s="2" t="n">
        <x:f>IF(ISNUMBER(E211),SIGN(E211),"n.a.")</x:f>
        <x:v>1</x:v>
      </x:c>
      <x:c r="I211" s="2" t="n">
        <x:f>IF(NOT(ISNUMBER(G211)),"n.a.",IF(G211=0,0,IF(AND(B211=B197,A211=EDATE(A197,1),H211=H197,ISNUMBER(I197)),I197+1,1)))</x:f>
        <x:v>0</x:v>
      </x:c>
      <x:c r="J211" s="2" t="n">
        <x:f>IF(ISNUMBER(F211),IF(AND(ABS(F211)+0.00000000001&gt;=$B$7,ABS(E211)+0.000000001&gt;=$D$7),1,0),"n.a.")</x:f>
        <x:v>0</x:v>
      </x:c>
      <x:c r="K211" s="2" t="str">
        <x:f>IF(NOT(ISNUMBER(F211)),"No evaluable",IF(OR(J211=1,I211&gt;=$B$8),"Prioridad",IF(G211=1,"Observar","Sin umbral")))</x:f>
        <x:v>Sin umbral</x:v>
      </x:c>
      <x:c r="L211" s="2" t="str">
        <x:f>IF(K211="No evaluable","Faltan datos",IF(J211=1,"Magnitud",IF(I211&gt;=$B$8,"Persistencia",IF(G211=1,"Cambio del mes","Sin umbral"))))</x:f>
        <x:v>Sin umbral</x:v>
      </x:c>
      <x:c r="M211" s="2" t="n">
        <x:f>ROW()-40</x:f>
        <x:v>171</x:v>
      </x:c>
    </x:row>
    <x:row r="212" ht="48" customHeight="1">
      <x:c r="A212" s="4" t="n">
        <x:v>45292</x:v>
      </x:c>
      <x:c r="B212" s="32" t="str">
        <x:v>Servicios públicos y transporte: agua y transporte en GBA</x:v>
      </x:c>
      <x:c r="C212" s="10" t="n">
        <x:f>IF(ISNUMBER('Actividades'!F349),'Actividades'!F349,"n.a.")</x:f>
        <x:v>87.43953360215055</x:v>
      </x:c>
      <x:c r="D212" s="10" t="n">
        <x:f>IF(ISNUMBER('Actividades'!G349),'Actividades'!G349,"n.a.")</x:f>
        <x:v>91.0561115591398</x:v>
      </x:c>
      <x:c r="E212" s="10" t="n">
        <x:f>IF(AND(ISNUMBER(C212),ISNUMBER(D212),C212&gt;=0,D212&gt;0),C212-D212,"n.a.")</x:f>
        <x:v>-3.6165779569892464</x:v>
      </x:c>
      <x:c r="F212" s="12" t="n">
        <x:f>IF(ISNUMBER(E212),E212/D212,"n.a.")</x:f>
        <x:v>-0.03971812429789872</x:v>
      </x:c>
      <x:c r="G212" s="2" t="n">
        <x:f>IF(ISNUMBER(F212),IF(AND(ABS(F212)+0.00000000001&gt;=$B$6,ABS(E212)+0.000000001&gt;=$D$6),1,0),"n.a.")</x:f>
        <x:v>0</x:v>
      </x:c>
      <x:c r="H212" s="2" t="n">
        <x:f>IF(ISNUMBER(E212),SIGN(E212),"n.a.")</x:f>
        <x:v>-1</x:v>
      </x:c>
      <x:c r="I212" s="2" t="n">
        <x:f>IF(NOT(ISNUMBER(G212)),"n.a.",IF(G212=0,0,IF(AND(B212=B198,A212=EDATE(A198,1),H212=H198,ISNUMBER(I198)),I198+1,1)))</x:f>
        <x:v>0</x:v>
      </x:c>
      <x:c r="J212" s="2" t="n">
        <x:f>IF(ISNUMBER(F212),IF(AND(ABS(F212)+0.00000000001&gt;=$B$7,ABS(E212)+0.000000001&gt;=$D$7),1,0),"n.a.")</x:f>
        <x:v>0</x:v>
      </x:c>
      <x:c r="K212" s="2" t="str">
        <x:f>IF(NOT(ISNUMBER(F212)),"No evaluable",IF(OR(J212=1,I212&gt;=$B$8),"Prioridad",IF(G212=1,"Observar","Sin umbral")))</x:f>
        <x:v>Sin umbral</x:v>
      </x:c>
      <x:c r="L212" s="2" t="str">
        <x:f>IF(K212="No evaluable","Faltan datos",IF(J212=1,"Magnitud",IF(I212&gt;=$B$8,"Persistencia",IF(G212=1,"Cambio del mes","Sin umbral"))))</x:f>
        <x:v>Sin umbral</x:v>
      </x:c>
      <x:c r="M212" s="2" t="n">
        <x:f>ROW()-40</x:f>
        <x:v>172</x:v>
      </x:c>
    </x:row>
    <x:row r="213" ht="48" customHeight="1">
      <x:c r="A213" s="4" t="n">
        <x:v>45292</x:v>
      </x:c>
      <x:c r="B213" s="32" t="str">
        <x:v>Industria automotriz</x:v>
      </x:c>
      <x:c r="C213" s="10" t="n">
        <x:f>IF(ISNUMBER('Actividades'!F350),'Actividades'!F350,"n.a.")</x:f>
        <x:v>31.595293010752687</x:v>
      </x:c>
      <x:c r="D213" s="10" t="n">
        <x:f>IF(ISNUMBER('Actividades'!G350),'Actividades'!G350,"n.a.")</x:f>
        <x:v>30.346767473118277</x:v>
      </x:c>
      <x:c r="E213" s="10" t="n">
        <x:f>IF(AND(ISNUMBER(C213),ISNUMBER(D213),C213&gt;=0,D213&gt;0),C213-D213,"n.a.")</x:f>
        <x:v>1.2485255376344107</x:v>
      </x:c>
      <x:c r="F213" s="12" t="n">
        <x:f>IF(ISNUMBER(E213),E213/D213,"n.a.")</x:f>
        <x:v>0.04114196145406187</x:v>
      </x:c>
      <x:c r="G213" s="2" t="n">
        <x:f>IF(ISNUMBER(F213),IF(AND(ABS(F213)+0.00000000001&gt;=$B$6,ABS(E213)+0.000000001&gt;=$D$6),1,0),"n.a.")</x:f>
        <x:v>0</x:v>
      </x:c>
      <x:c r="H213" s="2" t="n">
        <x:f>IF(ISNUMBER(E213),SIGN(E213),"n.a.")</x:f>
        <x:v>1</x:v>
      </x:c>
      <x:c r="I213" s="2" t="n">
        <x:f>IF(NOT(ISNUMBER(G213)),"n.a.",IF(G213=0,0,IF(AND(B213=B199,A213=EDATE(A199,1),H213=H199,ISNUMBER(I199)),I199+1,1)))</x:f>
        <x:v>0</x:v>
      </x:c>
      <x:c r="J213" s="2" t="n">
        <x:f>IF(ISNUMBER(F213),IF(AND(ABS(F213)+0.00000000001&gt;=$B$7,ABS(E213)+0.000000001&gt;=$D$7),1,0),"n.a.")</x:f>
        <x:v>0</x:v>
      </x:c>
      <x:c r="K213" s="2" t="str">
        <x:f>IF(NOT(ISNUMBER(F213)),"No evaluable",IF(OR(J213=1,I213&gt;=$B$8),"Prioridad",IF(G213=1,"Observar","Sin umbral")))</x:f>
        <x:v>Sin umbral</x:v>
      </x:c>
      <x:c r="L213" s="2" t="str">
        <x:f>IF(K213="No evaluable","Faltan datos",IF(J213=1,"Magnitud",IF(I213&gt;=$B$8,"Persistencia",IF(G213=1,"Cambio del mes","Sin umbral"))))</x:f>
        <x:v>Sin umbral</x:v>
      </x:c>
      <x:c r="M213" s="2" t="n">
        <x:f>ROW()-40</x:f>
        <x:v>173</x:v>
      </x:c>
    </x:row>
    <x:row r="214" ht="48" customHeight="1">
      <x:c r="A214" s="4" t="n">
        <x:v>45292</x:v>
      </x:c>
      <x:c r="B214" s="32" t="str">
        <x:v>Derivados de petróleo</x:v>
      </x:c>
      <x:c r="C214" s="10" t="n">
        <x:f>IF(ISNUMBER('Actividades'!F351),'Actividades'!F351,"n.a.")</x:f>
        <x:v>155.5409502688172</x:v>
      </x:c>
      <x:c r="D214" s="10" t="n">
        <x:f>IF(ISNUMBER('Actividades'!G351),'Actividades'!G351,"n.a.")</x:f>
        <x:v>161.63064516129032</x:v>
      </x:c>
      <x:c r="E214" s="10" t="n">
        <x:f>IF(AND(ISNUMBER(C214),ISNUMBER(D214),C214&gt;=0,D214&gt;0),C214-D214,"n.a.")</x:f>
        <x:v>-6.089694892473119</x:v>
      </x:c>
      <x:c r="F214" s="12" t="n">
        <x:f>IF(ISNUMBER(E214),E214/D214,"n.a.")</x:f>
        <x:v>-0.037676610684788434</x:v>
      </x:c>
      <x:c r="G214" s="2" t="n">
        <x:f>IF(ISNUMBER(F214),IF(AND(ABS(F214)+0.00000000001&gt;=$B$6,ABS(E214)+0.000000001&gt;=$D$6),1,0),"n.a.")</x:f>
        <x:v>0</x:v>
      </x:c>
      <x:c r="H214" s="2" t="n">
        <x:f>IF(ISNUMBER(E214),SIGN(E214),"n.a.")</x:f>
        <x:v>-1</x:v>
      </x:c>
      <x:c r="I214" s="2" t="n">
        <x:f>IF(NOT(ISNUMBER(G214)),"n.a.",IF(G214=0,0,IF(AND(B214=B200,A214=EDATE(A200,1),H214=H200,ISNUMBER(I200)),I200+1,1)))</x:f>
        <x:v>0</x:v>
      </x:c>
      <x:c r="J214" s="2" t="n">
        <x:f>IF(ISNUMBER(F214),IF(AND(ABS(F214)+0.00000000001&gt;=$B$7,ABS(E214)+0.000000001&gt;=$D$7),1,0),"n.a.")</x:f>
        <x:v>0</x:v>
      </x:c>
      <x:c r="K214" s="2" t="str">
        <x:f>IF(NOT(ISNUMBER(F214)),"No evaluable",IF(OR(J214=1,I214&gt;=$B$8),"Prioridad",IF(G214=1,"Observar","Sin umbral")))</x:f>
        <x:v>Sin umbral</x:v>
      </x:c>
      <x:c r="L214" s="2" t="str">
        <x:f>IF(K214="No evaluable","Faltan datos",IF(J214=1,"Magnitud",IF(I214&gt;=$B$8,"Persistencia",IF(G214=1,"Cambio del mes","Sin umbral"))))</x:f>
        <x:v>Sin umbral</x:v>
      </x:c>
      <x:c r="M214" s="2" t="n">
        <x:f>ROW()-40</x:f>
        <x:v>174</x:v>
      </x:c>
    </x:row>
    <x:row r="215" ht="48" customHeight="1">
      <x:c r="A215" s="4" t="n">
        <x:v>45292</x:v>
      </x:c>
      <x:c r="B215" s="32" t="str">
        <x:v>Construcción: elaboración de cemento y canteras</x:v>
      </x:c>
      <x:c r="C215" s="10" t="n">
        <x:f>IF(ISNUMBER('Actividades'!F352),'Actividades'!F352,"n.a.")</x:f>
        <x:v>133.46189112903227</x:v>
      </x:c>
      <x:c r="D215" s="10" t="n">
        <x:f>IF(ISNUMBER('Actividades'!G352),'Actividades'!G352,"n.a.")</x:f>
        <x:v>155.53374059139784</x:v>
      </x:c>
      <x:c r="E215" s="10" t="n">
        <x:f>IF(AND(ISNUMBER(C215),ISNUMBER(D215),C215&gt;=0,D215&gt;0),C215-D215,"n.a.")</x:f>
        <x:v>-22.071849462365577</x:v>
      </x:c>
      <x:c r="F215" s="12" t="n">
        <x:f>IF(ISNUMBER(E215),E215/D215,"n.a.")</x:f>
        <x:v>-0.1419103622046258</x:v>
      </x:c>
      <x:c r="G215" s="2" t="n">
        <x:f>IF(ISNUMBER(F215),IF(AND(ABS(F215)+0.00000000001&gt;=$B$6,ABS(E215)+0.000000001&gt;=$D$6),1,0),"n.a.")</x:f>
        <x:v>1</x:v>
      </x:c>
      <x:c r="H215" s="2" t="n">
        <x:f>IF(ISNUMBER(E215),SIGN(E215),"n.a.")</x:f>
        <x:v>-1</x:v>
      </x:c>
      <x:c r="I215" s="2" t="n">
        <x:f>IF(NOT(ISNUMBER(G215)),"n.a.",IF(G215=0,0,IF(AND(B215=B201,A215=EDATE(A201,1),H215=H201,ISNUMBER(I201)),I201+1,1)))</x:f>
        <x:v>1</x:v>
      </x:c>
      <x:c r="J215" s="2" t="n">
        <x:f>IF(ISNUMBER(F215),IF(AND(ABS(F215)+0.00000000001&gt;=$B$7,ABS(E215)+0.000000001&gt;=$D$7),1,0),"n.a.")</x:f>
        <x:v>0</x:v>
      </x:c>
      <x:c r="K215" s="2" t="str">
        <x:f>IF(NOT(ISNUMBER(F215)),"No evaluable",IF(OR(J215=1,I215&gt;=$B$8),"Prioridad",IF(G215=1,"Observar","Sin umbral")))</x:f>
        <x:v>Observar</x:v>
      </x:c>
      <x:c r="L215" s="2" t="str">
        <x:f>IF(K215="No evaluable","Faltan datos",IF(J215=1,"Magnitud",IF(I215&gt;=$B$8,"Persistencia",IF(G215=1,"Cambio del mes","Sin umbral"))))</x:f>
        <x:v>Cambio del mes</x:v>
      </x:c>
      <x:c r="M215" s="2" t="n">
        <x:f>ROW()-40</x:f>
        <x:v>175</x:v>
      </x:c>
    </x:row>
    <x:row r="216" ht="48" customHeight="1">
      <x:c r="A216" s="4" t="n">
        <x:v>45292</x:v>
      </x:c>
      <x:c r="B216" s="32" t="str">
        <x:v>Madera y papel</x:v>
      </x:c>
      <x:c r="C216" s="10" t="n">
        <x:f>IF(ISNUMBER('Actividades'!F353),'Actividades'!F353,"n.a.")</x:f>
        <x:v>105.33960752688172</x:v>
      </x:c>
      <x:c r="D216" s="10" t="n">
        <x:f>IF(ISNUMBER('Actividades'!G353),'Actividades'!G353,"n.a.")</x:f>
        <x:v>109.55588844086022</x:v>
      </x:c>
      <x:c r="E216" s="10" t="n">
        <x:f>IF(AND(ISNUMBER(C216),ISNUMBER(D216),C216&gt;=0,D216&gt;0),C216-D216,"n.a.")</x:f>
        <x:v>-4.216280913978494</x:v>
      </x:c>
      <x:c r="F216" s="12" t="n">
        <x:f>IF(ISNUMBER(E216),E216/D216,"n.a.")</x:f>
        <x:v>-0.03848520580666461</x:v>
      </x:c>
      <x:c r="G216" s="2" t="n">
        <x:f>IF(ISNUMBER(F216),IF(AND(ABS(F216)+0.00000000001&gt;=$B$6,ABS(E216)+0.000000001&gt;=$D$6),1,0),"n.a.")</x:f>
        <x:v>0</x:v>
      </x:c>
      <x:c r="H216" s="2" t="n">
        <x:f>IF(ISNUMBER(E216),SIGN(E216),"n.a.")</x:f>
        <x:v>-1</x:v>
      </x:c>
      <x:c r="I216" s="2" t="n">
        <x:f>IF(NOT(ISNUMBER(G216)),"n.a.",IF(G216=0,0,IF(AND(B216=B202,A216=EDATE(A202,1),H216=H202,ISNUMBER(I202)),I202+1,1)))</x:f>
        <x:v>0</x:v>
      </x:c>
      <x:c r="J216" s="2" t="n">
        <x:f>IF(ISNUMBER(F216),IF(AND(ABS(F216)+0.00000000001&gt;=$B$7,ABS(E216)+0.000000001&gt;=$D$7),1,0),"n.a.")</x:f>
        <x:v>0</x:v>
      </x:c>
      <x:c r="K216" s="2" t="str">
        <x:f>IF(NOT(ISNUMBER(F216)),"No evaluable",IF(OR(J216=1,I216&gt;=$B$8),"Prioridad",IF(G216=1,"Observar","Sin umbral")))</x:f>
        <x:v>Sin umbral</x:v>
      </x:c>
      <x:c r="L216" s="2" t="str">
        <x:f>IF(K216="No evaluable","Faltan datos",IF(J216=1,"Magnitud",IF(I216&gt;=$B$8,"Persistencia",IF(G216=1,"Cambio del mes","Sin umbral"))))</x:f>
        <x:v>Sin umbral</x:v>
      </x:c>
      <x:c r="M216" s="2" t="n">
        <x:f>ROW()-40</x:f>
        <x:v>176</x:v>
      </x:c>
    </x:row>
    <x:row r="217" ht="48" customHeight="1">
      <x:c r="A217" s="4" t="n">
        <x:v>45292</x:v>
      </x:c>
      <x:c r="B217" s="32" t="str">
        <x:v>Productos metálicos no automotores</x:v>
      </x:c>
      <x:c r="C217" s="10" t="n">
        <x:f>IF(ISNUMBER('Actividades'!F354),'Actividades'!F354,"n.a.")</x:f>
        <x:v>39.070408602150536</x:v>
      </x:c>
      <x:c r="D217" s="10" t="n">
        <x:f>IF(ISNUMBER('Actividades'!G354),'Actividades'!G354,"n.a.")</x:f>
        <x:v>44.24393548387097</x:v>
      </x:c>
      <x:c r="E217" s="10" t="n">
        <x:f>IF(AND(ISNUMBER(C217),ISNUMBER(D217),C217&gt;=0,D217&gt;0),C217-D217,"n.a.")</x:f>
        <x:v>-5.173526881720434</x:v>
      </x:c>
      <x:c r="F217" s="12" t="n">
        <x:f>IF(ISNUMBER(E217),E217/D217,"n.a.")</x:f>
        <x:v>-0.11693188739067825</x:v>
      </x:c>
      <x:c r="G217" s="2" t="n">
        <x:f>IF(ISNUMBER(F217),IF(AND(ABS(F217)+0.00000000001&gt;=$B$6,ABS(E217)+0.000000001&gt;=$D$6),1,0),"n.a.")</x:f>
        <x:v>1</x:v>
      </x:c>
      <x:c r="H217" s="2" t="n">
        <x:f>IF(ISNUMBER(E217),SIGN(E217),"n.a.")</x:f>
        <x:v>-1</x:v>
      </x:c>
      <x:c r="I217" s="2" t="n">
        <x:f>IF(NOT(ISNUMBER(G217)),"n.a.",IF(G217=0,0,IF(AND(B217=B203,A217=EDATE(A203,1),H217=H203,ISNUMBER(I203)),I203+1,1)))</x:f>
        <x:v>1</x:v>
      </x:c>
      <x:c r="J217" s="2" t="n">
        <x:f>IF(ISNUMBER(F217),IF(AND(ABS(F217)+0.00000000001&gt;=$B$7,ABS(E217)+0.000000001&gt;=$D$7),1,0),"n.a.")</x:f>
        <x:v>0</x:v>
      </x:c>
      <x:c r="K217" s="2" t="str">
        <x:f>IF(NOT(ISNUMBER(F217)),"No evaluable",IF(OR(J217=1,I217&gt;=$B$8),"Prioridad",IF(G217=1,"Observar","Sin umbral")))</x:f>
        <x:v>Observar</x:v>
      </x:c>
      <x:c r="L217" s="2" t="str">
        <x:f>IF(K217="No evaluable","Faltan datos",IF(J217=1,"Magnitud",IF(I217&gt;=$B$8,"Persistencia",IF(G217=1,"Cambio del mes","Sin umbral"))))</x:f>
        <x:v>Cambio del mes</x:v>
      </x:c>
      <x:c r="M217" s="2" t="n">
        <x:f>ROW()-40</x:f>
        <x:v>177</x:v>
      </x:c>
    </x:row>
    <x:row r="218" ht="48" customHeight="1">
      <x:c r="A218" s="4" t="n">
        <x:v>45292</x:v>
      </x:c>
      <x:c r="B218" s="32" t="str">
        <x:v>Gran siderurgia</x:v>
      </x:c>
      <x:c r="C218" s="10" t="n">
        <x:f>IF(ISNUMBER('Actividades'!F355),'Actividades'!F355,"n.a.")</x:f>
        <x:v>327.53325403225807</x:v>
      </x:c>
      <x:c r="D218" s="10" t="n">
        <x:f>IF(ISNUMBER('Actividades'!G355),'Actividades'!G355,"n.a.")</x:f>
        <x:v>335.34868951612907</x:v>
      </x:c>
      <x:c r="E218" s="10" t="n">
        <x:f>IF(AND(ISNUMBER(C218),ISNUMBER(D218),C218&gt;=0,D218&gt;0),C218-D218,"n.a.")</x:f>
        <x:v>-7.815435483870999</x:v>
      </x:c>
      <x:c r="F218" s="12" t="n">
        <x:f>IF(ISNUMBER(E218),E218/D218,"n.a.")</x:f>
        <x:v>-0.023305400403227473</x:v>
      </x:c>
      <x:c r="G218" s="2" t="n">
        <x:f>IF(ISNUMBER(F218),IF(AND(ABS(F218)+0.00000000001&gt;=$B$6,ABS(E218)+0.000000001&gt;=$D$6),1,0),"n.a.")</x:f>
        <x:v>0</x:v>
      </x:c>
      <x:c r="H218" s="2" t="n">
        <x:f>IF(ISNUMBER(E218),SIGN(E218),"n.a.")</x:f>
        <x:v>-1</x:v>
      </x:c>
      <x:c r="I218" s="2" t="n">
        <x:f>IF(NOT(ISNUMBER(G218)),"n.a.",IF(G218=0,0,IF(AND(B218=B204,A218=EDATE(A204,1),H218=H204,ISNUMBER(I204)),I204+1,1)))</x:f>
        <x:v>0</x:v>
      </x:c>
      <x:c r="J218" s="2" t="n">
        <x:f>IF(ISNUMBER(F218),IF(AND(ABS(F218)+0.00000000001&gt;=$B$7,ABS(E218)+0.000000001&gt;=$D$7),1,0),"n.a.")</x:f>
        <x:v>0</x:v>
      </x:c>
      <x:c r="K218" s="2" t="str">
        <x:f>IF(NOT(ISNUMBER(F218)),"No evaluable",IF(OR(J218=1,I218&gt;=$B$8),"Prioridad",IF(G218=1,"Observar","Sin umbral")))</x:f>
        <x:v>Sin umbral</x:v>
      </x:c>
      <x:c r="L218" s="2" t="str">
        <x:f>IF(K218="No evaluable","Faltan datos",IF(J218=1,"Magnitud",IF(I218&gt;=$B$8,"Persistencia",IF(G218=1,"Cambio del mes","Sin umbral"))))</x:f>
        <x:v>Sin umbral</x:v>
      </x:c>
      <x:c r="M218" s="2" t="n">
        <x:f>ROW()-40</x:f>
        <x:v>178</x:v>
      </x:c>
    </x:row>
    <x:row r="219" ht="48" customHeight="1">
      <x:c r="A219" s="4" t="n">
        <x:v>45292</x:v>
      </x:c>
      <x:c r="B219" s="32" t="str">
        <x:v>Industria textil</x:v>
      </x:c>
      <x:c r="C219" s="10" t="n">
        <x:f>IF(ISNUMBER('Actividades'!F356),'Actividades'!F356,"n.a.")</x:f>
        <x:v>36.94760752688172</x:v>
      </x:c>
      <x:c r="D219" s="10" t="n">
        <x:f>IF(ISNUMBER('Actividades'!G356),'Actividades'!G356,"n.a.")</x:f>
        <x:v>43.68027688172043</x:v>
      </x:c>
      <x:c r="E219" s="10" t="n">
        <x:f>IF(AND(ISNUMBER(C219),ISNUMBER(D219),C219&gt;=0,D219&gt;0),C219-D219,"n.a.")</x:f>
        <x:v>-6.732669354838713</x:v>
      </x:c>
      <x:c r="F219" s="12" t="n">
        <x:f>IF(ISNUMBER(E219),E219/D219,"n.a.")</x:f>
        <x:v>-0.15413522613580863</x:v>
      </x:c>
      <x:c r="G219" s="2" t="n">
        <x:f>IF(ISNUMBER(F219),IF(AND(ABS(F219)+0.00000000001&gt;=$B$6,ABS(E219)+0.000000001&gt;=$D$6),1,0),"n.a.")</x:f>
        <x:v>1</x:v>
      </x:c>
      <x:c r="H219" s="2" t="n">
        <x:f>IF(ISNUMBER(E219),SIGN(E219),"n.a.")</x:f>
        <x:v>-1</x:v>
      </x:c>
      <x:c r="I219" s="2" t="n">
        <x:f>IF(NOT(ISNUMBER(G219)),"n.a.",IF(G219=0,0,IF(AND(B219=B205,A219=EDATE(A205,1),H219=H205,ISNUMBER(I205)),I205+1,1)))</x:f>
        <x:v>1</x:v>
      </x:c>
      <x:c r="J219" s="2" t="n">
        <x:f>IF(ISNUMBER(F219),IF(AND(ABS(F219)+0.00000000001&gt;=$B$7,ABS(E219)+0.000000001&gt;=$D$7),1,0),"n.a.")</x:f>
        <x:v>0</x:v>
      </x:c>
      <x:c r="K219" s="2" t="str">
        <x:f>IF(NOT(ISNUMBER(F219)),"No evaluable",IF(OR(J219=1,I219&gt;=$B$8),"Prioridad",IF(G219=1,"Observar","Sin umbral")))</x:f>
        <x:v>Observar</x:v>
      </x:c>
      <x:c r="L219" s="2" t="str">
        <x:f>IF(K219="No evaluable","Faltan datos",IF(J219=1,"Magnitud",IF(I219&gt;=$B$8,"Persistencia",IF(G219=1,"Cambio del mes","Sin umbral"))))</x:f>
        <x:v>Cambio del mes</x:v>
      </x:c>
      <x:c r="M219" s="2" t="n">
        <x:f>ROW()-40</x:f>
        <x:v>179</x:v>
      </x:c>
    </x:row>
    <x:row r="220" ht="48" customHeight="1">
      <x:c r="A220" s="4" t="n">
        <x:v>45292</x:v>
      </x:c>
      <x:c r="B220" s="32" t="str">
        <x:v>Químicas, caucho, plástico y otros minerales no metálicos</x:v>
      </x:c>
      <x:c r="C220" s="10" t="n">
        <x:f>IF(ISNUMBER('Actividades'!F357),'Actividades'!F357,"n.a.")</x:f>
        <x:v>291.01295161290324</x:v>
      </x:c>
      <x:c r="D220" s="10" t="n">
        <x:f>IF(ISNUMBER('Actividades'!G357),'Actividades'!G357,"n.a.")</x:f>
        <x:v>322.3582688172043</x:v>
      </x:c>
      <x:c r="E220" s="10" t="n">
        <x:f>IF(AND(ISNUMBER(C220),ISNUMBER(D220),C220&gt;=0,D220&gt;0),C220-D220,"n.a.")</x:f>
        <x:v>-31.345317204301068</x:v>
      </x:c>
      <x:c r="F220" s="12" t="n">
        <x:f>IF(ISNUMBER(E220),E220/D220,"n.a.")</x:f>
        <x:v>-0.0972375156353618</x:v>
      </x:c>
      <x:c r="G220" s="2" t="n">
        <x:f>IF(ISNUMBER(F220),IF(AND(ABS(F220)+0.00000000001&gt;=$B$6,ABS(E220)+0.000000001&gt;=$D$6),1,0),"n.a.")</x:f>
        <x:v>0</x:v>
      </x:c>
      <x:c r="H220" s="2" t="n">
        <x:f>IF(ISNUMBER(E220),SIGN(E220),"n.a.")</x:f>
        <x:v>-1</x:v>
      </x:c>
      <x:c r="I220" s="2" t="n">
        <x:f>IF(NOT(ISNUMBER(G220)),"n.a.",IF(G220=0,0,IF(AND(B220=B206,A220=EDATE(A206,1),H220=H206,ISNUMBER(I206)),I206+1,1)))</x:f>
        <x:v>0</x:v>
      </x:c>
      <x:c r="J220" s="2" t="n">
        <x:f>IF(ISNUMBER(F220),IF(AND(ABS(F220)+0.00000000001&gt;=$B$7,ABS(E220)+0.000000001&gt;=$D$7),1,0),"n.a.")</x:f>
        <x:v>0</x:v>
      </x:c>
      <x:c r="K220" s="2" t="str">
        <x:f>IF(NOT(ISNUMBER(F220)),"No evaluable",IF(OR(J220=1,I220&gt;=$B$8),"Prioridad",IF(G220=1,"Observar","Sin umbral")))</x:f>
        <x:v>Sin umbral</x:v>
      </x:c>
      <x:c r="L220" s="2" t="str">
        <x:f>IF(K220="No evaluable","Faltan datos",IF(J220=1,"Magnitud",IF(I220&gt;=$B$8,"Persistencia",IF(G220=1,"Cambio del mes","Sin umbral"))))</x:f>
        <x:v>Sin umbral</x:v>
      </x:c>
      <x:c r="M220" s="2" t="n">
        <x:f>ROW()-40</x:f>
        <x:v>180</x:v>
      </x:c>
    </x:row>
    <x:row r="221" ht="48" customHeight="1">
      <x:c r="A221" s="4" t="n">
        <x:v>45292</x:v>
      </x:c>
      <x:c r="B221" s="32" t="str">
        <x:v>Extracción de minerales</x:v>
      </x:c>
      <x:c r="C221" s="10" t="n">
        <x:f>IF(ISNUMBER('Actividades'!F358),'Actividades'!F358,"n.a.")</x:f>
        <x:v>20.743166666666667</x:v>
      </x:c>
      <x:c r="D221" s="10" t="n">
        <x:f>IF(ISNUMBER('Actividades'!G358),'Actividades'!G358,"n.a.")</x:f>
        <x:v>19.24130510752688</x:v>
      </x:c>
      <x:c r="E221" s="10" t="n">
        <x:f>IF(AND(ISNUMBER(C221),ISNUMBER(D221),C221&gt;=0,D221&gt;0),C221-D221,"n.a.")</x:f>
        <x:v>1.5018615591397868</x:v>
      </x:c>
      <x:c r="F221" s="12" t="n">
        <x:f>IF(ISNUMBER(E221),E221/D221,"n.a.")</x:f>
        <x:v>0.07805403795360448</x:v>
      </x:c>
      <x:c r="G221" s="2" t="n">
        <x:f>IF(ISNUMBER(F221),IF(AND(ABS(F221)+0.00000000001&gt;=$B$6,ABS(E221)+0.000000001&gt;=$D$6),1,0),"n.a.")</x:f>
        <x:v>0</x:v>
      </x:c>
      <x:c r="H221" s="2" t="n">
        <x:f>IF(ISNUMBER(E221),SIGN(E221),"n.a.")</x:f>
        <x:v>1</x:v>
      </x:c>
      <x:c r="I221" s="2" t="n">
        <x:f>IF(NOT(ISNUMBER(G221)),"n.a.",IF(G221=0,0,IF(AND(B221=B207,A221=EDATE(A207,1),H221=H207,ISNUMBER(I207)),I207+1,1)))</x:f>
        <x:v>0</x:v>
      </x:c>
      <x:c r="J221" s="2" t="n">
        <x:f>IF(ISNUMBER(F221),IF(AND(ABS(F221)+0.00000000001&gt;=$B$7,ABS(E221)+0.000000001&gt;=$D$7),1,0),"n.a.")</x:f>
        <x:v>0</x:v>
      </x:c>
      <x:c r="K221" s="2" t="str">
        <x:f>IF(NOT(ISNUMBER(F221)),"No evaluable",IF(OR(J221=1,I221&gt;=$B$8),"Prioridad",IF(G221=1,"Observar","Sin umbral")))</x:f>
        <x:v>Sin umbral</x:v>
      </x:c>
      <x:c r="L221" s="2" t="str">
        <x:f>IF(K221="No evaluable","Faltan datos",IF(J221=1,"Magnitud",IF(I221&gt;=$B$8,"Persistencia",IF(G221=1,"Cambio del mes","Sin umbral"))))</x:f>
        <x:v>Sin umbral</x:v>
      </x:c>
      <x:c r="M221" s="2" t="n">
        <x:f>ROW()-40</x:f>
        <x:v>181</x:v>
      </x:c>
    </x:row>
    <x:row r="222" ht="48" customHeight="1">
      <x:c r="A222" s="4" t="n">
        <x:v>45292</x:v>
      </x:c>
      <x:c r="B222" s="32" t="str">
        <x:v>Extracción de petróleo</x:v>
      </x:c>
      <x:c r="C222" s="10" t="n">
        <x:f>IF(ISNUMBER('Actividades'!F359),'Actividades'!F359,"n.a.")</x:f>
        <x:v>140.07120833333335</x:v>
      </x:c>
      <x:c r="D222" s="10" t="n">
        <x:f>IF(ISNUMBER('Actividades'!G359),'Actividades'!G359,"n.a.")</x:f>
        <x:v>146.68221639784946</x:v>
      </x:c>
      <x:c r="E222" s="10" t="n">
        <x:f>IF(AND(ISNUMBER(C222),ISNUMBER(D222),C222&gt;=0,D222&gt;0),C222-D222,"n.a.")</x:f>
        <x:v>-6.611008064516113</x:v>
      </x:c>
      <x:c r="F222" s="12" t="n">
        <x:f>IF(ISNUMBER(E222),E222/D222,"n.a.")</x:f>
        <x:v>-0.04507027659430048</x:v>
      </x:c>
      <x:c r="G222" s="2" t="n">
        <x:f>IF(ISNUMBER(F222),IF(AND(ABS(F222)+0.00000000001&gt;=$B$6,ABS(E222)+0.000000001&gt;=$D$6),1,0),"n.a.")</x:f>
        <x:v>0</x:v>
      </x:c>
      <x:c r="H222" s="2" t="n">
        <x:f>IF(ISNUMBER(E222),SIGN(E222),"n.a.")</x:f>
        <x:v>-1</x:v>
      </x:c>
      <x:c r="I222" s="2" t="n">
        <x:f>IF(NOT(ISNUMBER(G222)),"n.a.",IF(G222=0,0,IF(AND(B222=B208,A222=EDATE(A208,1),H222=H208,ISNUMBER(I208)),I208+1,1)))</x:f>
        <x:v>0</x:v>
      </x:c>
      <x:c r="J222" s="2" t="n">
        <x:f>IF(ISNUMBER(F222),IF(AND(ABS(F222)+0.00000000001&gt;=$B$7,ABS(E222)+0.000000001&gt;=$D$7),1,0),"n.a.")</x:f>
        <x:v>0</x:v>
      </x:c>
      <x:c r="K222" s="2" t="str">
        <x:f>IF(NOT(ISNUMBER(F222)),"No evaluable",IF(OR(J222=1,I222&gt;=$B$8),"Prioridad",IF(G222=1,"Observar","Sin umbral")))</x:f>
        <x:v>Sin umbral</x:v>
      </x:c>
      <x:c r="L222" s="2" t="str">
        <x:f>IF(K222="No evaluable","Faltan datos",IF(J222=1,"Magnitud",IF(I222&gt;=$B$8,"Persistencia",IF(G222=1,"Cambio del mes","Sin umbral"))))</x:f>
        <x:v>Sin umbral</x:v>
      </x:c>
      <x:c r="M222" s="2" t="n">
        <x:f>ROW()-40</x:f>
        <x:v>182</x:v>
      </x:c>
    </x:row>
    <x:row r="223" ht="48" customHeight="1">
      <x:c r="A223" s="4" t="n">
        <x:v>45323</x:v>
      </x:c>
      <x:c r="B223" s="32" t="str">
        <x:v>Cargas y puertos</x:v>
      </x:c>
      <x:c r="C223" s="10" t="n">
        <x:f>IF(ISNUMBER('Actividades'!F360),'Actividades'!F360,"n.a.")</x:f>
        <x:v>12.43189511494253</x:v>
      </x:c>
      <x:c r="D223" s="10" t="n">
        <x:f>IF(ISNUMBER('Actividades'!G360),'Actividades'!G360,"n.a.")</x:f>
        <x:v>9.33863392857143</x:v>
      </x:c>
      <x:c r="E223" s="10" t="n">
        <x:f>IF(AND(ISNUMBER(C223),ISNUMBER(D223),C223&gt;=0,D223&gt;0),C223-D223,"n.a.")</x:f>
        <x:v>3.0932611863711</x:v>
      </x:c>
      <x:c r="F223" s="12" t="n">
        <x:f>IF(ISNUMBER(E223),E223/D223,"n.a.")</x:f>
        <x:v>0.331232727402164</x:v>
      </x:c>
      <x:c r="G223" s="2" t="n">
        <x:f>IF(ISNUMBER(F223),IF(AND(ABS(F223)+0.00000000001&gt;=$B$6,ABS(E223)+0.000000001&gt;=$D$6),1,0),"n.a.")</x:f>
        <x:v>0</x:v>
      </x:c>
      <x:c r="H223" s="2" t="n">
        <x:f>IF(ISNUMBER(E223),SIGN(E223),"n.a.")</x:f>
        <x:v>1</x:v>
      </x:c>
      <x:c r="I223" s="2" t="n">
        <x:f>IF(NOT(ISNUMBER(G223)),"n.a.",IF(G223=0,0,IF(AND(B223=B209,A223=EDATE(A209,1),H223=H209,ISNUMBER(I209)),I209+1,1)))</x:f>
        <x:v>0</x:v>
      </x:c>
      <x:c r="J223" s="2" t="n">
        <x:f>IF(ISNUMBER(F223),IF(AND(ABS(F223)+0.00000000001&gt;=$B$7,ABS(E223)+0.000000001&gt;=$D$7),1,0),"n.a.")</x:f>
        <x:v>0</x:v>
      </x:c>
      <x:c r="K223" s="2" t="str">
        <x:f>IF(NOT(ISNUMBER(F223)),"No evaluable",IF(OR(J223=1,I223&gt;=$B$8),"Prioridad",IF(G223=1,"Observar","Sin umbral")))</x:f>
        <x:v>Sin umbral</x:v>
      </x:c>
      <x:c r="L223" s="2" t="str">
        <x:f>IF(K223="No evaluable","Faltan datos",IF(J223=1,"Magnitud",IF(I223&gt;=$B$8,"Persistencia",IF(G223=1,"Cambio del mes","Sin umbral"))))</x:f>
        <x:v>Sin umbral</x:v>
      </x:c>
      <x:c r="M223" s="2" t="n">
        <x:f>ROW()-40</x:f>
        <x:v>183</x:v>
      </x:c>
    </x:row>
    <x:row r="224" ht="48" customHeight="1">
      <x:c r="A224" s="4" t="n">
        <x:v>45323</x:v>
      </x:c>
      <x:c r="B224" s="32" t="str">
        <x:v>Comercio y servicios: principalmente supermercados y centros comerciales</x:v>
      </x:c>
      <x:c r="C224" s="10" t="n">
        <x:f>IF(ISNUMBER('Actividades'!F361),'Actividades'!F361,"n.a.")</x:f>
        <x:v>43.13083045977011</x:v>
      </x:c>
      <x:c r="D224" s="10" t="n">
        <x:f>IF(ISNUMBER('Actividades'!G361),'Actividades'!G361,"n.a.")</x:f>
        <x:v>38.53780952380952</x:v>
      </x:c>
      <x:c r="E224" s="10" t="n">
        <x:f>IF(AND(ISNUMBER(C224),ISNUMBER(D224),C224&gt;=0,D224&gt;0),C224-D224,"n.a.")</x:f>
        <x:v>4.593020935960588</x:v>
      </x:c>
      <x:c r="F224" s="12" t="n">
        <x:f>IF(ISNUMBER(E224),E224/D224,"n.a.")</x:f>
        <x:v>0.11918220035632583</x:v>
      </x:c>
      <x:c r="G224" s="2" t="n">
        <x:f>IF(ISNUMBER(F224),IF(AND(ABS(F224)+0.00000000001&gt;=$B$6,ABS(E224)+0.000000001&gt;=$D$6),1,0),"n.a.")</x:f>
        <x:v>0</x:v>
      </x:c>
      <x:c r="H224" s="2" t="n">
        <x:f>IF(ISNUMBER(E224),SIGN(E224),"n.a.")</x:f>
        <x:v>1</x:v>
      </x:c>
      <x:c r="I224" s="2" t="n">
        <x:f>IF(NOT(ISNUMBER(G224)),"n.a.",IF(G224=0,0,IF(AND(B224=B210,A224=EDATE(A210,1),H224=H210,ISNUMBER(I210)),I210+1,1)))</x:f>
        <x:v>0</x:v>
      </x:c>
      <x:c r="J224" s="2" t="n">
        <x:f>IF(ISNUMBER(F224),IF(AND(ABS(F224)+0.00000000001&gt;=$B$7,ABS(E224)+0.000000001&gt;=$D$7),1,0),"n.a.")</x:f>
        <x:v>0</x:v>
      </x:c>
      <x:c r="K224" s="2" t="str">
        <x:f>IF(NOT(ISNUMBER(F224)),"No evaluable",IF(OR(J224=1,I224&gt;=$B$8),"Prioridad",IF(G224=1,"Observar","Sin umbral")))</x:f>
        <x:v>Sin umbral</x:v>
      </x:c>
      <x:c r="L224" s="2" t="str">
        <x:f>IF(K224="No evaluable","Faltan datos",IF(J224=1,"Magnitud",IF(I224&gt;=$B$8,"Persistencia",IF(G224=1,"Cambio del mes","Sin umbral"))))</x:f>
        <x:v>Sin umbral</x:v>
      </x:c>
      <x:c r="M224" s="2" t="n">
        <x:f>ROW()-40</x:f>
        <x:v>184</x:v>
      </x:c>
    </x:row>
    <x:row r="225" ht="48" customHeight="1">
      <x:c r="A225" s="4" t="n">
        <x:v>45323</x:v>
      </x:c>
      <x:c r="B225" s="32" t="str">
        <x:v>Alimentación y artículos de consumo masivo</x:v>
      </x:c>
      <x:c r="C225" s="10" t="n">
        <x:f>IF(ISNUMBER('Actividades'!F362),'Actividades'!F362,"n.a.")</x:f>
        <x:v>276.799716954023</x:v>
      </x:c>
      <x:c r="D225" s="10" t="n">
        <x:f>IF(ISNUMBER('Actividades'!G362),'Actividades'!G362,"n.a.")</x:f>
        <x:v>262.4367589285714</x:v>
      </x:c>
      <x:c r="E225" s="10" t="n">
        <x:f>IF(AND(ISNUMBER(C225),ISNUMBER(D225),C225&gt;=0,D225&gt;0),C225-D225,"n.a.")</x:f>
        <x:v>14.362958025451576</x:v>
      </x:c>
      <x:c r="F225" s="12" t="n">
        <x:f>IF(ISNUMBER(E225),E225/D225,"n.a.")</x:f>
        <x:v>0.054729215846476775</x:v>
      </x:c>
      <x:c r="G225" s="2" t="n">
        <x:f>IF(ISNUMBER(F225),IF(AND(ABS(F225)+0.00000000001&gt;=$B$6,ABS(E225)+0.000000001&gt;=$D$6),1,0),"n.a.")</x:f>
        <x:v>0</x:v>
      </x:c>
      <x:c r="H225" s="2" t="n">
        <x:f>IF(ISNUMBER(E225),SIGN(E225),"n.a.")</x:f>
        <x:v>1</x:v>
      </x:c>
      <x:c r="I225" s="2" t="n">
        <x:f>IF(NOT(ISNUMBER(G225)),"n.a.",IF(G225=0,0,IF(AND(B225=B211,A225=EDATE(A211,1),H225=H211,ISNUMBER(I211)),I211+1,1)))</x:f>
        <x:v>0</x:v>
      </x:c>
      <x:c r="J225" s="2" t="n">
        <x:f>IF(ISNUMBER(F225),IF(AND(ABS(F225)+0.00000000001&gt;=$B$7,ABS(E225)+0.000000001&gt;=$D$7),1,0),"n.a.")</x:f>
        <x:v>0</x:v>
      </x:c>
      <x:c r="K225" s="2" t="str">
        <x:f>IF(NOT(ISNUMBER(F225)),"No evaluable",IF(OR(J225=1,I225&gt;=$B$8),"Prioridad",IF(G225=1,"Observar","Sin umbral")))</x:f>
        <x:v>Sin umbral</x:v>
      </x:c>
      <x:c r="L225" s="2" t="str">
        <x:f>IF(K225="No evaluable","Faltan datos",IF(J225=1,"Magnitud",IF(I225&gt;=$B$8,"Persistencia",IF(G225=1,"Cambio del mes","Sin umbral"))))</x:f>
        <x:v>Sin umbral</x:v>
      </x:c>
      <x:c r="M225" s="2" t="n">
        <x:f>ROW()-40</x:f>
        <x:v>185</x:v>
      </x:c>
    </x:row>
    <x:row r="226" ht="48" customHeight="1">
      <x:c r="A226" s="4" t="n">
        <x:v>45323</x:v>
      </x:c>
      <x:c r="B226" s="32" t="str">
        <x:v>Servicios públicos y transporte: agua y transporte en GBA</x:v>
      </x:c>
      <x:c r="C226" s="10" t="n">
        <x:f>IF(ISNUMBER('Actividades'!F363),'Actividades'!F363,"n.a.")</x:f>
        <x:v>87.10254310344828</x:v>
      </x:c>
      <x:c r="D226" s="10" t="n">
        <x:f>IF(ISNUMBER('Actividades'!G363),'Actividades'!G363,"n.a.")</x:f>
        <x:v>90.42203571428571</x:v>
      </x:c>
      <x:c r="E226" s="10" t="n">
        <x:f>IF(AND(ISNUMBER(C226),ISNUMBER(D226),C226&gt;=0,D226&gt;0),C226-D226,"n.a.")</x:f>
        <x:v>-3.319492610837429</x:v>
      </x:c>
      <x:c r="F226" s="12" t="n">
        <x:f>IF(ISNUMBER(E226),E226/D226,"n.a.")</x:f>
        <x:v>-0.036711102383564065</x:v>
      </x:c>
      <x:c r="G226" s="2" t="n">
        <x:f>IF(ISNUMBER(F226),IF(AND(ABS(F226)+0.00000000001&gt;=$B$6,ABS(E226)+0.000000001&gt;=$D$6),1,0),"n.a.")</x:f>
        <x:v>0</x:v>
      </x:c>
      <x:c r="H226" s="2" t="n">
        <x:f>IF(ISNUMBER(E226),SIGN(E226),"n.a.")</x:f>
        <x:v>-1</x:v>
      </x:c>
      <x:c r="I226" s="2" t="n">
        <x:f>IF(NOT(ISNUMBER(G226)),"n.a.",IF(G226=0,0,IF(AND(B226=B212,A226=EDATE(A212,1),H226=H212,ISNUMBER(I212)),I212+1,1)))</x:f>
        <x:v>0</x:v>
      </x:c>
      <x:c r="J226" s="2" t="n">
        <x:f>IF(ISNUMBER(F226),IF(AND(ABS(F226)+0.00000000001&gt;=$B$7,ABS(E226)+0.000000001&gt;=$D$7),1,0),"n.a.")</x:f>
        <x:v>0</x:v>
      </x:c>
      <x:c r="K226" s="2" t="str">
        <x:f>IF(NOT(ISNUMBER(F226)),"No evaluable",IF(OR(J226=1,I226&gt;=$B$8),"Prioridad",IF(G226=1,"Observar","Sin umbral")))</x:f>
        <x:v>Sin umbral</x:v>
      </x:c>
      <x:c r="L226" s="2" t="str">
        <x:f>IF(K226="No evaluable","Faltan datos",IF(J226=1,"Magnitud",IF(I226&gt;=$B$8,"Persistencia",IF(G226=1,"Cambio del mes","Sin umbral"))))</x:f>
        <x:v>Sin umbral</x:v>
      </x:c>
      <x:c r="M226" s="2" t="n">
        <x:f>ROW()-40</x:f>
        <x:v>186</x:v>
      </x:c>
    </x:row>
    <x:row r="227" ht="48" customHeight="1">
      <x:c r="A227" s="4" t="n">
        <x:v>45323</x:v>
      </x:c>
      <x:c r="B227" s="32" t="str">
        <x:v>Industria automotriz</x:v>
      </x:c>
      <x:c r="C227" s="10" t="n">
        <x:f>IF(ISNUMBER('Actividades'!F364),'Actividades'!F364,"n.a.")</x:f>
        <x:v>43.718198275862065</x:v>
      </x:c>
      <x:c r="D227" s="10" t="n">
        <x:f>IF(ISNUMBER('Actividades'!G364),'Actividades'!G364,"n.a.")</x:f>
        <x:v>41.615912202380954</x:v>
      </x:c>
      <x:c r="E227" s="10" t="n">
        <x:f>IF(AND(ISNUMBER(C227),ISNUMBER(D227),C227&gt;=0,D227&gt;0),C227-D227,"n.a.")</x:f>
        <x:v>2.1022860734811104</x:v>
      </x:c>
      <x:c r="F227" s="12" t="n">
        <x:f>IF(ISNUMBER(E227),E227/D227,"n.a.")</x:f>
        <x:v>0.0505164001514025</x:v>
      </x:c>
      <x:c r="G227" s="2" t="n">
        <x:f>IF(ISNUMBER(F227),IF(AND(ABS(F227)+0.00000000001&gt;=$B$6,ABS(E227)+0.000000001&gt;=$D$6),1,0),"n.a.")</x:f>
        <x:v>0</x:v>
      </x:c>
      <x:c r="H227" s="2" t="n">
        <x:f>IF(ISNUMBER(E227),SIGN(E227),"n.a.")</x:f>
        <x:v>1</x:v>
      </x:c>
      <x:c r="I227" s="2" t="n">
        <x:f>IF(NOT(ISNUMBER(G227)),"n.a.",IF(G227=0,0,IF(AND(B227=B213,A227=EDATE(A213,1),H227=H213,ISNUMBER(I213)),I213+1,1)))</x:f>
        <x:v>0</x:v>
      </x:c>
      <x:c r="J227" s="2" t="n">
        <x:f>IF(ISNUMBER(F227),IF(AND(ABS(F227)+0.00000000001&gt;=$B$7,ABS(E227)+0.000000001&gt;=$D$7),1,0),"n.a.")</x:f>
        <x:v>0</x:v>
      </x:c>
      <x:c r="K227" s="2" t="str">
        <x:f>IF(NOT(ISNUMBER(F227)),"No evaluable",IF(OR(J227=1,I227&gt;=$B$8),"Prioridad",IF(G227=1,"Observar","Sin umbral")))</x:f>
        <x:v>Sin umbral</x:v>
      </x:c>
      <x:c r="L227" s="2" t="str">
        <x:f>IF(K227="No evaluable","Faltan datos",IF(J227=1,"Magnitud",IF(I227&gt;=$B$8,"Persistencia",IF(G227=1,"Cambio del mes","Sin umbral"))))</x:f>
        <x:v>Sin umbral</x:v>
      </x:c>
      <x:c r="M227" s="2" t="n">
        <x:f>ROW()-40</x:f>
        <x:v>187</x:v>
      </x:c>
    </x:row>
    <x:row r="228" ht="48" customHeight="1">
      <x:c r="A228" s="4" t="n">
        <x:v>45323</x:v>
      </x:c>
      <x:c r="B228" s="32" t="str">
        <x:v>Derivados de petróleo</x:v>
      </x:c>
      <x:c r="C228" s="10" t="n">
        <x:f>IF(ISNUMBER('Actividades'!F365),'Actividades'!F365,"n.a.")</x:f>
        <x:v>151.13160344827585</x:v>
      </x:c>
      <x:c r="D228" s="10" t="n">
        <x:f>IF(ISNUMBER('Actividades'!G365),'Actividades'!G365,"n.a.")</x:f>
        <x:v>154.5521681547619</x:v>
      </x:c>
      <x:c r="E228" s="10" t="n">
        <x:f>IF(AND(ISNUMBER(C228),ISNUMBER(D228),C228&gt;=0,D228&gt;0),C228-D228,"n.a.")</x:f>
        <x:v>-3.420564706486033</x:v>
      </x:c>
      <x:c r="F228" s="12" t="n">
        <x:f>IF(ISNUMBER(E228),E228/D228,"n.a.")</x:f>
        <x:v>-0.022132104307076603</x:v>
      </x:c>
      <x:c r="G228" s="2" t="n">
        <x:f>IF(ISNUMBER(F228),IF(AND(ABS(F228)+0.00000000001&gt;=$B$6,ABS(E228)+0.000000001&gt;=$D$6),1,0),"n.a.")</x:f>
        <x:v>0</x:v>
      </x:c>
      <x:c r="H228" s="2" t="n">
        <x:f>IF(ISNUMBER(E228),SIGN(E228),"n.a.")</x:f>
        <x:v>-1</x:v>
      </x:c>
      <x:c r="I228" s="2" t="n">
        <x:f>IF(NOT(ISNUMBER(G228)),"n.a.",IF(G228=0,0,IF(AND(B228=B214,A228=EDATE(A214,1),H228=H214,ISNUMBER(I214)),I214+1,1)))</x:f>
        <x:v>0</x:v>
      </x:c>
      <x:c r="J228" s="2" t="n">
        <x:f>IF(ISNUMBER(F228),IF(AND(ABS(F228)+0.00000000001&gt;=$B$7,ABS(E228)+0.000000001&gt;=$D$7),1,0),"n.a.")</x:f>
        <x:v>0</x:v>
      </x:c>
      <x:c r="K228" s="2" t="str">
        <x:f>IF(NOT(ISNUMBER(F228)),"No evaluable",IF(OR(J228=1,I228&gt;=$B$8),"Prioridad",IF(G228=1,"Observar","Sin umbral")))</x:f>
        <x:v>Sin umbral</x:v>
      </x:c>
      <x:c r="L228" s="2" t="str">
        <x:f>IF(K228="No evaluable","Faltan datos",IF(J228=1,"Magnitud",IF(I228&gt;=$B$8,"Persistencia",IF(G228=1,"Cambio del mes","Sin umbral"))))</x:f>
        <x:v>Sin umbral</x:v>
      </x:c>
      <x:c r="M228" s="2" t="n">
        <x:f>ROW()-40</x:f>
        <x:v>188</x:v>
      </x:c>
    </x:row>
    <x:row r="229" ht="48" customHeight="1">
      <x:c r="A229" s="4" t="n">
        <x:v>45323</x:v>
      </x:c>
      <x:c r="B229" s="32" t="str">
        <x:v>Construcción: elaboración de cemento y canteras</x:v>
      </x:c>
      <x:c r="C229" s="10" t="n">
        <x:f>IF(ISNUMBER('Actividades'!F366),'Actividades'!F366,"n.a.")</x:f>
        <x:v>151.32458333333335</x:v>
      </x:c>
      <x:c r="D229" s="10" t="n">
        <x:f>IF(ISNUMBER('Actividades'!G366),'Actividades'!G366,"n.a.")</x:f>
        <x:v>173.6812857142857</x:v>
      </x:c>
      <x:c r="E229" s="10" t="n">
        <x:f>IF(AND(ISNUMBER(C229),ISNUMBER(D229),C229&gt;=0,D229&gt;0),C229-D229,"n.a.")</x:f>
        <x:v>-22.356702380952356</x:v>
      </x:c>
      <x:c r="F229" s="12" t="n">
        <x:f>IF(ISNUMBER(E229),E229/D229,"n.a.")</x:f>
        <x:v>-0.12872257531378617</x:v>
      </x:c>
      <x:c r="G229" s="2" t="n">
        <x:f>IF(ISNUMBER(F229),IF(AND(ABS(F229)+0.00000000001&gt;=$B$6,ABS(E229)+0.000000001&gt;=$D$6),1,0),"n.a.")</x:f>
        <x:v>1</x:v>
      </x:c>
      <x:c r="H229" s="2" t="n">
        <x:f>IF(ISNUMBER(E229),SIGN(E229),"n.a.")</x:f>
        <x:v>-1</x:v>
      </x:c>
      <x:c r="I229" s="2" t="n">
        <x:f>IF(NOT(ISNUMBER(G229)),"n.a.",IF(G229=0,0,IF(AND(B229=B215,A229=EDATE(A215,1),H229=H215,ISNUMBER(I215)),I215+1,1)))</x:f>
        <x:v>2</x:v>
      </x:c>
      <x:c r="J229" s="2" t="n">
        <x:f>IF(ISNUMBER(F229),IF(AND(ABS(F229)+0.00000000001&gt;=$B$7,ABS(E229)+0.000000001&gt;=$D$7),1,0),"n.a.")</x:f>
        <x:v>0</x:v>
      </x:c>
      <x:c r="K229" s="2" t="str">
        <x:f>IF(NOT(ISNUMBER(F229)),"No evaluable",IF(OR(J229=1,I229&gt;=$B$8),"Prioridad",IF(G229=1,"Observar","Sin umbral")))</x:f>
        <x:v>Observar</x:v>
      </x:c>
      <x:c r="L229" s="2" t="str">
        <x:f>IF(K229="No evaluable","Faltan datos",IF(J229=1,"Magnitud",IF(I229&gt;=$B$8,"Persistencia",IF(G229=1,"Cambio del mes","Sin umbral"))))</x:f>
        <x:v>Cambio del mes</x:v>
      </x:c>
      <x:c r="M229" s="2" t="n">
        <x:f>ROW()-40</x:f>
        <x:v>189</x:v>
      </x:c>
    </x:row>
    <x:row r="230" ht="48" customHeight="1">
      <x:c r="A230" s="4" t="n">
        <x:v>45323</x:v>
      </x:c>
      <x:c r="B230" s="32" t="str">
        <x:v>Madera y papel</x:v>
      </x:c>
      <x:c r="C230" s="10" t="n">
        <x:f>IF(ISNUMBER('Actividades'!F367),'Actividades'!F367,"n.a.")</x:f>
        <x:v>105.27016522988505</x:v>
      </x:c>
      <x:c r="D230" s="10" t="n">
        <x:f>IF(ISNUMBER('Actividades'!G367),'Actividades'!G367,"n.a.")</x:f>
        <x:v>109.72295982142857</x:v>
      </x:c>
      <x:c r="E230" s="10" t="n">
        <x:f>IF(AND(ISNUMBER(C230),ISNUMBER(D230),C230&gt;=0,D230&gt;0),C230-D230,"n.a.")</x:f>
        <x:v>-4.4527945915435225</x:v>
      </x:c>
      <x:c r="F230" s="12" t="n">
        <x:f>IF(ISNUMBER(E230),E230/D230,"n.a.")</x:f>
        <x:v>-0.040582158909952266</x:v>
      </x:c>
      <x:c r="G230" s="2" t="n">
        <x:f>IF(ISNUMBER(F230),IF(AND(ABS(F230)+0.00000000001&gt;=$B$6,ABS(E230)+0.000000001&gt;=$D$6),1,0),"n.a.")</x:f>
        <x:v>0</x:v>
      </x:c>
      <x:c r="H230" s="2" t="n">
        <x:f>IF(ISNUMBER(E230),SIGN(E230),"n.a.")</x:f>
        <x:v>-1</x:v>
      </x:c>
      <x:c r="I230" s="2" t="n">
        <x:f>IF(NOT(ISNUMBER(G230)),"n.a.",IF(G230=0,0,IF(AND(B230=B216,A230=EDATE(A216,1),H230=H216,ISNUMBER(I216)),I216+1,1)))</x:f>
        <x:v>0</x:v>
      </x:c>
      <x:c r="J230" s="2" t="n">
        <x:f>IF(ISNUMBER(F230),IF(AND(ABS(F230)+0.00000000001&gt;=$B$7,ABS(E230)+0.000000001&gt;=$D$7),1,0),"n.a.")</x:f>
        <x:v>0</x:v>
      </x:c>
      <x:c r="K230" s="2" t="str">
        <x:f>IF(NOT(ISNUMBER(F230)),"No evaluable",IF(OR(J230=1,I230&gt;=$B$8),"Prioridad",IF(G230=1,"Observar","Sin umbral")))</x:f>
        <x:v>Sin umbral</x:v>
      </x:c>
      <x:c r="L230" s="2" t="str">
        <x:f>IF(K230="No evaluable","Faltan datos",IF(J230=1,"Magnitud",IF(I230&gt;=$B$8,"Persistencia",IF(G230=1,"Cambio del mes","Sin umbral"))))</x:f>
        <x:v>Sin umbral</x:v>
      </x:c>
      <x:c r="M230" s="2" t="n">
        <x:f>ROW()-40</x:f>
        <x:v>190</x:v>
      </x:c>
    </x:row>
    <x:row r="231" ht="48" customHeight="1">
      <x:c r="A231" s="4" t="n">
        <x:v>45323</x:v>
      </x:c>
      <x:c r="B231" s="32" t="str">
        <x:v>Productos metálicos no automotores</x:v>
      </x:c>
      <x:c r="C231" s="10" t="n">
        <x:f>IF(ISNUMBER('Actividades'!F368),'Actividades'!F368,"n.a.")</x:f>
        <x:v>41.61290373563218</x:v>
      </x:c>
      <x:c r="D231" s="10" t="n">
        <x:f>IF(ISNUMBER('Actividades'!G368),'Actividades'!G368,"n.a.")</x:f>
        <x:v>43.812755952380954</x:v>
      </x:c>
      <x:c r="E231" s="10" t="n">
        <x:f>IF(AND(ISNUMBER(C231),ISNUMBER(D231),C231&gt;=0,D231&gt;0),C231-D231,"n.a.")</x:f>
        <x:v>-2.1998522167487735</x:v>
      </x:c>
      <x:c r="F231" s="12" t="n">
        <x:f>IF(ISNUMBER(E231),E231/D231,"n.a.")</x:f>
        <x:v>-0.05021031361596474</x:v>
      </x:c>
      <x:c r="G231" s="2" t="n">
        <x:f>IF(ISNUMBER(F231),IF(AND(ABS(F231)+0.00000000001&gt;=$B$6,ABS(E231)+0.000000001&gt;=$D$6),1,0),"n.a.")</x:f>
        <x:v>0</x:v>
      </x:c>
      <x:c r="H231" s="2" t="n">
        <x:f>IF(ISNUMBER(E231),SIGN(E231),"n.a.")</x:f>
        <x:v>-1</x:v>
      </x:c>
      <x:c r="I231" s="2" t="n">
        <x:f>IF(NOT(ISNUMBER(G231)),"n.a.",IF(G231=0,0,IF(AND(B231=B217,A231=EDATE(A217,1),H231=H217,ISNUMBER(I217)),I217+1,1)))</x:f>
        <x:v>0</x:v>
      </x:c>
      <x:c r="J231" s="2" t="n">
        <x:f>IF(ISNUMBER(F231),IF(AND(ABS(F231)+0.00000000001&gt;=$B$7,ABS(E231)+0.000000001&gt;=$D$7),1,0),"n.a.")</x:f>
        <x:v>0</x:v>
      </x:c>
      <x:c r="K231" s="2" t="str">
        <x:f>IF(NOT(ISNUMBER(F231)),"No evaluable",IF(OR(J231=1,I231&gt;=$B$8),"Prioridad",IF(G231=1,"Observar","Sin umbral")))</x:f>
        <x:v>Sin umbral</x:v>
      </x:c>
      <x:c r="L231" s="2" t="str">
        <x:f>IF(K231="No evaluable","Faltan datos",IF(J231=1,"Magnitud",IF(I231&gt;=$B$8,"Persistencia",IF(G231=1,"Cambio del mes","Sin umbral"))))</x:f>
        <x:v>Sin umbral</x:v>
      </x:c>
      <x:c r="M231" s="2" t="n">
        <x:f>ROW()-40</x:f>
        <x:v>191</x:v>
      </x:c>
    </x:row>
    <x:row r="232" ht="48" customHeight="1">
      <x:c r="A232" s="4" t="n">
        <x:v>45323</x:v>
      </x:c>
      <x:c r="B232" s="32" t="str">
        <x:v>Gran siderurgia</x:v>
      </x:c>
      <x:c r="C232" s="10" t="n">
        <x:f>IF(ISNUMBER('Actividades'!F369),'Actividades'!F369,"n.a.")</x:f>
        <x:v>244.07468390804598</x:v>
      </x:c>
      <x:c r="D232" s="10" t="n">
        <x:f>IF(ISNUMBER('Actividades'!G369),'Actividades'!G369,"n.a.")</x:f>
        <x:v>276.4356294642857</x:v>
      </x:c>
      <x:c r="E232" s="10" t="n">
        <x:f>IF(AND(ISNUMBER(C232),ISNUMBER(D232),C232&gt;=0,D232&gt;0),C232-D232,"n.a.")</x:f>
        <x:v>-32.3609455562397</x:v>
      </x:c>
      <x:c r="F232" s="12" t="n">
        <x:f>IF(ISNUMBER(E232),E232/D232,"n.a.")</x:f>
        <x:v>-0.11706503108500561</x:v>
      </x:c>
      <x:c r="G232" s="2" t="n">
        <x:f>IF(ISNUMBER(F232),IF(AND(ABS(F232)+0.00000000001&gt;=$B$6,ABS(E232)+0.000000001&gt;=$D$6),1,0),"n.a.")</x:f>
        <x:v>1</x:v>
      </x:c>
      <x:c r="H232" s="2" t="n">
        <x:f>IF(ISNUMBER(E232),SIGN(E232),"n.a.")</x:f>
        <x:v>-1</x:v>
      </x:c>
      <x:c r="I232" s="2" t="n">
        <x:f>IF(NOT(ISNUMBER(G232)),"n.a.",IF(G232=0,0,IF(AND(B232=B218,A232=EDATE(A218,1),H232=H218,ISNUMBER(I218)),I218+1,1)))</x:f>
        <x:v>1</x:v>
      </x:c>
      <x:c r="J232" s="2" t="n">
        <x:f>IF(ISNUMBER(F232),IF(AND(ABS(F232)+0.00000000001&gt;=$B$7,ABS(E232)+0.000000001&gt;=$D$7),1,0),"n.a.")</x:f>
        <x:v>0</x:v>
      </x:c>
      <x:c r="K232" s="2" t="str">
        <x:f>IF(NOT(ISNUMBER(F232)),"No evaluable",IF(OR(J232=1,I232&gt;=$B$8),"Prioridad",IF(G232=1,"Observar","Sin umbral")))</x:f>
        <x:v>Observar</x:v>
      </x:c>
      <x:c r="L232" s="2" t="str">
        <x:f>IF(K232="No evaluable","Faltan datos",IF(J232=1,"Magnitud",IF(I232&gt;=$B$8,"Persistencia",IF(G232=1,"Cambio del mes","Sin umbral"))))</x:f>
        <x:v>Cambio del mes</x:v>
      </x:c>
      <x:c r="M232" s="2" t="n">
        <x:f>ROW()-40</x:f>
        <x:v>192</x:v>
      </x:c>
    </x:row>
    <x:row r="233" ht="48" customHeight="1">
      <x:c r="A233" s="4" t="n">
        <x:v>45323</x:v>
      </x:c>
      <x:c r="B233" s="32" t="str">
        <x:v>Industria textil</x:v>
      </x:c>
      <x:c r="C233" s="10" t="n">
        <x:f>IF(ISNUMBER('Actividades'!F370),'Actividades'!F370,"n.a.")</x:f>
        <x:v>61.237347701149424</x:v>
      </x:c>
      <x:c r="D233" s="10" t="n">
        <x:f>IF(ISNUMBER('Actividades'!G370),'Actividades'!G370,"n.a.")</x:f>
        <x:v>64.85231398809523</x:v>
      </x:c>
      <x:c r="E233" s="10" t="n">
        <x:f>IF(AND(ISNUMBER(C233),ISNUMBER(D233),C233&gt;=0,D233&gt;0),C233-D233,"n.a.")</x:f>
        <x:v>-3.6149662869458083</x:v>
      </x:c>
      <x:c r="F233" s="12" t="n">
        <x:f>IF(ISNUMBER(E233),E233/D233,"n.a.")</x:f>
        <x:v>-0.05574151583256379</x:v>
      </x:c>
      <x:c r="G233" s="2" t="n">
        <x:f>IF(ISNUMBER(F233),IF(AND(ABS(F233)+0.00000000001&gt;=$B$6,ABS(E233)+0.000000001&gt;=$D$6),1,0),"n.a.")</x:f>
        <x:v>0</x:v>
      </x:c>
      <x:c r="H233" s="2" t="n">
        <x:f>IF(ISNUMBER(E233),SIGN(E233),"n.a.")</x:f>
        <x:v>-1</x:v>
      </x:c>
      <x:c r="I233" s="2" t="n">
        <x:f>IF(NOT(ISNUMBER(G233)),"n.a.",IF(G233=0,0,IF(AND(B233=B219,A233=EDATE(A219,1),H233=H219,ISNUMBER(I219)),I219+1,1)))</x:f>
        <x:v>0</x:v>
      </x:c>
      <x:c r="J233" s="2" t="n">
        <x:f>IF(ISNUMBER(F233),IF(AND(ABS(F233)+0.00000000001&gt;=$B$7,ABS(E233)+0.000000001&gt;=$D$7),1,0),"n.a.")</x:f>
        <x:v>0</x:v>
      </x:c>
      <x:c r="K233" s="2" t="str">
        <x:f>IF(NOT(ISNUMBER(F233)),"No evaluable",IF(OR(J233=1,I233&gt;=$B$8),"Prioridad",IF(G233=1,"Observar","Sin umbral")))</x:f>
        <x:v>Sin umbral</x:v>
      </x:c>
      <x:c r="L233" s="2" t="str">
        <x:f>IF(K233="No evaluable","Faltan datos",IF(J233=1,"Magnitud",IF(I233&gt;=$B$8,"Persistencia",IF(G233=1,"Cambio del mes","Sin umbral"))))</x:f>
        <x:v>Sin umbral</x:v>
      </x:c>
      <x:c r="M233" s="2" t="n">
        <x:f>ROW()-40</x:f>
        <x:v>193</x:v>
      </x:c>
    </x:row>
    <x:row r="234" ht="48" customHeight="1">
      <x:c r="A234" s="4" t="n">
        <x:v>45323</x:v>
      </x:c>
      <x:c r="B234" s="32" t="str">
        <x:v>Químicas, caucho, plástico y otros minerales no metálicos</x:v>
      </x:c>
      <x:c r="C234" s="10" t="n">
        <x:f>IF(ISNUMBER('Actividades'!F371),'Actividades'!F371,"n.a.")</x:f>
        <x:v>340.6984310344827</x:v>
      </x:c>
      <x:c r="D234" s="10" t="n">
        <x:f>IF(ISNUMBER('Actividades'!G371),'Actividades'!G371,"n.a.")</x:f>
        <x:v>327.07293601190474</x:v>
      </x:c>
      <x:c r="E234" s="10" t="n">
        <x:f>IF(AND(ISNUMBER(C234),ISNUMBER(D234),C234&gt;=0,D234&gt;0),C234-D234,"n.a.")</x:f>
        <x:v>13.62549502257798</x:v>
      </x:c>
      <x:c r="F234" s="12" t="n">
        <x:f>IF(ISNUMBER(E234),E234/D234,"n.a.")</x:f>
        <x:v>0.04165888865253602</x:v>
      </x:c>
      <x:c r="G234" s="2" t="n">
        <x:f>IF(ISNUMBER(F234),IF(AND(ABS(F234)+0.00000000001&gt;=$B$6,ABS(E234)+0.000000001&gt;=$D$6),1,0),"n.a.")</x:f>
        <x:v>0</x:v>
      </x:c>
      <x:c r="H234" s="2" t="n">
        <x:f>IF(ISNUMBER(E234),SIGN(E234),"n.a.")</x:f>
        <x:v>1</x:v>
      </x:c>
      <x:c r="I234" s="2" t="n">
        <x:f>IF(NOT(ISNUMBER(G234)),"n.a.",IF(G234=0,0,IF(AND(B234=B220,A234=EDATE(A220,1),H234=H220,ISNUMBER(I220)),I220+1,1)))</x:f>
        <x:v>0</x:v>
      </x:c>
      <x:c r="J234" s="2" t="n">
        <x:f>IF(ISNUMBER(F234),IF(AND(ABS(F234)+0.00000000001&gt;=$B$7,ABS(E234)+0.000000001&gt;=$D$7),1,0),"n.a.")</x:f>
        <x:v>0</x:v>
      </x:c>
      <x:c r="K234" s="2" t="str">
        <x:f>IF(NOT(ISNUMBER(F234)),"No evaluable",IF(OR(J234=1,I234&gt;=$B$8),"Prioridad",IF(G234=1,"Observar","Sin umbral")))</x:f>
        <x:v>Sin umbral</x:v>
      </x:c>
      <x:c r="L234" s="2" t="str">
        <x:f>IF(K234="No evaluable","Faltan datos",IF(J234=1,"Magnitud",IF(I234&gt;=$B$8,"Persistencia",IF(G234=1,"Cambio del mes","Sin umbral"))))</x:f>
        <x:v>Sin umbral</x:v>
      </x:c>
      <x:c r="M234" s="2" t="n">
        <x:f>ROW()-40</x:f>
        <x:v>194</x:v>
      </x:c>
    </x:row>
    <x:row r="235" ht="48" customHeight="1">
      <x:c r="A235" s="4" t="n">
        <x:v>45323</x:v>
      </x:c>
      <x:c r="B235" s="32" t="str">
        <x:v>Extracción de minerales</x:v>
      </x:c>
      <x:c r="C235" s="10" t="n">
        <x:f>IF(ISNUMBER('Actividades'!F372),'Actividades'!F372,"n.a.")</x:f>
        <x:v>19.159854885057474</x:v>
      </x:c>
      <x:c r="D235" s="10" t="n">
        <x:f>IF(ISNUMBER('Actividades'!G372),'Actividades'!G372,"n.a.")</x:f>
        <x:v>17.571998511904763</x:v>
      </x:c>
      <x:c r="E235" s="10" t="n">
        <x:f>IF(AND(ISNUMBER(C235),ISNUMBER(D235),C235&gt;=0,D235&gt;0),C235-D235,"n.a.")</x:f>
        <x:v>1.5878563731527109</x:v>
      </x:c>
      <x:c r="F235" s="12" t="n">
        <x:f>IF(ISNUMBER(E235),E235/D235,"n.a.")</x:f>
        <x:v>0.09036287887669478</x:v>
      </x:c>
      <x:c r="G235" s="2" t="n">
        <x:f>IF(ISNUMBER(F235),IF(AND(ABS(F235)+0.00000000001&gt;=$B$6,ABS(E235)+0.000000001&gt;=$D$6),1,0),"n.a.")</x:f>
        <x:v>0</x:v>
      </x:c>
      <x:c r="H235" s="2" t="n">
        <x:f>IF(ISNUMBER(E235),SIGN(E235),"n.a.")</x:f>
        <x:v>1</x:v>
      </x:c>
      <x:c r="I235" s="2" t="n">
        <x:f>IF(NOT(ISNUMBER(G235)),"n.a.",IF(G235=0,0,IF(AND(B235=B221,A235=EDATE(A221,1),H235=H221,ISNUMBER(I221)),I221+1,1)))</x:f>
        <x:v>0</x:v>
      </x:c>
      <x:c r="J235" s="2" t="n">
        <x:f>IF(ISNUMBER(F235),IF(AND(ABS(F235)+0.00000000001&gt;=$B$7,ABS(E235)+0.000000001&gt;=$D$7),1,0),"n.a.")</x:f>
        <x:v>0</x:v>
      </x:c>
      <x:c r="K235" s="2" t="str">
        <x:f>IF(NOT(ISNUMBER(F235)),"No evaluable",IF(OR(J235=1,I235&gt;=$B$8),"Prioridad",IF(G235=1,"Observar","Sin umbral")))</x:f>
        <x:v>Sin umbral</x:v>
      </x:c>
      <x:c r="L235" s="2" t="str">
        <x:f>IF(K235="No evaluable","Faltan datos",IF(J235=1,"Magnitud",IF(I235&gt;=$B$8,"Persistencia",IF(G235=1,"Cambio del mes","Sin umbral"))))</x:f>
        <x:v>Sin umbral</x:v>
      </x:c>
      <x:c r="M235" s="2" t="n">
        <x:f>ROW()-40</x:f>
        <x:v>195</x:v>
      </x:c>
    </x:row>
    <x:row r="236" ht="48" customHeight="1">
      <x:c r="A236" s="4" t="n">
        <x:v>45323</x:v>
      </x:c>
      <x:c r="B236" s="32" t="str">
        <x:v>Extracción de petróleo</x:v>
      </x:c>
      <x:c r="C236" s="10" t="n">
        <x:f>IF(ISNUMBER('Actividades'!F373),'Actividades'!F373,"n.a.")</x:f>
        <x:v>139.10344540229886</x:v>
      </x:c>
      <x:c r="D236" s="10" t="n">
        <x:f>IF(ISNUMBER('Actividades'!G373),'Actividades'!G373,"n.a.")</x:f>
        <x:v>160.39171577380952</x:v>
      </x:c>
      <x:c r="E236" s="10" t="n">
        <x:f>IF(AND(ISNUMBER(C236),ISNUMBER(D236),C236&gt;=0,D236&gt;0),C236-D236,"n.a.")</x:f>
        <x:v>-21.288270371510663</x:v>
      </x:c>
      <x:c r="F236" s="12" t="n">
        <x:f>IF(ISNUMBER(E236),E236/D236,"n.a.")</x:f>
        <x:v>-0.1327267450741171</x:v>
      </x:c>
      <x:c r="G236" s="2" t="n">
        <x:f>IF(ISNUMBER(F236),IF(AND(ABS(F236)+0.00000000001&gt;=$B$6,ABS(E236)+0.000000001&gt;=$D$6),1,0),"n.a.")</x:f>
        <x:v>1</x:v>
      </x:c>
      <x:c r="H236" s="2" t="n">
        <x:f>IF(ISNUMBER(E236),SIGN(E236),"n.a.")</x:f>
        <x:v>-1</x:v>
      </x:c>
      <x:c r="I236" s="2" t="n">
        <x:f>IF(NOT(ISNUMBER(G236)),"n.a.",IF(G236=0,0,IF(AND(B236=B222,A236=EDATE(A222,1),H236=H222,ISNUMBER(I222)),I222+1,1)))</x:f>
        <x:v>1</x:v>
      </x:c>
      <x:c r="J236" s="2" t="n">
        <x:f>IF(ISNUMBER(F236),IF(AND(ABS(F236)+0.00000000001&gt;=$B$7,ABS(E236)+0.000000001&gt;=$D$7),1,0),"n.a.")</x:f>
        <x:v>0</x:v>
      </x:c>
      <x:c r="K236" s="2" t="str">
        <x:f>IF(NOT(ISNUMBER(F236)),"No evaluable",IF(OR(J236=1,I236&gt;=$B$8),"Prioridad",IF(G236=1,"Observar","Sin umbral")))</x:f>
        <x:v>Observar</x:v>
      </x:c>
      <x:c r="L236" s="2" t="str">
        <x:f>IF(K236="No evaluable","Faltan datos",IF(J236=1,"Magnitud",IF(I236&gt;=$B$8,"Persistencia",IF(G236=1,"Cambio del mes","Sin umbral"))))</x:f>
        <x:v>Cambio del mes</x:v>
      </x:c>
      <x:c r="M236" s="2" t="n">
        <x:f>ROW()-40</x:f>
        <x:v>196</x:v>
      </x:c>
    </x:row>
    <x:row r="237" ht="48" customHeight="1">
      <x:c r="A237" s="4" t="n">
        <x:v>45352</x:v>
      </x:c>
      <x:c r="B237" s="32" t="str">
        <x:v>Cargas y puertos</x:v>
      </x:c>
      <x:c r="C237" s="10" t="n">
        <x:f>IF(ISNUMBER('Actividades'!F374),'Actividades'!F374,"n.a.")</x:f>
        <x:v>11.240396505376344</x:v>
      </x:c>
      <x:c r="D237" s="10" t="n">
        <x:f>IF(ISNUMBER('Actividades'!G374),'Actividades'!G374,"n.a.")</x:f>
        <x:v>9.396623655913977</x:v>
      </x:c>
      <x:c r="E237" s="10" t="n">
        <x:f>IF(AND(ISNUMBER(C237),ISNUMBER(D237),C237&gt;=0,D237&gt;0),C237-D237,"n.a.")</x:f>
        <x:v>1.8437728494623666</x:v>
      </x:c>
      <x:c r="F237" s="12" t="n">
        <x:f>IF(ISNUMBER(E237),E237/D237,"n.a.")</x:f>
        <x:v>0.19621652595418637</x:v>
      </x:c>
      <x:c r="G237" s="2" t="n">
        <x:f>IF(ISNUMBER(F237),IF(AND(ABS(F237)+0.00000000001&gt;=$B$6,ABS(E237)+0.000000001&gt;=$D$6),1,0),"n.a.")</x:f>
        <x:v>0</x:v>
      </x:c>
      <x:c r="H237" s="2" t="n">
        <x:f>IF(ISNUMBER(E237),SIGN(E237),"n.a.")</x:f>
        <x:v>1</x:v>
      </x:c>
      <x:c r="I237" s="2" t="n">
        <x:f>IF(NOT(ISNUMBER(G237)),"n.a.",IF(G237=0,0,IF(AND(B237=B223,A237=EDATE(A223,1),H237=H223,ISNUMBER(I223)),I223+1,1)))</x:f>
        <x:v>0</x:v>
      </x:c>
      <x:c r="J237" s="2" t="n">
        <x:f>IF(ISNUMBER(F237),IF(AND(ABS(F237)+0.00000000001&gt;=$B$7,ABS(E237)+0.000000001&gt;=$D$7),1,0),"n.a.")</x:f>
        <x:v>0</x:v>
      </x:c>
      <x:c r="K237" s="2" t="str">
        <x:f>IF(NOT(ISNUMBER(F237)),"No evaluable",IF(OR(J237=1,I237&gt;=$B$8),"Prioridad",IF(G237=1,"Observar","Sin umbral")))</x:f>
        <x:v>Sin umbral</x:v>
      </x:c>
      <x:c r="L237" s="2" t="str">
        <x:f>IF(K237="No evaluable","Faltan datos",IF(J237=1,"Magnitud",IF(I237&gt;=$B$8,"Persistencia",IF(G237=1,"Cambio del mes","Sin umbral"))))</x:f>
        <x:v>Sin umbral</x:v>
      </x:c>
      <x:c r="M237" s="2" t="n">
        <x:f>ROW()-40</x:f>
        <x:v>197</x:v>
      </x:c>
    </x:row>
    <x:row r="238" ht="48" customHeight="1">
      <x:c r="A238" s="4" t="n">
        <x:v>45352</x:v>
      </x:c>
      <x:c r="B238" s="32" t="str">
        <x:v>Comercio y servicios: principalmente supermercados y centros comerciales</x:v>
      </x:c>
      <x:c r="C238" s="10" t="n">
        <x:f>IF(ISNUMBER('Actividades'!F375),'Actividades'!F375,"n.a.")</x:f>
        <x:v>39.4878938172043</x:v>
      </x:c>
      <x:c r="D238" s="10" t="n">
        <x:f>IF(ISNUMBER('Actividades'!G375),'Actividades'!G375,"n.a.")</x:f>
        <x:v>39.80274193548387</x:v>
      </x:c>
      <x:c r="E238" s="10" t="n">
        <x:f>IF(AND(ISNUMBER(C238),ISNUMBER(D238),C238&gt;=0,D238&gt;0),C238-D238,"n.a.")</x:f>
        <x:v>-0.3148481182795706</x:v>
      </x:c>
      <x:c r="F238" s="12" t="n">
        <x:f>IF(ISNUMBER(E238),E238/D238,"n.a.")</x:f>
        <x:v>-0.007910211783648141</x:v>
      </x:c>
      <x:c r="G238" s="2" t="n">
        <x:f>IF(ISNUMBER(F238),IF(AND(ABS(F238)+0.00000000001&gt;=$B$6,ABS(E238)+0.000000001&gt;=$D$6),1,0),"n.a.")</x:f>
        <x:v>0</x:v>
      </x:c>
      <x:c r="H238" s="2" t="n">
        <x:f>IF(ISNUMBER(E238),SIGN(E238),"n.a.")</x:f>
        <x:v>-1</x:v>
      </x:c>
      <x:c r="I238" s="2" t="n">
        <x:f>IF(NOT(ISNUMBER(G238)),"n.a.",IF(G238=0,0,IF(AND(B238=B224,A238=EDATE(A224,1),H238=H224,ISNUMBER(I224)),I224+1,1)))</x:f>
        <x:v>0</x:v>
      </x:c>
      <x:c r="J238" s="2" t="n">
        <x:f>IF(ISNUMBER(F238),IF(AND(ABS(F238)+0.00000000001&gt;=$B$7,ABS(E238)+0.000000001&gt;=$D$7),1,0),"n.a.")</x:f>
        <x:v>0</x:v>
      </x:c>
      <x:c r="K238" s="2" t="str">
        <x:f>IF(NOT(ISNUMBER(F238)),"No evaluable",IF(OR(J238=1,I238&gt;=$B$8),"Prioridad",IF(G238=1,"Observar","Sin umbral")))</x:f>
        <x:v>Sin umbral</x:v>
      </x:c>
      <x:c r="L238" s="2" t="str">
        <x:f>IF(K238="No evaluable","Faltan datos",IF(J238=1,"Magnitud",IF(I238&gt;=$B$8,"Persistencia",IF(G238=1,"Cambio del mes","Sin umbral"))))</x:f>
        <x:v>Sin umbral</x:v>
      </x:c>
      <x:c r="M238" s="2" t="n">
        <x:f>ROW()-40</x:f>
        <x:v>198</x:v>
      </x:c>
    </x:row>
    <x:row r="239" ht="48" customHeight="1">
      <x:c r="A239" s="4" t="n">
        <x:v>45352</x:v>
      </x:c>
      <x:c r="B239" s="32" t="str">
        <x:v>Alimentación y artículos de consumo masivo</x:v>
      </x:c>
      <x:c r="C239" s="10" t="n">
        <x:f>IF(ISNUMBER('Actividades'!F376),'Actividades'!F376,"n.a.")</x:f>
        <x:v>285.97380510752686</x:v>
      </x:c>
      <x:c r="D239" s="10" t="n">
        <x:f>IF(ISNUMBER('Actividades'!G376),'Actividades'!G376,"n.a.")</x:f>
        <x:v>289.14820967741935</x:v>
      </x:c>
      <x:c r="E239" s="10" t="n">
        <x:f>IF(AND(ISNUMBER(C239),ISNUMBER(D239),C239&gt;=0,D239&gt;0),C239-D239,"n.a.")</x:f>
        <x:v>-3.174404569892488</x:v>
      </x:c>
      <x:c r="F239" s="12" t="n">
        <x:f>IF(ISNUMBER(E239),E239/D239,"n.a.")</x:f>
        <x:v>-0.010978468700995692</x:v>
      </x:c>
      <x:c r="G239" s="2" t="n">
        <x:f>IF(ISNUMBER(F239),IF(AND(ABS(F239)+0.00000000001&gt;=$B$6,ABS(E239)+0.000000001&gt;=$D$6),1,0),"n.a.")</x:f>
        <x:v>0</x:v>
      </x:c>
      <x:c r="H239" s="2" t="n">
        <x:f>IF(ISNUMBER(E239),SIGN(E239),"n.a.")</x:f>
        <x:v>-1</x:v>
      </x:c>
      <x:c r="I239" s="2" t="n">
        <x:f>IF(NOT(ISNUMBER(G239)),"n.a.",IF(G239=0,0,IF(AND(B239=B225,A239=EDATE(A225,1),H239=H225,ISNUMBER(I225)),I225+1,1)))</x:f>
        <x:v>0</x:v>
      </x:c>
      <x:c r="J239" s="2" t="n">
        <x:f>IF(ISNUMBER(F239),IF(AND(ABS(F239)+0.00000000001&gt;=$B$7,ABS(E239)+0.000000001&gt;=$D$7),1,0),"n.a.")</x:f>
        <x:v>0</x:v>
      </x:c>
      <x:c r="K239" s="2" t="str">
        <x:f>IF(NOT(ISNUMBER(F239)),"No evaluable",IF(OR(J239=1,I239&gt;=$B$8),"Prioridad",IF(G239=1,"Observar","Sin umbral")))</x:f>
        <x:v>Sin umbral</x:v>
      </x:c>
      <x:c r="L239" s="2" t="str">
        <x:f>IF(K239="No evaluable","Faltan datos",IF(J239=1,"Magnitud",IF(I239&gt;=$B$8,"Persistencia",IF(G239=1,"Cambio del mes","Sin umbral"))))</x:f>
        <x:v>Sin umbral</x:v>
      </x:c>
      <x:c r="M239" s="2" t="n">
        <x:f>ROW()-40</x:f>
        <x:v>199</x:v>
      </x:c>
    </x:row>
    <x:row r="240" ht="48" customHeight="1">
      <x:c r="A240" s="4" t="n">
        <x:v>45352</x:v>
      </x:c>
      <x:c r="B240" s="32" t="str">
        <x:v>Servicios públicos y transporte: agua y transporte en GBA</x:v>
      </x:c>
      <x:c r="C240" s="10" t="n">
        <x:f>IF(ISNUMBER('Actividades'!F377),'Actividades'!F377,"n.a.")</x:f>
        <x:v>85.4129744623656</x:v>
      </x:c>
      <x:c r="D240" s="10" t="n">
        <x:f>IF(ISNUMBER('Actividades'!G377),'Actividades'!G377,"n.a.")</x:f>
        <x:v>92.39090994623656</x:v>
      </x:c>
      <x:c r="E240" s="10" t="n">
        <x:f>IF(AND(ISNUMBER(C240),ISNUMBER(D240),C240&gt;=0,D240&gt;0),C240-D240,"n.a.")</x:f>
        <x:v>-6.977935483870965</x:v>
      </x:c>
      <x:c r="F240" s="12" t="n">
        <x:f>IF(ISNUMBER(E240),E240/D240,"n.a.")</x:f>
        <x:v>-0.07552621235066863</x:v>
      </x:c>
      <x:c r="G240" s="2" t="n">
        <x:f>IF(ISNUMBER(F240),IF(AND(ABS(F240)+0.00000000001&gt;=$B$6,ABS(E240)+0.000000001&gt;=$D$6),1,0),"n.a.")</x:f>
        <x:v>0</x:v>
      </x:c>
      <x:c r="H240" s="2" t="n">
        <x:f>IF(ISNUMBER(E240),SIGN(E240),"n.a.")</x:f>
        <x:v>-1</x:v>
      </x:c>
      <x:c r="I240" s="2" t="n">
        <x:f>IF(NOT(ISNUMBER(G240)),"n.a.",IF(G240=0,0,IF(AND(B240=B226,A240=EDATE(A226,1),H240=H226,ISNUMBER(I226)),I226+1,1)))</x:f>
        <x:v>0</x:v>
      </x:c>
      <x:c r="J240" s="2" t="n">
        <x:f>IF(ISNUMBER(F240),IF(AND(ABS(F240)+0.00000000001&gt;=$B$7,ABS(E240)+0.000000001&gt;=$D$7),1,0),"n.a.")</x:f>
        <x:v>0</x:v>
      </x:c>
      <x:c r="K240" s="2" t="str">
        <x:f>IF(NOT(ISNUMBER(F240)),"No evaluable",IF(OR(J240=1,I240&gt;=$B$8),"Prioridad",IF(G240=1,"Observar","Sin umbral")))</x:f>
        <x:v>Sin umbral</x:v>
      </x:c>
      <x:c r="L240" s="2" t="str">
        <x:f>IF(K240="No evaluable","Faltan datos",IF(J240=1,"Magnitud",IF(I240&gt;=$B$8,"Persistencia",IF(G240=1,"Cambio del mes","Sin umbral"))))</x:f>
        <x:v>Sin umbral</x:v>
      </x:c>
      <x:c r="M240" s="2" t="n">
        <x:f>ROW()-40</x:f>
        <x:v>200</x:v>
      </x:c>
    </x:row>
    <x:row r="241" ht="48" customHeight="1">
      <x:c r="A241" s="4" t="n">
        <x:v>45352</x:v>
      </x:c>
      <x:c r="B241" s="32" t="str">
        <x:v>Industria automotriz</x:v>
      </x:c>
      <x:c r="C241" s="10" t="n">
        <x:f>IF(ISNUMBER('Actividades'!F378),'Actividades'!F378,"n.a.")</x:f>
        <x:v>43.381592741935485</x:v>
      </x:c>
      <x:c r="D241" s="10" t="n">
        <x:f>IF(ISNUMBER('Actividades'!G378),'Actividades'!G378,"n.a.")</x:f>
        <x:v>46.577749999999995</x:v>
      </x:c>
      <x:c r="E241" s="10" t="n">
        <x:f>IF(AND(ISNUMBER(C241),ISNUMBER(D241),C241&gt;=0,D241&gt;0),C241-D241,"n.a.")</x:f>
        <x:v>-3.1961572580645097</x:v>
      </x:c>
      <x:c r="F241" s="12" t="n">
        <x:f>IF(ISNUMBER(E241),E241/D241,"n.a.")</x:f>
        <x:v>-0.06861982938343973</x:v>
      </x:c>
      <x:c r="G241" s="2" t="n">
        <x:f>IF(ISNUMBER(F241),IF(AND(ABS(F241)+0.00000000001&gt;=$B$6,ABS(E241)+0.000000001&gt;=$D$6),1,0),"n.a.")</x:f>
        <x:v>0</x:v>
      </x:c>
      <x:c r="H241" s="2" t="n">
        <x:f>IF(ISNUMBER(E241),SIGN(E241),"n.a.")</x:f>
        <x:v>-1</x:v>
      </x:c>
      <x:c r="I241" s="2" t="n">
        <x:f>IF(NOT(ISNUMBER(G241)),"n.a.",IF(G241=0,0,IF(AND(B241=B227,A241=EDATE(A227,1),H241=H227,ISNUMBER(I227)),I227+1,1)))</x:f>
        <x:v>0</x:v>
      </x:c>
      <x:c r="J241" s="2" t="n">
        <x:f>IF(ISNUMBER(F241),IF(AND(ABS(F241)+0.00000000001&gt;=$B$7,ABS(E241)+0.000000001&gt;=$D$7),1,0),"n.a.")</x:f>
        <x:v>0</x:v>
      </x:c>
      <x:c r="K241" s="2" t="str">
        <x:f>IF(NOT(ISNUMBER(F241)),"No evaluable",IF(OR(J241=1,I241&gt;=$B$8),"Prioridad",IF(G241=1,"Observar","Sin umbral")))</x:f>
        <x:v>Sin umbral</x:v>
      </x:c>
      <x:c r="L241" s="2" t="str">
        <x:f>IF(K241="No evaluable","Faltan datos",IF(J241=1,"Magnitud",IF(I241&gt;=$B$8,"Persistencia",IF(G241=1,"Cambio del mes","Sin umbral"))))</x:f>
        <x:v>Sin umbral</x:v>
      </x:c>
      <x:c r="M241" s="2" t="n">
        <x:f>ROW()-40</x:f>
        <x:v>201</x:v>
      </x:c>
    </x:row>
    <x:row r="242" ht="48" customHeight="1">
      <x:c r="A242" s="4" t="n">
        <x:v>45352</x:v>
      </x:c>
      <x:c r="B242" s="32" t="str">
        <x:v>Derivados de petróleo</x:v>
      </x:c>
      <x:c r="C242" s="10" t="n">
        <x:f>IF(ISNUMBER('Actividades'!F379),'Actividades'!F379,"n.a.")</x:f>
        <x:v>148.64953494623657</x:v>
      </x:c>
      <x:c r="D242" s="10" t="n">
        <x:f>IF(ISNUMBER('Actividades'!G379),'Actividades'!G379,"n.a.")</x:f>
        <x:v>154.19907930107527</x:v>
      </x:c>
      <x:c r="E242" s="10" t="n">
        <x:f>IF(AND(ISNUMBER(C242),ISNUMBER(D242),C242&gt;=0,D242&gt;0),C242-D242,"n.a.")</x:f>
        <x:v>-5.549544354838702</x:v>
      </x:c>
      <x:c r="F242" s="12" t="n">
        <x:f>IF(ISNUMBER(E242),E242/D242,"n.a.")</x:f>
        <x:v>-0.03598947788788777</x:v>
      </x:c>
      <x:c r="G242" s="2" t="n">
        <x:f>IF(ISNUMBER(F242),IF(AND(ABS(F242)+0.00000000001&gt;=$B$6,ABS(E242)+0.000000001&gt;=$D$6),1,0),"n.a.")</x:f>
        <x:v>0</x:v>
      </x:c>
      <x:c r="H242" s="2" t="n">
        <x:f>IF(ISNUMBER(E242),SIGN(E242),"n.a.")</x:f>
        <x:v>-1</x:v>
      </x:c>
      <x:c r="I242" s="2" t="n">
        <x:f>IF(NOT(ISNUMBER(G242)),"n.a.",IF(G242=0,0,IF(AND(B242=B228,A242=EDATE(A228,1),H242=H228,ISNUMBER(I228)),I228+1,1)))</x:f>
        <x:v>0</x:v>
      </x:c>
      <x:c r="J242" s="2" t="n">
        <x:f>IF(ISNUMBER(F242),IF(AND(ABS(F242)+0.00000000001&gt;=$B$7,ABS(E242)+0.000000001&gt;=$D$7),1,0),"n.a.")</x:f>
        <x:v>0</x:v>
      </x:c>
      <x:c r="K242" s="2" t="str">
        <x:f>IF(NOT(ISNUMBER(F242)),"No evaluable",IF(OR(J242=1,I242&gt;=$B$8),"Prioridad",IF(G242=1,"Observar","Sin umbral")))</x:f>
        <x:v>Sin umbral</x:v>
      </x:c>
      <x:c r="L242" s="2" t="str">
        <x:f>IF(K242="No evaluable","Faltan datos",IF(J242=1,"Magnitud",IF(I242&gt;=$B$8,"Persistencia",IF(G242=1,"Cambio del mes","Sin umbral"))))</x:f>
        <x:v>Sin umbral</x:v>
      </x:c>
      <x:c r="M242" s="2" t="n">
        <x:f>ROW()-40</x:f>
        <x:v>202</x:v>
      </x:c>
    </x:row>
    <x:row r="243" ht="48" customHeight="1">
      <x:c r="A243" s="4" t="n">
        <x:v>45352</x:v>
      </x:c>
      <x:c r="B243" s="32" t="str">
        <x:v>Construcción: elaboración de cemento y canteras</x:v>
      </x:c>
      <x:c r="C243" s="10" t="n">
        <x:f>IF(ISNUMBER('Actividades'!F380),'Actividades'!F380,"n.a.")</x:f>
        <x:v>131.9065887096774</x:v>
      </x:c>
      <x:c r="D243" s="10" t="n">
        <x:f>IF(ISNUMBER('Actividades'!G380),'Actividades'!G380,"n.a.")</x:f>
        <x:v>180.8219072580645</x:v>
      </x:c>
      <x:c r="E243" s="10" t="n">
        <x:f>IF(AND(ISNUMBER(C243),ISNUMBER(D243),C243&gt;=0,D243&gt;0),C243-D243,"n.a.")</x:f>
        <x:v>-48.91531854838709</x:v>
      </x:c>
      <x:c r="F243" s="12" t="n">
        <x:f>IF(ISNUMBER(E243),E243/D243,"n.a.")</x:f>
        <x:v>-0.2705165501798207</x:v>
      </x:c>
      <x:c r="G243" s="2" t="n">
        <x:f>IF(ISNUMBER(F243),IF(AND(ABS(F243)+0.00000000001&gt;=$B$6,ABS(E243)+0.000000001&gt;=$D$6),1,0),"n.a.")</x:f>
        <x:v>1</x:v>
      </x:c>
      <x:c r="H243" s="2" t="n">
        <x:f>IF(ISNUMBER(E243),SIGN(E243),"n.a.")</x:f>
        <x:v>-1</x:v>
      </x:c>
      <x:c r="I243" s="2" t="n">
        <x:f>IF(NOT(ISNUMBER(G243)),"n.a.",IF(G243=0,0,IF(AND(B243=B229,A243=EDATE(A229,1),H243=H229,ISNUMBER(I229)),I229+1,1)))</x:f>
        <x:v>3</x:v>
      </x:c>
      <x:c r="J243" s="2" t="n">
        <x:f>IF(ISNUMBER(F243),IF(AND(ABS(F243)+0.00000000001&gt;=$B$7,ABS(E243)+0.000000001&gt;=$D$7),1,0),"n.a.")</x:f>
        <x:v>1</x:v>
      </x:c>
      <x:c r="K243" s="2" t="str">
        <x:f>IF(NOT(ISNUMBER(F243)),"No evaluable",IF(OR(J243=1,I243&gt;=$B$8),"Prioridad",IF(G243=1,"Observar","Sin umbral")))</x:f>
        <x:v>Prioridad</x:v>
      </x:c>
      <x:c r="L243" s="2" t="str">
        <x:f>IF(K243="No evaluable","Faltan datos",IF(J243=1,"Magnitud",IF(I243&gt;=$B$8,"Persistencia",IF(G243=1,"Cambio del mes","Sin umbral"))))</x:f>
        <x:v>Magnitud</x:v>
      </x:c>
      <x:c r="M243" s="2" t="n">
        <x:f>ROW()-40</x:f>
        <x:v>203</x:v>
      </x:c>
    </x:row>
    <x:row r="244" ht="48" customHeight="1">
      <x:c r="A244" s="4" t="n">
        <x:v>45352</x:v>
      </x:c>
      <x:c r="B244" s="32" t="str">
        <x:v>Madera y papel</x:v>
      </x:c>
      <x:c r="C244" s="10" t="n">
        <x:f>IF(ISNUMBER('Actividades'!F381),'Actividades'!F381,"n.a.")</x:f>
        <x:v>101.02791263440861</x:v>
      </x:c>
      <x:c r="D244" s="10" t="n">
        <x:f>IF(ISNUMBER('Actividades'!G381),'Actividades'!G381,"n.a.")</x:f>
        <x:v>108.11033870967742</x:v>
      </x:c>
      <x:c r="E244" s="10" t="n">
        <x:f>IF(AND(ISNUMBER(C244),ISNUMBER(D244),C244&gt;=0,D244&gt;0),C244-D244,"n.a.")</x:f>
        <x:v>-7.082426075268813</x:v>
      </x:c>
      <x:c r="F244" s="12" t="n">
        <x:f>IF(ISNUMBER(E244),E244/D244,"n.a.")</x:f>
        <x:v>-0.06551108950170031</x:v>
      </x:c>
      <x:c r="G244" s="2" t="n">
        <x:f>IF(ISNUMBER(F244),IF(AND(ABS(F244)+0.00000000001&gt;=$B$6,ABS(E244)+0.000000001&gt;=$D$6),1,0),"n.a.")</x:f>
        <x:v>0</x:v>
      </x:c>
      <x:c r="H244" s="2" t="n">
        <x:f>IF(ISNUMBER(E244),SIGN(E244),"n.a.")</x:f>
        <x:v>-1</x:v>
      </x:c>
      <x:c r="I244" s="2" t="n">
        <x:f>IF(NOT(ISNUMBER(G244)),"n.a.",IF(G244=0,0,IF(AND(B244=B230,A244=EDATE(A230,1),H244=H230,ISNUMBER(I230)),I230+1,1)))</x:f>
        <x:v>0</x:v>
      </x:c>
      <x:c r="J244" s="2" t="n">
        <x:f>IF(ISNUMBER(F244),IF(AND(ABS(F244)+0.00000000001&gt;=$B$7,ABS(E244)+0.000000001&gt;=$D$7),1,0),"n.a.")</x:f>
        <x:v>0</x:v>
      </x:c>
      <x:c r="K244" s="2" t="str">
        <x:f>IF(NOT(ISNUMBER(F244)),"No evaluable",IF(OR(J244=1,I244&gt;=$B$8),"Prioridad",IF(G244=1,"Observar","Sin umbral")))</x:f>
        <x:v>Sin umbral</x:v>
      </x:c>
      <x:c r="L244" s="2" t="str">
        <x:f>IF(K244="No evaluable","Faltan datos",IF(J244=1,"Magnitud",IF(I244&gt;=$B$8,"Persistencia",IF(G244=1,"Cambio del mes","Sin umbral"))))</x:f>
        <x:v>Sin umbral</x:v>
      </x:c>
      <x:c r="M244" s="2" t="n">
        <x:f>ROW()-40</x:f>
        <x:v>204</x:v>
      </x:c>
    </x:row>
    <x:row r="245" ht="48" customHeight="1">
      <x:c r="A245" s="4" t="n">
        <x:v>45352</x:v>
      </x:c>
      <x:c r="B245" s="32" t="str">
        <x:v>Productos metálicos no automotores</x:v>
      </x:c>
      <x:c r="C245" s="10" t="n">
        <x:f>IF(ISNUMBER('Actividades'!F382),'Actividades'!F382,"n.a.")</x:f>
        <x:v>43.05391666666667</x:v>
      </x:c>
      <x:c r="D245" s="10" t="n">
        <x:f>IF(ISNUMBER('Actividades'!G382),'Actividades'!G382,"n.a.")</x:f>
        <x:v>49.636471774193545</x:v>
      </x:c>
      <x:c r="E245" s="10" t="n">
        <x:f>IF(AND(ISNUMBER(C245),ISNUMBER(D245),C245&gt;=0,D245&gt;0),C245-D245,"n.a.")</x:f>
        <x:v>-6.582555107526872</x:v>
      </x:c>
      <x:c r="F245" s="12" t="n">
        <x:f>IF(ISNUMBER(E245),E245/D245,"n.a.")</x:f>
        <x:v>-0.13261529017356957</x:v>
      </x:c>
      <x:c r="G245" s="2" t="n">
        <x:f>IF(ISNUMBER(F245),IF(AND(ABS(F245)+0.00000000001&gt;=$B$6,ABS(E245)+0.000000001&gt;=$D$6),1,0),"n.a.")</x:f>
        <x:v>1</x:v>
      </x:c>
      <x:c r="H245" s="2" t="n">
        <x:f>IF(ISNUMBER(E245),SIGN(E245),"n.a.")</x:f>
        <x:v>-1</x:v>
      </x:c>
      <x:c r="I245" s="2" t="n">
        <x:f>IF(NOT(ISNUMBER(G245)),"n.a.",IF(G245=0,0,IF(AND(B245=B231,A245=EDATE(A231,1),H245=H231,ISNUMBER(I231)),I231+1,1)))</x:f>
        <x:v>1</x:v>
      </x:c>
      <x:c r="J245" s="2" t="n">
        <x:f>IF(ISNUMBER(F245),IF(AND(ABS(F245)+0.00000000001&gt;=$B$7,ABS(E245)+0.000000001&gt;=$D$7),1,0),"n.a.")</x:f>
        <x:v>0</x:v>
      </x:c>
      <x:c r="K245" s="2" t="str">
        <x:f>IF(NOT(ISNUMBER(F245)),"No evaluable",IF(OR(J245=1,I245&gt;=$B$8),"Prioridad",IF(G245=1,"Observar","Sin umbral")))</x:f>
        <x:v>Observar</x:v>
      </x:c>
      <x:c r="L245" s="2" t="str">
        <x:f>IF(K245="No evaluable","Faltan datos",IF(J245=1,"Magnitud",IF(I245&gt;=$B$8,"Persistencia",IF(G245=1,"Cambio del mes","Sin umbral"))))</x:f>
        <x:v>Cambio del mes</x:v>
      </x:c>
      <x:c r="M245" s="2" t="n">
        <x:f>ROW()-40</x:f>
        <x:v>205</x:v>
      </x:c>
    </x:row>
    <x:row r="246" ht="48" customHeight="1">
      <x:c r="A246" s="4" t="n">
        <x:v>45352</x:v>
      </x:c>
      <x:c r="B246" s="32" t="str">
        <x:v>Gran siderurgia</x:v>
      </x:c>
      <x:c r="C246" s="10" t="n">
        <x:f>IF(ISNUMBER('Actividades'!F383),'Actividades'!F383,"n.a.")</x:f>
        <x:v>211.54222177419354</x:v>
      </x:c>
      <x:c r="D246" s="10" t="n">
        <x:f>IF(ISNUMBER('Actividades'!G383),'Actividades'!G383,"n.a.")</x:f>
        <x:v>322.6856801075269</x:v>
      </x:c>
      <x:c r="E246" s="10" t="n">
        <x:f>IF(AND(ISNUMBER(C246),ISNUMBER(D246),C246&gt;=0,D246&gt;0),C246-D246,"n.a.")</x:f>
        <x:v>-111.14345833333334</x:v>
      </x:c>
      <x:c r="F246" s="12" t="n">
        <x:f>IF(ISNUMBER(E246),E246/D246,"n.a.")</x:f>
        <x:v>-0.3444325707180361</x:v>
      </x:c>
      <x:c r="G246" s="2" t="n">
        <x:f>IF(ISNUMBER(F246),IF(AND(ABS(F246)+0.00000000001&gt;=$B$6,ABS(E246)+0.000000001&gt;=$D$6),1,0),"n.a.")</x:f>
        <x:v>1</x:v>
      </x:c>
      <x:c r="H246" s="2" t="n">
        <x:f>IF(ISNUMBER(E246),SIGN(E246),"n.a.")</x:f>
        <x:v>-1</x:v>
      </x:c>
      <x:c r="I246" s="2" t="n">
        <x:f>IF(NOT(ISNUMBER(G246)),"n.a.",IF(G246=0,0,IF(AND(B246=B232,A246=EDATE(A232,1),H246=H232,ISNUMBER(I232)),I232+1,1)))</x:f>
        <x:v>2</x:v>
      </x:c>
      <x:c r="J246" s="2" t="n">
        <x:f>IF(ISNUMBER(F246),IF(AND(ABS(F246)+0.00000000001&gt;=$B$7,ABS(E246)+0.000000001&gt;=$D$7),1,0),"n.a.")</x:f>
        <x:v>1</x:v>
      </x:c>
      <x:c r="K246" s="2" t="str">
        <x:f>IF(NOT(ISNUMBER(F246)),"No evaluable",IF(OR(J246=1,I246&gt;=$B$8),"Prioridad",IF(G246=1,"Observar","Sin umbral")))</x:f>
        <x:v>Prioridad</x:v>
      </x:c>
      <x:c r="L246" s="2" t="str">
        <x:f>IF(K246="No evaluable","Faltan datos",IF(J246=1,"Magnitud",IF(I246&gt;=$B$8,"Persistencia",IF(G246=1,"Cambio del mes","Sin umbral"))))</x:f>
        <x:v>Magnitud</x:v>
      </x:c>
      <x:c r="M246" s="2" t="n">
        <x:f>ROW()-40</x:f>
        <x:v>206</x:v>
      </x:c>
    </x:row>
    <x:row r="247" ht="48" customHeight="1">
      <x:c r="A247" s="4" t="n">
        <x:v>45352</x:v>
      </x:c>
      <x:c r="B247" s="32" t="str">
        <x:v>Industria textil</x:v>
      </x:c>
      <x:c r="C247" s="10" t="n">
        <x:f>IF(ISNUMBER('Actividades'!F384),'Actividades'!F384,"n.a.")</x:f>
        <x:v>55.346901881720434</x:v>
      </x:c>
      <x:c r="D247" s="10" t="n">
        <x:f>IF(ISNUMBER('Actividades'!G384),'Actividades'!G384,"n.a.")</x:f>
        <x:v>68.00813709677419</x:v>
      </x:c>
      <x:c r="E247" s="10" t="n">
        <x:f>IF(AND(ISNUMBER(C247),ISNUMBER(D247),C247&gt;=0,D247&gt;0),C247-D247,"n.a.")</x:f>
        <x:v>-12.661235215053757</x:v>
      </x:c>
      <x:c r="F247" s="12" t="n">
        <x:f>IF(ISNUMBER(E247),E247/D247,"n.a.")</x:f>
        <x:v>-0.18617235753770284</x:v>
      </x:c>
      <x:c r="G247" s="2" t="n">
        <x:f>IF(ISNUMBER(F247),IF(AND(ABS(F247)+0.00000000001&gt;=$B$6,ABS(E247)+0.000000001&gt;=$D$6),1,0),"n.a.")</x:f>
        <x:v>1</x:v>
      </x:c>
      <x:c r="H247" s="2" t="n">
        <x:f>IF(ISNUMBER(E247),SIGN(E247),"n.a.")</x:f>
        <x:v>-1</x:v>
      </x:c>
      <x:c r="I247" s="2" t="n">
        <x:f>IF(NOT(ISNUMBER(G247)),"n.a.",IF(G247=0,0,IF(AND(B247=B233,A247=EDATE(A233,1),H247=H233,ISNUMBER(I233)),I233+1,1)))</x:f>
        <x:v>1</x:v>
      </x:c>
      <x:c r="J247" s="2" t="n">
        <x:f>IF(ISNUMBER(F247),IF(AND(ABS(F247)+0.00000000001&gt;=$B$7,ABS(E247)+0.000000001&gt;=$D$7),1,0),"n.a.")</x:f>
        <x:v>0</x:v>
      </x:c>
      <x:c r="K247" s="2" t="str">
        <x:f>IF(NOT(ISNUMBER(F247)),"No evaluable",IF(OR(J247=1,I247&gt;=$B$8),"Prioridad",IF(G247=1,"Observar","Sin umbral")))</x:f>
        <x:v>Observar</x:v>
      </x:c>
      <x:c r="L247" s="2" t="str">
        <x:f>IF(K247="No evaluable","Faltan datos",IF(J247=1,"Magnitud",IF(I247&gt;=$B$8,"Persistencia",IF(G247=1,"Cambio del mes","Sin umbral"))))</x:f>
        <x:v>Cambio del mes</x:v>
      </x:c>
      <x:c r="M247" s="2" t="n">
        <x:f>ROW()-40</x:f>
        <x:v>207</x:v>
      </x:c>
    </x:row>
    <x:row r="248" ht="48" customHeight="1">
      <x:c r="A248" s="4" t="n">
        <x:v>45352</x:v>
      </x:c>
      <x:c r="B248" s="32" t="str">
        <x:v>Químicas, caucho, plástico y otros minerales no metálicos</x:v>
      </x:c>
      <x:c r="C248" s="10" t="n">
        <x:f>IF(ISNUMBER('Actividades'!F385),'Actividades'!F385,"n.a.")</x:f>
        <x:v>326.7653938172043</x:v>
      </x:c>
      <x:c r="D248" s="10" t="n">
        <x:f>IF(ISNUMBER('Actividades'!G385),'Actividades'!G385,"n.a.")</x:f>
        <x:v>331.04001344086026</x:v>
      </x:c>
      <x:c r="E248" s="10" t="n">
        <x:f>IF(AND(ISNUMBER(C248),ISNUMBER(D248),C248&gt;=0,D248&gt;0),C248-D248,"n.a.")</x:f>
        <x:v>-4.274619623655951</x:v>
      </x:c>
      <x:c r="F248" s="12" t="n">
        <x:f>IF(ISNUMBER(E248),E248/D248,"n.a.")</x:f>
        <x:v>-0.012912697710543094</x:v>
      </x:c>
      <x:c r="G248" s="2" t="n">
        <x:f>IF(ISNUMBER(F248),IF(AND(ABS(F248)+0.00000000001&gt;=$B$6,ABS(E248)+0.000000001&gt;=$D$6),1,0),"n.a.")</x:f>
        <x:v>0</x:v>
      </x:c>
      <x:c r="H248" s="2" t="n">
        <x:f>IF(ISNUMBER(E248),SIGN(E248),"n.a.")</x:f>
        <x:v>-1</x:v>
      </x:c>
      <x:c r="I248" s="2" t="n">
        <x:f>IF(NOT(ISNUMBER(G248)),"n.a.",IF(G248=0,0,IF(AND(B248=B234,A248=EDATE(A234,1),H248=H234,ISNUMBER(I234)),I234+1,1)))</x:f>
        <x:v>0</x:v>
      </x:c>
      <x:c r="J248" s="2" t="n">
        <x:f>IF(ISNUMBER(F248),IF(AND(ABS(F248)+0.00000000001&gt;=$B$7,ABS(E248)+0.000000001&gt;=$D$7),1,0),"n.a.")</x:f>
        <x:v>0</x:v>
      </x:c>
      <x:c r="K248" s="2" t="str">
        <x:f>IF(NOT(ISNUMBER(F248)),"No evaluable",IF(OR(J248=1,I248&gt;=$B$8),"Prioridad",IF(G248=1,"Observar","Sin umbral")))</x:f>
        <x:v>Sin umbral</x:v>
      </x:c>
      <x:c r="L248" s="2" t="str">
        <x:f>IF(K248="No evaluable","Faltan datos",IF(J248=1,"Magnitud",IF(I248&gt;=$B$8,"Persistencia",IF(G248=1,"Cambio del mes","Sin umbral"))))</x:f>
        <x:v>Sin umbral</x:v>
      </x:c>
      <x:c r="M248" s="2" t="n">
        <x:f>ROW()-40</x:f>
        <x:v>208</x:v>
      </x:c>
    </x:row>
    <x:row r="249" ht="48" customHeight="1">
      <x:c r="A249" s="4" t="n">
        <x:v>45352</x:v>
      </x:c>
      <x:c r="B249" s="32" t="str">
        <x:v>Extracción de minerales</x:v>
      </x:c>
      <x:c r="C249" s="10" t="n">
        <x:f>IF(ISNUMBER('Actividades'!F386),'Actividades'!F386,"n.a.")</x:f>
        <x:v>21.984283602150537</x:v>
      </x:c>
      <x:c r="D249" s="10" t="n">
        <x:f>IF(ISNUMBER('Actividades'!G386),'Actividades'!G386,"n.a.")</x:f>
        <x:v>19.676653225806454</x:v>
      </x:c>
      <x:c r="E249" s="10" t="n">
        <x:f>IF(AND(ISNUMBER(C249),ISNUMBER(D249),C249&gt;=0,D249&gt;0),C249-D249,"n.a.")</x:f>
        <x:v>2.3076303763440826</x:v>
      </x:c>
      <x:c r="F249" s="12" t="n">
        <x:f>IF(ISNUMBER(E249),E249/D249,"n.a.")</x:f>
        <x:v>0.1172775852611746</x:v>
      </x:c>
      <x:c r="G249" s="2" t="n">
        <x:f>IF(ISNUMBER(F249),IF(AND(ABS(F249)+0.00000000001&gt;=$B$6,ABS(E249)+0.000000001&gt;=$D$6),1,0),"n.a.")</x:f>
        <x:v>0</x:v>
      </x:c>
      <x:c r="H249" s="2" t="n">
        <x:f>IF(ISNUMBER(E249),SIGN(E249),"n.a.")</x:f>
        <x:v>1</x:v>
      </x:c>
      <x:c r="I249" s="2" t="n">
        <x:f>IF(NOT(ISNUMBER(G249)),"n.a.",IF(G249=0,0,IF(AND(B249=B235,A249=EDATE(A235,1),H249=H235,ISNUMBER(I235)),I235+1,1)))</x:f>
        <x:v>0</x:v>
      </x:c>
      <x:c r="J249" s="2" t="n">
        <x:f>IF(ISNUMBER(F249),IF(AND(ABS(F249)+0.00000000001&gt;=$B$7,ABS(E249)+0.000000001&gt;=$D$7),1,0),"n.a.")</x:f>
        <x:v>0</x:v>
      </x:c>
      <x:c r="K249" s="2" t="str">
        <x:f>IF(NOT(ISNUMBER(F249)),"No evaluable",IF(OR(J249=1,I249&gt;=$B$8),"Prioridad",IF(G249=1,"Observar","Sin umbral")))</x:f>
        <x:v>Sin umbral</x:v>
      </x:c>
      <x:c r="L249" s="2" t="str">
        <x:f>IF(K249="No evaluable","Faltan datos",IF(J249=1,"Magnitud",IF(I249&gt;=$B$8,"Persistencia",IF(G249=1,"Cambio del mes","Sin umbral"))))</x:f>
        <x:v>Sin umbral</x:v>
      </x:c>
      <x:c r="M249" s="2" t="n">
        <x:f>ROW()-40</x:f>
        <x:v>209</x:v>
      </x:c>
    </x:row>
    <x:row r="250" ht="48" customHeight="1">
      <x:c r="A250" s="4" t="n">
        <x:v>45352</x:v>
      </x:c>
      <x:c r="B250" s="32" t="str">
        <x:v>Extracción de petróleo</x:v>
      </x:c>
      <x:c r="C250" s="10" t="n">
        <x:f>IF(ISNUMBER('Actividades'!F387),'Actividades'!F387,"n.a.")</x:f>
        <x:v>153.65880241935486</x:v>
      </x:c>
      <x:c r="D250" s="10" t="n">
        <x:f>IF(ISNUMBER('Actividades'!G387),'Actividades'!G387,"n.a.")</x:f>
        <x:v>167.60267069892473</x:v>
      </x:c>
      <x:c r="E250" s="10" t="n">
        <x:f>IF(AND(ISNUMBER(C250),ISNUMBER(D250),C250&gt;=0,D250&gt;0),C250-D250,"n.a.")</x:f>
        <x:v>-13.94386827956987</x:v>
      </x:c>
      <x:c r="F250" s="12" t="n">
        <x:f>IF(ISNUMBER(E250),E250/D250,"n.a.")</x:f>
        <x:v>-0.08319597904628931</x:v>
      </x:c>
      <x:c r="G250" s="2" t="n">
        <x:f>IF(ISNUMBER(F250),IF(AND(ABS(F250)+0.00000000001&gt;=$B$6,ABS(E250)+0.000000001&gt;=$D$6),1,0),"n.a.")</x:f>
        <x:v>0</x:v>
      </x:c>
      <x:c r="H250" s="2" t="n">
        <x:f>IF(ISNUMBER(E250),SIGN(E250),"n.a.")</x:f>
        <x:v>-1</x:v>
      </x:c>
      <x:c r="I250" s="2" t="n">
        <x:f>IF(NOT(ISNUMBER(G250)),"n.a.",IF(G250=0,0,IF(AND(B250=B236,A250=EDATE(A236,1),H250=H236,ISNUMBER(I236)),I236+1,1)))</x:f>
        <x:v>0</x:v>
      </x:c>
      <x:c r="J250" s="2" t="n">
        <x:f>IF(ISNUMBER(F250),IF(AND(ABS(F250)+0.00000000001&gt;=$B$7,ABS(E250)+0.000000001&gt;=$D$7),1,0),"n.a.")</x:f>
        <x:v>0</x:v>
      </x:c>
      <x:c r="K250" s="2" t="str">
        <x:f>IF(NOT(ISNUMBER(F250)),"No evaluable",IF(OR(J250=1,I250&gt;=$B$8),"Prioridad",IF(G250=1,"Observar","Sin umbral")))</x:f>
        <x:v>Sin umbral</x:v>
      </x:c>
      <x:c r="L250" s="2" t="str">
        <x:f>IF(K250="No evaluable","Faltan datos",IF(J250=1,"Magnitud",IF(I250&gt;=$B$8,"Persistencia",IF(G250=1,"Cambio del mes","Sin umbral"))))</x:f>
        <x:v>Sin umbral</x:v>
      </x:c>
      <x:c r="M250" s="2" t="n">
        <x:f>ROW()-40</x:f>
        <x:v>210</x:v>
      </x:c>
    </x:row>
    <x:row r="251" ht="48" customHeight="1">
      <x:c r="A251" s="4" t="n">
        <x:v>45383</x:v>
      </x:c>
      <x:c r="B251" s="32" t="str">
        <x:v>Cargas y puertos</x:v>
      </x:c>
      <x:c r="C251" s="10" t="n">
        <x:f>IF(ISNUMBER('Actividades'!F388),'Actividades'!F388,"n.a.")</x:f>
        <x:v>9.19405</x:v>
      </x:c>
      <x:c r="D251" s="10" t="n">
        <x:f>IF(ISNUMBER('Actividades'!G388),'Actividades'!G388,"n.a.")</x:f>
        <x:v>7.096625</x:v>
      </x:c>
      <x:c r="E251" s="10" t="n">
        <x:f>IF(AND(ISNUMBER(C251),ISNUMBER(D251),C251&gt;=0,D251&gt;0),C251-D251,"n.a.")</x:f>
        <x:v>2.0974250000000003</x:v>
      </x:c>
      <x:c r="F251" s="12" t="n">
        <x:f>IF(ISNUMBER(E251),E251/D251,"n.a.")</x:f>
        <x:v>0.29555246331883117</x:v>
      </x:c>
      <x:c r="G251" s="2" t="n">
        <x:f>IF(ISNUMBER(F251),IF(AND(ABS(F251)+0.00000000001&gt;=$B$6,ABS(E251)+0.000000001&gt;=$D$6),1,0),"n.a.")</x:f>
        <x:v>0</x:v>
      </x:c>
      <x:c r="H251" s="2" t="n">
        <x:f>IF(ISNUMBER(E251),SIGN(E251),"n.a.")</x:f>
        <x:v>1</x:v>
      </x:c>
      <x:c r="I251" s="2" t="n">
        <x:f>IF(NOT(ISNUMBER(G251)),"n.a.",IF(G251=0,0,IF(AND(B251=B237,A251=EDATE(A237,1),H251=H237,ISNUMBER(I237)),I237+1,1)))</x:f>
        <x:v>0</x:v>
      </x:c>
      <x:c r="J251" s="2" t="n">
        <x:f>IF(ISNUMBER(F251),IF(AND(ABS(F251)+0.00000000001&gt;=$B$7,ABS(E251)+0.000000001&gt;=$D$7),1,0),"n.a.")</x:f>
        <x:v>0</x:v>
      </x:c>
      <x:c r="K251" s="2" t="str">
        <x:f>IF(NOT(ISNUMBER(F251)),"No evaluable",IF(OR(J251=1,I251&gt;=$B$8),"Prioridad",IF(G251=1,"Observar","Sin umbral")))</x:f>
        <x:v>Sin umbral</x:v>
      </x:c>
      <x:c r="L251" s="2" t="str">
        <x:f>IF(K251="No evaluable","Faltan datos",IF(J251=1,"Magnitud",IF(I251&gt;=$B$8,"Persistencia",IF(G251=1,"Cambio del mes","Sin umbral"))))</x:f>
        <x:v>Sin umbral</x:v>
      </x:c>
      <x:c r="M251" s="2" t="n">
        <x:f>ROW()-40</x:f>
        <x:v>211</x:v>
      </x:c>
    </x:row>
    <x:row r="252" ht="48" customHeight="1">
      <x:c r="A252" s="4" t="n">
        <x:v>45383</x:v>
      </x:c>
      <x:c r="B252" s="32" t="str">
        <x:v>Comercio y servicios: principalmente supermercados y centros comerciales</x:v>
      </x:c>
      <x:c r="C252" s="10" t="n">
        <x:f>IF(ISNUMBER('Actividades'!F389),'Actividades'!F389,"n.a.")</x:f>
        <x:v>35.878061111111116</x:v>
      </x:c>
      <x:c r="D252" s="10" t="n">
        <x:f>IF(ISNUMBER('Actividades'!G389),'Actividades'!G389,"n.a.")</x:f>
        <x:v>30.459856944444443</x:v>
      </x:c>
      <x:c r="E252" s="10" t="n">
        <x:f>IF(AND(ISNUMBER(C252),ISNUMBER(D252),C252&gt;=0,D252&gt;0),C252-D252,"n.a.")</x:f>
        <x:v>5.418204166666673</x:v>
      </x:c>
      <x:c r="F252" s="12" t="n">
        <x:f>IF(ISNUMBER(E252),E252/D252,"n.a.")</x:f>
        <x:v>0.17788015802401516</x:v>
      </x:c>
      <x:c r="G252" s="2" t="n">
        <x:f>IF(ISNUMBER(F252),IF(AND(ABS(F252)+0.00000000001&gt;=$B$6,ABS(E252)+0.000000001&gt;=$D$6),1,0),"n.a.")</x:f>
        <x:v>1</x:v>
      </x:c>
      <x:c r="H252" s="2" t="n">
        <x:f>IF(ISNUMBER(E252),SIGN(E252),"n.a.")</x:f>
        <x:v>1</x:v>
      </x:c>
      <x:c r="I252" s="2" t="n">
        <x:f>IF(NOT(ISNUMBER(G252)),"n.a.",IF(G252=0,0,IF(AND(B252=B238,A252=EDATE(A238,1),H252=H238,ISNUMBER(I238)),I238+1,1)))</x:f>
        <x:v>1</x:v>
      </x:c>
      <x:c r="J252" s="2" t="n">
        <x:f>IF(ISNUMBER(F252),IF(AND(ABS(F252)+0.00000000001&gt;=$B$7,ABS(E252)+0.000000001&gt;=$D$7),1,0),"n.a.")</x:f>
        <x:v>0</x:v>
      </x:c>
      <x:c r="K252" s="2" t="str">
        <x:f>IF(NOT(ISNUMBER(F252)),"No evaluable",IF(OR(J252=1,I252&gt;=$B$8),"Prioridad",IF(G252=1,"Observar","Sin umbral")))</x:f>
        <x:v>Observar</x:v>
      </x:c>
      <x:c r="L252" s="2" t="str">
        <x:f>IF(K252="No evaluable","Faltan datos",IF(J252=1,"Magnitud",IF(I252&gt;=$B$8,"Persistencia",IF(G252=1,"Cambio del mes","Sin umbral"))))</x:f>
        <x:v>Cambio del mes</x:v>
      </x:c>
      <x:c r="M252" s="2" t="n">
        <x:f>ROW()-40</x:f>
        <x:v>212</x:v>
      </x:c>
    </x:row>
    <x:row r="253" ht="48" customHeight="1">
      <x:c r="A253" s="4" t="n">
        <x:v>45383</x:v>
      </x:c>
      <x:c r="B253" s="32" t="str">
        <x:v>Alimentación y artículos de consumo masivo</x:v>
      </x:c>
      <x:c r="C253" s="10" t="n">
        <x:f>IF(ISNUMBER('Actividades'!F390),'Actividades'!F390,"n.a.")</x:f>
        <x:v>288.5058208333333</x:v>
      </x:c>
      <x:c r="D253" s="10" t="n">
        <x:f>IF(ISNUMBER('Actividades'!G390),'Actividades'!G390,"n.a.")</x:f>
        <x:v>280.81244722222226</x:v>
      </x:c>
      <x:c r="E253" s="10" t="n">
        <x:f>IF(AND(ISNUMBER(C253),ISNUMBER(D253),C253&gt;=0,D253&gt;0),C253-D253,"n.a.")</x:f>
        <x:v>7.693373611111042</x:v>
      </x:c>
      <x:c r="F253" s="12" t="n">
        <x:f>IF(ISNUMBER(E253),E253/D253,"n.a.")</x:f>
        <x:v>0.027396839731334468</x:v>
      </x:c>
      <x:c r="G253" s="2" t="n">
        <x:f>IF(ISNUMBER(F253),IF(AND(ABS(F253)+0.00000000001&gt;=$B$6,ABS(E253)+0.000000001&gt;=$D$6),1,0),"n.a.")</x:f>
        <x:v>0</x:v>
      </x:c>
      <x:c r="H253" s="2" t="n">
        <x:f>IF(ISNUMBER(E253),SIGN(E253),"n.a.")</x:f>
        <x:v>1</x:v>
      </x:c>
      <x:c r="I253" s="2" t="n">
        <x:f>IF(NOT(ISNUMBER(G253)),"n.a.",IF(G253=0,0,IF(AND(B253=B239,A253=EDATE(A239,1),H253=H239,ISNUMBER(I239)),I239+1,1)))</x:f>
        <x:v>0</x:v>
      </x:c>
      <x:c r="J253" s="2" t="n">
        <x:f>IF(ISNUMBER(F253),IF(AND(ABS(F253)+0.00000000001&gt;=$B$7,ABS(E253)+0.000000001&gt;=$D$7),1,0),"n.a.")</x:f>
        <x:v>0</x:v>
      </x:c>
      <x:c r="K253" s="2" t="str">
        <x:f>IF(NOT(ISNUMBER(F253)),"No evaluable",IF(OR(J253=1,I253&gt;=$B$8),"Prioridad",IF(G253=1,"Observar","Sin umbral")))</x:f>
        <x:v>Sin umbral</x:v>
      </x:c>
      <x:c r="L253" s="2" t="str">
        <x:f>IF(K253="No evaluable","Faltan datos",IF(J253=1,"Magnitud",IF(I253&gt;=$B$8,"Persistencia",IF(G253=1,"Cambio del mes","Sin umbral"))))</x:f>
        <x:v>Sin umbral</x:v>
      </x:c>
      <x:c r="M253" s="2" t="n">
        <x:f>ROW()-40</x:f>
        <x:v>213</x:v>
      </x:c>
    </x:row>
    <x:row r="254" ht="48" customHeight="1">
      <x:c r="A254" s="4" t="n">
        <x:v>45383</x:v>
      </x:c>
      <x:c r="B254" s="32" t="str">
        <x:v>Servicios públicos y transporte: agua y transporte en GBA</x:v>
      </x:c>
      <x:c r="C254" s="10" t="n">
        <x:f>IF(ISNUMBER('Actividades'!F391),'Actividades'!F391,"n.a.")</x:f>
        <x:v>84.10488194444444</x:v>
      </x:c>
      <x:c r="D254" s="10" t="n">
        <x:f>IF(ISNUMBER('Actividades'!G391),'Actividades'!G391,"n.a.")</x:f>
        <x:v>86.73067916666668</x:v>
      </x:c>
      <x:c r="E254" s="10" t="n">
        <x:f>IF(AND(ISNUMBER(C254),ISNUMBER(D254),C254&gt;=0,D254&gt;0),C254-D254,"n.a.")</x:f>
        <x:v>-2.625797222222232</x:v>
      </x:c>
      <x:c r="F254" s="12" t="n">
        <x:f>IF(ISNUMBER(E254),E254/D254,"n.a.")</x:f>
        <x:v>-0.03027529874609132</x:v>
      </x:c>
      <x:c r="G254" s="2" t="n">
        <x:f>IF(ISNUMBER(F254),IF(AND(ABS(F254)+0.00000000001&gt;=$B$6,ABS(E254)+0.000000001&gt;=$D$6),1,0),"n.a.")</x:f>
        <x:v>0</x:v>
      </x:c>
      <x:c r="H254" s="2" t="n">
        <x:f>IF(ISNUMBER(E254),SIGN(E254),"n.a.")</x:f>
        <x:v>-1</x:v>
      </x:c>
      <x:c r="I254" s="2" t="n">
        <x:f>IF(NOT(ISNUMBER(G254)),"n.a.",IF(G254=0,0,IF(AND(B254=B240,A254=EDATE(A240,1),H254=H240,ISNUMBER(I240)),I240+1,1)))</x:f>
        <x:v>0</x:v>
      </x:c>
      <x:c r="J254" s="2" t="n">
        <x:f>IF(ISNUMBER(F254),IF(AND(ABS(F254)+0.00000000001&gt;=$B$7,ABS(E254)+0.000000001&gt;=$D$7),1,0),"n.a.")</x:f>
        <x:v>0</x:v>
      </x:c>
      <x:c r="K254" s="2" t="str">
        <x:f>IF(NOT(ISNUMBER(F254)),"No evaluable",IF(OR(J254=1,I254&gt;=$B$8),"Prioridad",IF(G254=1,"Observar","Sin umbral")))</x:f>
        <x:v>Sin umbral</x:v>
      </x:c>
      <x:c r="L254" s="2" t="str">
        <x:f>IF(K254="No evaluable","Faltan datos",IF(J254=1,"Magnitud",IF(I254&gt;=$B$8,"Persistencia",IF(G254=1,"Cambio del mes","Sin umbral"))))</x:f>
        <x:v>Sin umbral</x:v>
      </x:c>
      <x:c r="M254" s="2" t="n">
        <x:f>ROW()-40</x:f>
        <x:v>214</x:v>
      </x:c>
    </x:row>
    <x:row r="255" ht="48" customHeight="1">
      <x:c r="A255" s="4" t="n">
        <x:v>45383</x:v>
      </x:c>
      <x:c r="B255" s="32" t="str">
        <x:v>Industria automotriz</x:v>
      </x:c>
      <x:c r="C255" s="10" t="n">
        <x:f>IF(ISNUMBER('Actividades'!F392),'Actividades'!F392,"n.a.")</x:f>
        <x:v>40.914975000000005</x:v>
      </x:c>
      <x:c r="D255" s="10" t="n">
        <x:f>IF(ISNUMBER('Actividades'!G392),'Actividades'!G392,"n.a.")</x:f>
        <x:v>38.1571</x:v>
      </x:c>
      <x:c r="E255" s="10" t="n">
        <x:f>IF(AND(ISNUMBER(C255),ISNUMBER(D255),C255&gt;=0,D255&gt;0),C255-D255,"n.a.")</x:f>
        <x:v>2.7578750000000056</x:v>
      </x:c>
      <x:c r="F255" s="12" t="n">
        <x:f>IF(ISNUMBER(E255),E255/D255,"n.a.")</x:f>
        <x:v>0.07227685017991424</x:v>
      </x:c>
      <x:c r="G255" s="2" t="n">
        <x:f>IF(ISNUMBER(F255),IF(AND(ABS(F255)+0.00000000001&gt;=$B$6,ABS(E255)+0.000000001&gt;=$D$6),1,0),"n.a.")</x:f>
        <x:v>0</x:v>
      </x:c>
      <x:c r="H255" s="2" t="n">
        <x:f>IF(ISNUMBER(E255),SIGN(E255),"n.a.")</x:f>
        <x:v>1</x:v>
      </x:c>
      <x:c r="I255" s="2" t="n">
        <x:f>IF(NOT(ISNUMBER(G255)),"n.a.",IF(G255=0,0,IF(AND(B255=B241,A255=EDATE(A241,1),H255=H241,ISNUMBER(I241)),I241+1,1)))</x:f>
        <x:v>0</x:v>
      </x:c>
      <x:c r="J255" s="2" t="n">
        <x:f>IF(ISNUMBER(F255),IF(AND(ABS(F255)+0.00000000001&gt;=$B$7,ABS(E255)+0.000000001&gt;=$D$7),1,0),"n.a.")</x:f>
        <x:v>0</x:v>
      </x:c>
      <x:c r="K255" s="2" t="str">
        <x:f>IF(NOT(ISNUMBER(F255)),"No evaluable",IF(OR(J255=1,I255&gt;=$B$8),"Prioridad",IF(G255=1,"Observar","Sin umbral")))</x:f>
        <x:v>Sin umbral</x:v>
      </x:c>
      <x:c r="L255" s="2" t="str">
        <x:f>IF(K255="No evaluable","Faltan datos",IF(J255=1,"Magnitud",IF(I255&gt;=$B$8,"Persistencia",IF(G255=1,"Cambio del mes","Sin umbral"))))</x:f>
        <x:v>Sin umbral</x:v>
      </x:c>
      <x:c r="M255" s="2" t="n">
        <x:f>ROW()-40</x:f>
        <x:v>215</x:v>
      </x:c>
    </x:row>
    <x:row r="256" ht="48" customHeight="1">
      <x:c r="A256" s="4" t="n">
        <x:v>45383</x:v>
      </x:c>
      <x:c r="B256" s="32" t="str">
        <x:v>Derivados de petróleo</x:v>
      </x:c>
      <x:c r="C256" s="10" t="n">
        <x:f>IF(ISNUMBER('Actividades'!F393),'Actividades'!F393,"n.a.")</x:f>
        <x:v>147.35657638888887</x:v>
      </x:c>
      <x:c r="D256" s="10" t="n">
        <x:f>IF(ISNUMBER('Actividades'!G393),'Actividades'!G393,"n.a.")</x:f>
        <x:v>166.33599305555558</x:v>
      </x:c>
      <x:c r="E256" s="10" t="n">
        <x:f>IF(AND(ISNUMBER(C256),ISNUMBER(D256),C256&gt;=0,D256&gt;0),C256-D256,"n.a.")</x:f>
        <x:v>-18.979416666666708</x:v>
      </x:c>
      <x:c r="F256" s="12" t="n">
        <x:f>IF(ISNUMBER(E256),E256/D256,"n.a.")</x:f>
        <x:v>-0.11410288487788482</x:v>
      </x:c>
      <x:c r="G256" s="2" t="n">
        <x:f>IF(ISNUMBER(F256),IF(AND(ABS(F256)+0.00000000001&gt;=$B$6,ABS(E256)+0.000000001&gt;=$D$6),1,0),"n.a.")</x:f>
        <x:v>1</x:v>
      </x:c>
      <x:c r="H256" s="2" t="n">
        <x:f>IF(ISNUMBER(E256),SIGN(E256),"n.a.")</x:f>
        <x:v>-1</x:v>
      </x:c>
      <x:c r="I256" s="2" t="n">
        <x:f>IF(NOT(ISNUMBER(G256)),"n.a.",IF(G256=0,0,IF(AND(B256=B242,A256=EDATE(A242,1),H256=H242,ISNUMBER(I242)),I242+1,1)))</x:f>
        <x:v>1</x:v>
      </x:c>
      <x:c r="J256" s="2" t="n">
        <x:f>IF(ISNUMBER(F256),IF(AND(ABS(F256)+0.00000000001&gt;=$B$7,ABS(E256)+0.000000001&gt;=$D$7),1,0),"n.a.")</x:f>
        <x:v>0</x:v>
      </x:c>
      <x:c r="K256" s="2" t="str">
        <x:f>IF(NOT(ISNUMBER(F256)),"No evaluable",IF(OR(J256=1,I256&gt;=$B$8),"Prioridad",IF(G256=1,"Observar","Sin umbral")))</x:f>
        <x:v>Observar</x:v>
      </x:c>
      <x:c r="L256" s="2" t="str">
        <x:f>IF(K256="No evaluable","Faltan datos",IF(J256=1,"Magnitud",IF(I256&gt;=$B$8,"Persistencia",IF(G256=1,"Cambio del mes","Sin umbral"))))</x:f>
        <x:v>Cambio del mes</x:v>
      </x:c>
      <x:c r="M256" s="2" t="n">
        <x:f>ROW()-40</x:f>
        <x:v>216</x:v>
      </x:c>
    </x:row>
    <x:row r="257" ht="48" customHeight="1">
      <x:c r="A257" s="4" t="n">
        <x:v>45383</x:v>
      </x:c>
      <x:c r="B257" s="32" t="str">
        <x:v>Construcción: elaboración de cemento y canteras</x:v>
      </x:c>
      <x:c r="C257" s="10" t="n">
        <x:f>IF(ISNUMBER('Actividades'!F394),'Actividades'!F394,"n.a.")</x:f>
        <x:v>141.21971805555555</x:v>
      </x:c>
      <x:c r="D257" s="10" t="n">
        <x:f>IF(ISNUMBER('Actividades'!G394),'Actividades'!G394,"n.a.")</x:f>
        <x:v>178.35109305555554</x:v>
      </x:c>
      <x:c r="E257" s="10" t="n">
        <x:f>IF(AND(ISNUMBER(C257),ISNUMBER(D257),C257&gt;=0,D257&gt;0),C257-D257,"n.a.")</x:f>
        <x:v>-37.13137499999999</x:v>
      </x:c>
      <x:c r="F257" s="12" t="n">
        <x:f>IF(ISNUMBER(E257),E257/D257,"n.a.")</x:f>
        <x:v>-0.20819258443475724</x:v>
      </x:c>
      <x:c r="G257" s="2" t="n">
        <x:f>IF(ISNUMBER(F257),IF(AND(ABS(F257)+0.00000000001&gt;=$B$6,ABS(E257)+0.000000001&gt;=$D$6),1,0),"n.a.")</x:f>
        <x:v>1</x:v>
      </x:c>
      <x:c r="H257" s="2" t="n">
        <x:f>IF(ISNUMBER(E257),SIGN(E257),"n.a.")</x:f>
        <x:v>-1</x:v>
      </x:c>
      <x:c r="I257" s="2" t="n">
        <x:f>IF(NOT(ISNUMBER(G257)),"n.a.",IF(G257=0,0,IF(AND(B257=B243,A257=EDATE(A243,1),H257=H243,ISNUMBER(I243)),I243+1,1)))</x:f>
        <x:v>4</x:v>
      </x:c>
      <x:c r="J257" s="2" t="n">
        <x:f>IF(ISNUMBER(F257),IF(AND(ABS(F257)+0.00000000001&gt;=$B$7,ABS(E257)+0.000000001&gt;=$D$7),1,0),"n.a.")</x:f>
        <x:v>1</x:v>
      </x:c>
      <x:c r="K257" s="2" t="str">
        <x:f>IF(NOT(ISNUMBER(F257)),"No evaluable",IF(OR(J257=1,I257&gt;=$B$8),"Prioridad",IF(G257=1,"Observar","Sin umbral")))</x:f>
        <x:v>Prioridad</x:v>
      </x:c>
      <x:c r="L257" s="2" t="str">
        <x:f>IF(K257="No evaluable","Faltan datos",IF(J257=1,"Magnitud",IF(I257&gt;=$B$8,"Persistencia",IF(G257=1,"Cambio del mes","Sin umbral"))))</x:f>
        <x:v>Magnitud</x:v>
      </x:c>
      <x:c r="M257" s="2" t="n">
        <x:f>ROW()-40</x:f>
        <x:v>217</x:v>
      </x:c>
    </x:row>
    <x:row r="258" ht="48" customHeight="1">
      <x:c r="A258" s="4" t="n">
        <x:v>45383</x:v>
      </x:c>
      <x:c r="B258" s="32" t="str">
        <x:v>Madera y papel</x:v>
      </x:c>
      <x:c r="C258" s="10" t="n">
        <x:f>IF(ISNUMBER('Actividades'!F395),'Actividades'!F395,"n.a.")</x:f>
        <x:v>103.92362638888888</x:v>
      </x:c>
      <x:c r="D258" s="10" t="n">
        <x:f>IF(ISNUMBER('Actividades'!G395),'Actividades'!G395,"n.a.")</x:f>
        <x:v>104.97321666666667</x:v>
      </x:c>
      <x:c r="E258" s="10" t="n">
        <x:f>IF(AND(ISNUMBER(C258),ISNUMBER(D258),C258&gt;=0,D258&gt;0),C258-D258,"n.a.")</x:f>
        <x:v>-1.0495902777777957</x:v>
      </x:c>
      <x:c r="F258" s="12" t="n">
        <x:f>IF(ISNUMBER(E258),E258/D258,"n.a.")</x:f>
        <x:v>-0.00999864833246635</x:v>
      </x:c>
      <x:c r="G258" s="2" t="n">
        <x:f>IF(ISNUMBER(F258),IF(AND(ABS(F258)+0.00000000001&gt;=$B$6,ABS(E258)+0.000000001&gt;=$D$6),1,0),"n.a.")</x:f>
        <x:v>0</x:v>
      </x:c>
      <x:c r="H258" s="2" t="n">
        <x:f>IF(ISNUMBER(E258),SIGN(E258),"n.a.")</x:f>
        <x:v>-1</x:v>
      </x:c>
      <x:c r="I258" s="2" t="n">
        <x:f>IF(NOT(ISNUMBER(G258)),"n.a.",IF(G258=0,0,IF(AND(B258=B244,A258=EDATE(A244,1),H258=H244,ISNUMBER(I244)),I244+1,1)))</x:f>
        <x:v>0</x:v>
      </x:c>
      <x:c r="J258" s="2" t="n">
        <x:f>IF(ISNUMBER(F258),IF(AND(ABS(F258)+0.00000000001&gt;=$B$7,ABS(E258)+0.000000001&gt;=$D$7),1,0),"n.a.")</x:f>
        <x:v>0</x:v>
      </x:c>
      <x:c r="K258" s="2" t="str">
        <x:f>IF(NOT(ISNUMBER(F258)),"No evaluable",IF(OR(J258=1,I258&gt;=$B$8),"Prioridad",IF(G258=1,"Observar","Sin umbral")))</x:f>
        <x:v>Sin umbral</x:v>
      </x:c>
      <x:c r="L258" s="2" t="str">
        <x:f>IF(K258="No evaluable","Faltan datos",IF(J258=1,"Magnitud",IF(I258&gt;=$B$8,"Persistencia",IF(G258=1,"Cambio del mes","Sin umbral"))))</x:f>
        <x:v>Sin umbral</x:v>
      </x:c>
      <x:c r="M258" s="2" t="n">
        <x:f>ROW()-40</x:f>
        <x:v>218</x:v>
      </x:c>
    </x:row>
    <x:row r="259" ht="48" customHeight="1">
      <x:c r="A259" s="4" t="n">
        <x:v>45383</x:v>
      </x:c>
      <x:c r="B259" s="32" t="str">
        <x:v>Productos metálicos no automotores</x:v>
      </x:c>
      <x:c r="C259" s="10" t="n">
        <x:f>IF(ISNUMBER('Actividades'!F396),'Actividades'!F396,"n.a.")</x:f>
        <x:v>41.50441111111111</x:v>
      </x:c>
      <x:c r="D259" s="10" t="n">
        <x:f>IF(ISNUMBER('Actividades'!G396),'Actividades'!G396,"n.a.")</x:f>
        <x:v>48.040640277777776</x:v>
      </x:c>
      <x:c r="E259" s="10" t="n">
        <x:f>IF(AND(ISNUMBER(C259),ISNUMBER(D259),C259&gt;=0,D259&gt;0),C259-D259,"n.a.")</x:f>
        <x:v>-6.536229166666665</x:v>
      </x:c>
      <x:c r="F259" s="12" t="n">
        <x:f>IF(ISNUMBER(E259),E259/D259,"n.a.")</x:f>
        <x:v>-0.13605624589666715</x:v>
      </x:c>
      <x:c r="G259" s="2" t="n">
        <x:f>IF(ISNUMBER(F259),IF(AND(ABS(F259)+0.00000000001&gt;=$B$6,ABS(E259)+0.000000001&gt;=$D$6),1,0),"n.a.")</x:f>
        <x:v>1</x:v>
      </x:c>
      <x:c r="H259" s="2" t="n">
        <x:f>IF(ISNUMBER(E259),SIGN(E259),"n.a.")</x:f>
        <x:v>-1</x:v>
      </x:c>
      <x:c r="I259" s="2" t="n">
        <x:f>IF(NOT(ISNUMBER(G259)),"n.a.",IF(G259=0,0,IF(AND(B259=B245,A259=EDATE(A245,1),H259=H245,ISNUMBER(I245)),I245+1,1)))</x:f>
        <x:v>2</x:v>
      </x:c>
      <x:c r="J259" s="2" t="n">
        <x:f>IF(ISNUMBER(F259),IF(AND(ABS(F259)+0.00000000001&gt;=$B$7,ABS(E259)+0.000000001&gt;=$D$7),1,0),"n.a.")</x:f>
        <x:v>0</x:v>
      </x:c>
      <x:c r="K259" s="2" t="str">
        <x:f>IF(NOT(ISNUMBER(F259)),"No evaluable",IF(OR(J259=1,I259&gt;=$B$8),"Prioridad",IF(G259=1,"Observar","Sin umbral")))</x:f>
        <x:v>Observar</x:v>
      </x:c>
      <x:c r="L259" s="2" t="str">
        <x:f>IF(K259="No evaluable","Faltan datos",IF(J259=1,"Magnitud",IF(I259&gt;=$B$8,"Persistencia",IF(G259=1,"Cambio del mes","Sin umbral"))))</x:f>
        <x:v>Cambio del mes</x:v>
      </x:c>
      <x:c r="M259" s="2" t="n">
        <x:f>ROW()-40</x:f>
        <x:v>219</x:v>
      </x:c>
    </x:row>
    <x:row r="260" ht="48" customHeight="1">
      <x:c r="A260" s="4" t="n">
        <x:v>45383</x:v>
      </x:c>
      <x:c r="B260" s="32" t="str">
        <x:v>Gran siderurgia</x:v>
      </x:c>
      <x:c r="C260" s="10" t="n">
        <x:f>IF(ISNUMBER('Actividades'!F397),'Actividades'!F397,"n.a.")</x:f>
        <x:v>256.65835555555554</x:v>
      </x:c>
      <x:c r="D260" s="10" t="n">
        <x:f>IF(ISNUMBER('Actividades'!G397),'Actividades'!G397,"n.a.")</x:f>
        <x:v>321.56680694444447</x:v>
      </x:c>
      <x:c r="E260" s="10" t="n">
        <x:f>IF(AND(ISNUMBER(C260),ISNUMBER(D260),C260&gt;=0,D260&gt;0),C260-D260,"n.a.")</x:f>
        <x:v>-64.90845138888892</x:v>
      </x:c>
      <x:c r="F260" s="12" t="n">
        <x:f>IF(ISNUMBER(E260),E260/D260,"n.a.")</x:f>
        <x:v>-0.20185059523293036</x:v>
      </x:c>
      <x:c r="G260" s="2" t="n">
        <x:f>IF(ISNUMBER(F260),IF(AND(ABS(F260)+0.00000000001&gt;=$B$6,ABS(E260)+0.000000001&gt;=$D$6),1,0),"n.a.")</x:f>
        <x:v>1</x:v>
      </x:c>
      <x:c r="H260" s="2" t="n">
        <x:f>IF(ISNUMBER(E260),SIGN(E260),"n.a.")</x:f>
        <x:v>-1</x:v>
      </x:c>
      <x:c r="I260" s="2" t="n">
        <x:f>IF(NOT(ISNUMBER(G260)),"n.a.",IF(G260=0,0,IF(AND(B260=B246,A260=EDATE(A246,1),H260=H246,ISNUMBER(I246)),I246+1,1)))</x:f>
        <x:v>3</x:v>
      </x:c>
      <x:c r="J260" s="2" t="n">
        <x:f>IF(ISNUMBER(F260),IF(AND(ABS(F260)+0.00000000001&gt;=$B$7,ABS(E260)+0.000000001&gt;=$D$7),1,0),"n.a.")</x:f>
        <x:v>1</x:v>
      </x:c>
      <x:c r="K260" s="2" t="str">
        <x:f>IF(NOT(ISNUMBER(F260)),"No evaluable",IF(OR(J260=1,I260&gt;=$B$8),"Prioridad",IF(G260=1,"Observar","Sin umbral")))</x:f>
        <x:v>Prioridad</x:v>
      </x:c>
      <x:c r="L260" s="2" t="str">
        <x:f>IF(K260="No evaluable","Faltan datos",IF(J260=1,"Magnitud",IF(I260&gt;=$B$8,"Persistencia",IF(G260=1,"Cambio del mes","Sin umbral"))))</x:f>
        <x:v>Magnitud</x:v>
      </x:c>
      <x:c r="M260" s="2" t="n">
        <x:f>ROW()-40</x:f>
        <x:v>220</x:v>
      </x:c>
    </x:row>
    <x:row r="261" ht="48" customHeight="1">
      <x:c r="A261" s="4" t="n">
        <x:v>45383</x:v>
      </x:c>
      <x:c r="B261" s="32" t="str">
        <x:v>Industria textil</x:v>
      </x:c>
      <x:c r="C261" s="10" t="n">
        <x:f>IF(ISNUMBER('Actividades'!F398),'Actividades'!F398,"n.a.")</x:f>
        <x:v>49.75077361111111</x:v>
      </x:c>
      <x:c r="D261" s="10" t="n">
        <x:f>IF(ISNUMBER('Actividades'!G398),'Actividades'!G398,"n.a.")</x:f>
        <x:v>63.00198472222222</x:v>
      </x:c>
      <x:c r="E261" s="10" t="n">
        <x:f>IF(AND(ISNUMBER(C261),ISNUMBER(D261),C261&gt;=0,D261&gt;0),C261-D261,"n.a.")</x:f>
        <x:v>-13.251211111111111</x:v>
      </x:c>
      <x:c r="F261" s="12" t="n">
        <x:f>IF(ISNUMBER(E261),E261/D261,"n.a.")</x:f>
        <x:v>-0.21033005816461384</x:v>
      </x:c>
      <x:c r="G261" s="2" t="n">
        <x:f>IF(ISNUMBER(F261),IF(AND(ABS(F261)+0.00000000001&gt;=$B$6,ABS(E261)+0.000000001&gt;=$D$6),1,0),"n.a.")</x:f>
        <x:v>1</x:v>
      </x:c>
      <x:c r="H261" s="2" t="n">
        <x:f>IF(ISNUMBER(E261),SIGN(E261),"n.a.")</x:f>
        <x:v>-1</x:v>
      </x:c>
      <x:c r="I261" s="2" t="n">
        <x:f>IF(NOT(ISNUMBER(G261)),"n.a.",IF(G261=0,0,IF(AND(B261=B247,A261=EDATE(A247,1),H261=H247,ISNUMBER(I247)),I247+1,1)))</x:f>
        <x:v>2</x:v>
      </x:c>
      <x:c r="J261" s="2" t="n">
        <x:f>IF(ISNUMBER(F261),IF(AND(ABS(F261)+0.00000000001&gt;=$B$7,ABS(E261)+0.000000001&gt;=$D$7),1,0),"n.a.")</x:f>
        <x:v>1</x:v>
      </x:c>
      <x:c r="K261" s="2" t="str">
        <x:f>IF(NOT(ISNUMBER(F261)),"No evaluable",IF(OR(J261=1,I261&gt;=$B$8),"Prioridad",IF(G261=1,"Observar","Sin umbral")))</x:f>
        <x:v>Prioridad</x:v>
      </x:c>
      <x:c r="L261" s="2" t="str">
        <x:f>IF(K261="No evaluable","Faltan datos",IF(J261=1,"Magnitud",IF(I261&gt;=$B$8,"Persistencia",IF(G261=1,"Cambio del mes","Sin umbral"))))</x:f>
        <x:v>Magnitud</x:v>
      </x:c>
      <x:c r="M261" s="2" t="n">
        <x:f>ROW()-40</x:f>
        <x:v>221</x:v>
      </x:c>
    </x:row>
    <x:row r="262" ht="48" customHeight="1">
      <x:c r="A262" s="4" t="n">
        <x:v>45383</x:v>
      </x:c>
      <x:c r="B262" s="32" t="str">
        <x:v>Químicas, caucho, plástico y otros minerales no metálicos</x:v>
      </x:c>
      <x:c r="C262" s="10" t="n">
        <x:f>IF(ISNUMBER('Actividades'!F399),'Actividades'!F399,"n.a.")</x:f>
        <x:v>322.79945416666664</x:v>
      </x:c>
      <x:c r="D262" s="10" t="n">
        <x:f>IF(ISNUMBER('Actividades'!G399),'Actividades'!G399,"n.a.")</x:f>
        <x:v>333.08837083333333</x:v>
      </x:c>
      <x:c r="E262" s="10" t="n">
        <x:f>IF(AND(ISNUMBER(C262),ISNUMBER(D262),C262&gt;=0,D262&gt;0),C262-D262,"n.a.")</x:f>
        <x:v>-10.288916666666694</x:v>
      </x:c>
      <x:c r="F262" s="12" t="n">
        <x:f>IF(ISNUMBER(E262),E262/D262,"n.a.")</x:f>
        <x:v>-0.030889450270886028</x:v>
      </x:c>
      <x:c r="G262" s="2" t="n">
        <x:f>IF(ISNUMBER(F262),IF(AND(ABS(F262)+0.00000000001&gt;=$B$6,ABS(E262)+0.000000001&gt;=$D$6),1,0),"n.a.")</x:f>
        <x:v>0</x:v>
      </x:c>
      <x:c r="H262" s="2" t="n">
        <x:f>IF(ISNUMBER(E262),SIGN(E262),"n.a.")</x:f>
        <x:v>-1</x:v>
      </x:c>
      <x:c r="I262" s="2" t="n">
        <x:f>IF(NOT(ISNUMBER(G262)),"n.a.",IF(G262=0,0,IF(AND(B262=B248,A262=EDATE(A248,1),H262=H248,ISNUMBER(I248)),I248+1,1)))</x:f>
        <x:v>0</x:v>
      </x:c>
      <x:c r="J262" s="2" t="n">
        <x:f>IF(ISNUMBER(F262),IF(AND(ABS(F262)+0.00000000001&gt;=$B$7,ABS(E262)+0.000000001&gt;=$D$7),1,0),"n.a.")</x:f>
        <x:v>0</x:v>
      </x:c>
      <x:c r="K262" s="2" t="str">
        <x:f>IF(NOT(ISNUMBER(F262)),"No evaluable",IF(OR(J262=1,I262&gt;=$B$8),"Prioridad",IF(G262=1,"Observar","Sin umbral")))</x:f>
        <x:v>Sin umbral</x:v>
      </x:c>
      <x:c r="L262" s="2" t="str">
        <x:f>IF(K262="No evaluable","Faltan datos",IF(J262=1,"Magnitud",IF(I262&gt;=$B$8,"Persistencia",IF(G262=1,"Cambio del mes","Sin umbral"))))</x:f>
        <x:v>Sin umbral</x:v>
      </x:c>
      <x:c r="M262" s="2" t="n">
        <x:f>ROW()-40</x:f>
        <x:v>222</x:v>
      </x:c>
    </x:row>
    <x:row r="263" ht="48" customHeight="1">
      <x:c r="A263" s="4" t="n">
        <x:v>45383</x:v>
      </x:c>
      <x:c r="B263" s="32" t="str">
        <x:v>Extracción de minerales</x:v>
      </x:c>
      <x:c r="C263" s="10" t="n">
        <x:f>IF(ISNUMBER('Actividades'!F400),'Actividades'!F400,"n.a.")</x:f>
        <x:v>21.144481944444447</x:v>
      </x:c>
      <x:c r="D263" s="10" t="n">
        <x:f>IF(ISNUMBER('Actividades'!G400),'Actividades'!G400,"n.a.")</x:f>
        <x:v>20.03678611111111</x:v>
      </x:c>
      <x:c r="E263" s="10" t="n">
        <x:f>IF(AND(ISNUMBER(C263),ISNUMBER(D263),C263&gt;=0,D263&gt;0),C263-D263,"n.a.")</x:f>
        <x:v>1.107695833333338</x:v>
      </x:c>
      <x:c r="F263" s="12" t="n">
        <x:f>IF(ISNUMBER(E263),E263/D263,"n.a.")</x:f>
        <x:v>0.055283109136903014</x:v>
      </x:c>
      <x:c r="G263" s="2" t="n">
        <x:f>IF(ISNUMBER(F263),IF(AND(ABS(F263)+0.00000000001&gt;=$B$6,ABS(E263)+0.000000001&gt;=$D$6),1,0),"n.a.")</x:f>
        <x:v>0</x:v>
      </x:c>
      <x:c r="H263" s="2" t="n">
        <x:f>IF(ISNUMBER(E263),SIGN(E263),"n.a.")</x:f>
        <x:v>1</x:v>
      </x:c>
      <x:c r="I263" s="2" t="n">
        <x:f>IF(NOT(ISNUMBER(G263)),"n.a.",IF(G263=0,0,IF(AND(B263=B249,A263=EDATE(A249,1),H263=H249,ISNUMBER(I249)),I249+1,1)))</x:f>
        <x:v>0</x:v>
      </x:c>
      <x:c r="J263" s="2" t="n">
        <x:f>IF(ISNUMBER(F263),IF(AND(ABS(F263)+0.00000000001&gt;=$B$7,ABS(E263)+0.000000001&gt;=$D$7),1,0),"n.a.")</x:f>
        <x:v>0</x:v>
      </x:c>
      <x:c r="K263" s="2" t="str">
        <x:f>IF(NOT(ISNUMBER(F263)),"No evaluable",IF(OR(J263=1,I263&gt;=$B$8),"Prioridad",IF(G263=1,"Observar","Sin umbral")))</x:f>
        <x:v>Sin umbral</x:v>
      </x:c>
      <x:c r="L263" s="2" t="str">
        <x:f>IF(K263="No evaluable","Faltan datos",IF(J263=1,"Magnitud",IF(I263&gt;=$B$8,"Persistencia",IF(G263=1,"Cambio del mes","Sin umbral"))))</x:f>
        <x:v>Sin umbral</x:v>
      </x:c>
      <x:c r="M263" s="2" t="n">
        <x:f>ROW()-40</x:f>
        <x:v>223</x:v>
      </x:c>
    </x:row>
    <x:row r="264" ht="48" customHeight="1">
      <x:c r="A264" s="4" t="n">
        <x:v>45383</x:v>
      </x:c>
      <x:c r="B264" s="32" t="str">
        <x:v>Extracción de petróleo</x:v>
      </x:c>
      <x:c r="C264" s="10" t="n">
        <x:f>IF(ISNUMBER('Actividades'!F401),'Actividades'!F401,"n.a.")</x:f>
        <x:v>152.8361875</x:v>
      </x:c>
      <x:c r="D264" s="10" t="n">
        <x:f>IF(ISNUMBER('Actividades'!G401),'Actividades'!G401,"n.a.")</x:f>
        <x:v>168.23026666666667</x:v>
      </x:c>
      <x:c r="E264" s="10" t="n">
        <x:f>IF(AND(ISNUMBER(C264),ISNUMBER(D264),C264&gt;=0,D264&gt;0),C264-D264,"n.a.")</x:f>
        <x:v>-15.394079166666671</x:v>
      </x:c>
      <x:c r="F264" s="12" t="n">
        <x:f>IF(ISNUMBER(E264),E264/D264,"n.a.")</x:f>
        <x:v>-0.09150600228892623</x:v>
      </x:c>
      <x:c r="G264" s="2" t="n">
        <x:f>IF(ISNUMBER(F264),IF(AND(ABS(F264)+0.00000000001&gt;=$B$6,ABS(E264)+0.000000001&gt;=$D$6),1,0),"n.a.")</x:f>
        <x:v>0</x:v>
      </x:c>
      <x:c r="H264" s="2" t="n">
        <x:f>IF(ISNUMBER(E264),SIGN(E264),"n.a.")</x:f>
        <x:v>-1</x:v>
      </x:c>
      <x:c r="I264" s="2" t="n">
        <x:f>IF(NOT(ISNUMBER(G264)),"n.a.",IF(G264=0,0,IF(AND(B264=B250,A264=EDATE(A250,1),H264=H250,ISNUMBER(I250)),I250+1,1)))</x:f>
        <x:v>0</x:v>
      </x:c>
      <x:c r="J264" s="2" t="n">
        <x:f>IF(ISNUMBER(F264),IF(AND(ABS(F264)+0.00000000001&gt;=$B$7,ABS(E264)+0.000000001&gt;=$D$7),1,0),"n.a.")</x:f>
        <x:v>0</x:v>
      </x:c>
      <x:c r="K264" s="2" t="str">
        <x:f>IF(NOT(ISNUMBER(F264)),"No evaluable",IF(OR(J264=1,I264&gt;=$B$8),"Prioridad",IF(G264=1,"Observar","Sin umbral")))</x:f>
        <x:v>Sin umbral</x:v>
      </x:c>
      <x:c r="L264" s="2" t="str">
        <x:f>IF(K264="No evaluable","Faltan datos",IF(J264=1,"Magnitud",IF(I264&gt;=$B$8,"Persistencia",IF(G264=1,"Cambio del mes","Sin umbral"))))</x:f>
        <x:v>Sin umbral</x:v>
      </x:c>
      <x:c r="M264" s="2" t="n">
        <x:f>ROW()-40</x:f>
        <x:v>224</x:v>
      </x:c>
    </x:row>
    <x:row r="265" ht="48" customHeight="1">
      <x:c r="A265" s="4" t="n">
        <x:v>45413</x:v>
      </x:c>
      <x:c r="B265" s="32" t="str">
        <x:v>Cargas y puertos</x:v>
      </x:c>
      <x:c r="C265" s="10" t="n">
        <x:f>IF(ISNUMBER('Actividades'!F402),'Actividades'!F402,"n.a.")</x:f>
        <x:v>9.037594086021505</x:v>
      </x:c>
      <x:c r="D265" s="10" t="n">
        <x:f>IF(ISNUMBER('Actividades'!G402),'Actividades'!G402,"n.a.")</x:f>
        <x:v>6.715490591397849</x:v>
      </x:c>
      <x:c r="E265" s="10" t="n">
        <x:f>IF(AND(ISNUMBER(C265),ISNUMBER(D265),C265&gt;=0,D265&gt;0),C265-D265,"n.a.")</x:f>
        <x:v>2.322103494623656</x:v>
      </x:c>
      <x:c r="F265" s="12" t="n">
        <x:f>IF(ISNUMBER(E265),E265/D265,"n.a.")</x:f>
        <x:v>0.3457831506157026</x:v>
      </x:c>
      <x:c r="G265" s="2" t="n">
        <x:f>IF(ISNUMBER(F265),IF(AND(ABS(F265)+0.00000000001&gt;=$B$6,ABS(E265)+0.000000001&gt;=$D$6),1,0),"n.a.")</x:f>
        <x:v>0</x:v>
      </x:c>
      <x:c r="H265" s="2" t="n">
        <x:f>IF(ISNUMBER(E265),SIGN(E265),"n.a.")</x:f>
        <x:v>1</x:v>
      </x:c>
      <x:c r="I265" s="2" t="n">
        <x:f>IF(NOT(ISNUMBER(G265)),"n.a.",IF(G265=0,0,IF(AND(B265=B251,A265=EDATE(A251,1),H265=H251,ISNUMBER(I251)),I251+1,1)))</x:f>
        <x:v>0</x:v>
      </x:c>
      <x:c r="J265" s="2" t="n">
        <x:f>IF(ISNUMBER(F265),IF(AND(ABS(F265)+0.00000000001&gt;=$B$7,ABS(E265)+0.000000001&gt;=$D$7),1,0),"n.a.")</x:f>
        <x:v>0</x:v>
      </x:c>
      <x:c r="K265" s="2" t="str">
        <x:f>IF(NOT(ISNUMBER(F265)),"No evaluable",IF(OR(J265=1,I265&gt;=$B$8),"Prioridad",IF(G265=1,"Observar","Sin umbral")))</x:f>
        <x:v>Sin umbral</x:v>
      </x:c>
      <x:c r="L265" s="2" t="str">
        <x:f>IF(K265="No evaluable","Faltan datos",IF(J265=1,"Magnitud",IF(I265&gt;=$B$8,"Persistencia",IF(G265=1,"Cambio del mes","Sin umbral"))))</x:f>
        <x:v>Sin umbral</x:v>
      </x:c>
      <x:c r="M265" s="2" t="n">
        <x:f>ROW()-40</x:f>
        <x:v>225</x:v>
      </x:c>
    </x:row>
    <x:row r="266" ht="48" customHeight="1">
      <x:c r="A266" s="4" t="n">
        <x:v>45413</x:v>
      </x:c>
      <x:c r="B266" s="32" t="str">
        <x:v>Comercio y servicios: principalmente supermercados y centros comerciales</x:v>
      </x:c>
      <x:c r="C266" s="10" t="n">
        <x:f>IF(ISNUMBER('Actividades'!F403),'Actividades'!F403,"n.a.")</x:f>
        <x:v>31.103408602150537</x:v>
      </x:c>
      <x:c r="D266" s="10" t="n">
        <x:f>IF(ISNUMBER('Actividades'!G403),'Actividades'!G403,"n.a.")</x:f>
        <x:v>29.059623655913978</x:v>
      </x:c>
      <x:c r="E266" s="10" t="n">
        <x:f>IF(AND(ISNUMBER(C266),ISNUMBER(D266),C266&gt;=0,D266&gt;0),C266-D266,"n.a.")</x:f>
        <x:v>2.04378494623656</x:v>
      </x:c>
      <x:c r="F266" s="12" t="n">
        <x:f>IF(ISNUMBER(E266),E266/D266,"n.a.")</x:f>
        <x:v>0.0703307437989007</x:v>
      </x:c>
      <x:c r="G266" s="2" t="n">
        <x:f>IF(ISNUMBER(F266),IF(AND(ABS(F266)+0.00000000001&gt;=$B$6,ABS(E266)+0.000000001&gt;=$D$6),1,0),"n.a.")</x:f>
        <x:v>0</x:v>
      </x:c>
      <x:c r="H266" s="2" t="n">
        <x:f>IF(ISNUMBER(E266),SIGN(E266),"n.a.")</x:f>
        <x:v>1</x:v>
      </x:c>
      <x:c r="I266" s="2" t="n">
        <x:f>IF(NOT(ISNUMBER(G266)),"n.a.",IF(G266=0,0,IF(AND(B266=B252,A266=EDATE(A252,1),H266=H252,ISNUMBER(I252)),I252+1,1)))</x:f>
        <x:v>0</x:v>
      </x:c>
      <x:c r="J266" s="2" t="n">
        <x:f>IF(ISNUMBER(F266),IF(AND(ABS(F266)+0.00000000001&gt;=$B$7,ABS(E266)+0.000000001&gt;=$D$7),1,0),"n.a.")</x:f>
        <x:v>0</x:v>
      </x:c>
      <x:c r="K266" s="2" t="str">
        <x:f>IF(NOT(ISNUMBER(F266)),"No evaluable",IF(OR(J266=1,I266&gt;=$B$8),"Prioridad",IF(G266=1,"Observar","Sin umbral")))</x:f>
        <x:v>Sin umbral</x:v>
      </x:c>
      <x:c r="L266" s="2" t="str">
        <x:f>IF(K266="No evaluable","Faltan datos",IF(J266=1,"Magnitud",IF(I266&gt;=$B$8,"Persistencia",IF(G266=1,"Cambio del mes","Sin umbral"))))</x:f>
        <x:v>Sin umbral</x:v>
      </x:c>
      <x:c r="M266" s="2" t="n">
        <x:f>ROW()-40</x:f>
        <x:v>226</x:v>
      </x:c>
    </x:row>
    <x:row r="267" ht="48" customHeight="1">
      <x:c r="A267" s="4" t="n">
        <x:v>45413</x:v>
      </x:c>
      <x:c r="B267" s="32" t="str">
        <x:v>Alimentación y artículos de consumo masivo</x:v>
      </x:c>
      <x:c r="C267" s="10" t="n">
        <x:f>IF(ISNUMBER('Actividades'!F404),'Actividades'!F404,"n.a.")</x:f>
        <x:v>275.74411290322575</x:v>
      </x:c>
      <x:c r="D267" s="10" t="n">
        <x:f>IF(ISNUMBER('Actividades'!G404),'Actividades'!G404,"n.a.")</x:f>
        <x:v>275.2428588709677</x:v>
      </x:c>
      <x:c r="E267" s="10" t="n">
        <x:f>IF(AND(ISNUMBER(C267),ISNUMBER(D267),C267&gt;=0,D267&gt;0),C267-D267,"n.a.")</x:f>
        <x:v>0.5012540322580321</x:v>
      </x:c>
      <x:c r="F267" s="12" t="n">
        <x:f>IF(ISNUMBER(E267),E267/D267,"n.a.")</x:f>
        <x:v>0.0018211336501668047</x:v>
      </x:c>
      <x:c r="G267" s="2" t="n">
        <x:f>IF(ISNUMBER(F267),IF(AND(ABS(F267)+0.00000000001&gt;=$B$6,ABS(E267)+0.000000001&gt;=$D$6),1,0),"n.a.")</x:f>
        <x:v>0</x:v>
      </x:c>
      <x:c r="H267" s="2" t="n">
        <x:f>IF(ISNUMBER(E267),SIGN(E267),"n.a.")</x:f>
        <x:v>1</x:v>
      </x:c>
      <x:c r="I267" s="2" t="n">
        <x:f>IF(NOT(ISNUMBER(G267)),"n.a.",IF(G267=0,0,IF(AND(B267=B253,A267=EDATE(A253,1),H267=H253,ISNUMBER(I253)),I253+1,1)))</x:f>
        <x:v>0</x:v>
      </x:c>
      <x:c r="J267" s="2" t="n">
        <x:f>IF(ISNUMBER(F267),IF(AND(ABS(F267)+0.00000000001&gt;=$B$7,ABS(E267)+0.000000001&gt;=$D$7),1,0),"n.a.")</x:f>
        <x:v>0</x:v>
      </x:c>
      <x:c r="K267" s="2" t="str">
        <x:f>IF(NOT(ISNUMBER(F267)),"No evaluable",IF(OR(J267=1,I267&gt;=$B$8),"Prioridad",IF(G267=1,"Observar","Sin umbral")))</x:f>
        <x:v>Sin umbral</x:v>
      </x:c>
      <x:c r="L267" s="2" t="str">
        <x:f>IF(K267="No evaluable","Faltan datos",IF(J267=1,"Magnitud",IF(I267&gt;=$B$8,"Persistencia",IF(G267=1,"Cambio del mes","Sin umbral"))))</x:f>
        <x:v>Sin umbral</x:v>
      </x:c>
      <x:c r="M267" s="2" t="n">
        <x:f>ROW()-40</x:f>
        <x:v>227</x:v>
      </x:c>
    </x:row>
    <x:row r="268" ht="48" customHeight="1">
      <x:c r="A268" s="4" t="n">
        <x:v>45413</x:v>
      </x:c>
      <x:c r="B268" s="32" t="str">
        <x:v>Servicios públicos y transporte: agua y transporte en GBA</x:v>
      </x:c>
      <x:c r="C268" s="10" t="n">
        <x:f>IF(ISNUMBER('Actividades'!F405),'Actividades'!F405,"n.a.")</x:f>
        <x:v>85.51842741935484</x:v>
      </x:c>
      <x:c r="D268" s="10" t="n">
        <x:f>IF(ISNUMBER('Actividades'!G405),'Actividades'!G405,"n.a.")</x:f>
        <x:v>88.93069758064517</x:v>
      </x:c>
      <x:c r="E268" s="10" t="n">
        <x:f>IF(AND(ISNUMBER(C268),ISNUMBER(D268),C268&gt;=0,D268&gt;0),C268-D268,"n.a.")</x:f>
        <x:v>-3.412270161290337</x:v>
      </x:c>
      <x:c r="F268" s="12" t="n">
        <x:f>IF(ISNUMBER(E268),E268/D268,"n.a.")</x:f>
        <x:v>-0.03836999207383909</x:v>
      </x:c>
      <x:c r="G268" s="2" t="n">
        <x:f>IF(ISNUMBER(F268),IF(AND(ABS(F268)+0.00000000001&gt;=$B$6,ABS(E268)+0.000000001&gt;=$D$6),1,0),"n.a.")</x:f>
        <x:v>0</x:v>
      </x:c>
      <x:c r="H268" s="2" t="n">
        <x:f>IF(ISNUMBER(E268),SIGN(E268),"n.a.")</x:f>
        <x:v>-1</x:v>
      </x:c>
      <x:c r="I268" s="2" t="n">
        <x:f>IF(NOT(ISNUMBER(G268)),"n.a.",IF(G268=0,0,IF(AND(B268=B254,A268=EDATE(A254,1),H268=H254,ISNUMBER(I254)),I254+1,1)))</x:f>
        <x:v>0</x:v>
      </x:c>
      <x:c r="J268" s="2" t="n">
        <x:f>IF(ISNUMBER(F268),IF(AND(ABS(F268)+0.00000000001&gt;=$B$7,ABS(E268)+0.000000001&gt;=$D$7),1,0),"n.a.")</x:f>
        <x:v>0</x:v>
      </x:c>
      <x:c r="K268" s="2" t="str">
        <x:f>IF(NOT(ISNUMBER(F268)),"No evaluable",IF(OR(J268=1,I268&gt;=$B$8),"Prioridad",IF(G268=1,"Observar","Sin umbral")))</x:f>
        <x:v>Sin umbral</x:v>
      </x:c>
      <x:c r="L268" s="2" t="str">
        <x:f>IF(K268="No evaluable","Faltan datos",IF(J268=1,"Magnitud",IF(I268&gt;=$B$8,"Persistencia",IF(G268=1,"Cambio del mes","Sin umbral"))))</x:f>
        <x:v>Sin umbral</x:v>
      </x:c>
      <x:c r="M268" s="2" t="n">
        <x:f>ROW()-40</x:f>
        <x:v>228</x:v>
      </x:c>
    </x:row>
    <x:row r="269" ht="48" customHeight="1">
      <x:c r="A269" s="4" t="n">
        <x:v>45413</x:v>
      </x:c>
      <x:c r="B269" s="32" t="str">
        <x:v>Industria automotriz</x:v>
      </x:c>
      <x:c r="C269" s="10" t="n">
        <x:f>IF(ISNUMBER('Actividades'!F406),'Actividades'!F406,"n.a.")</x:f>
        <x:v>38.929057795698924</x:v>
      </x:c>
      <x:c r="D269" s="10" t="n">
        <x:f>IF(ISNUMBER('Actividades'!G406),'Actividades'!G406,"n.a.")</x:f>
        <x:v>37.40162096774194</x:v>
      </x:c>
      <x:c r="E269" s="10" t="n">
        <x:f>IF(AND(ISNUMBER(C269),ISNUMBER(D269),C269&gt;=0,D269&gt;0),C269-D269,"n.a.")</x:f>
        <x:v>1.5274368279569828</x:v>
      </x:c>
      <x:c r="F269" s="12" t="n">
        <x:f>IF(ISNUMBER(E269),E269/D269,"n.a.")</x:f>
        <x:v>0.0408387868877224</x:v>
      </x:c>
      <x:c r="G269" s="2" t="n">
        <x:f>IF(ISNUMBER(F269),IF(AND(ABS(F269)+0.00000000001&gt;=$B$6,ABS(E269)+0.000000001&gt;=$D$6),1,0),"n.a.")</x:f>
        <x:v>0</x:v>
      </x:c>
      <x:c r="H269" s="2" t="n">
        <x:f>IF(ISNUMBER(E269),SIGN(E269),"n.a.")</x:f>
        <x:v>1</x:v>
      </x:c>
      <x:c r="I269" s="2" t="n">
        <x:f>IF(NOT(ISNUMBER(G269)),"n.a.",IF(G269=0,0,IF(AND(B269=B255,A269=EDATE(A255,1),H269=H255,ISNUMBER(I255)),I255+1,1)))</x:f>
        <x:v>0</x:v>
      </x:c>
      <x:c r="J269" s="2" t="n">
        <x:f>IF(ISNUMBER(F269),IF(AND(ABS(F269)+0.00000000001&gt;=$B$7,ABS(E269)+0.000000001&gt;=$D$7),1,0),"n.a.")</x:f>
        <x:v>0</x:v>
      </x:c>
      <x:c r="K269" s="2" t="str">
        <x:f>IF(NOT(ISNUMBER(F269)),"No evaluable",IF(OR(J269=1,I269&gt;=$B$8),"Prioridad",IF(G269=1,"Observar","Sin umbral")))</x:f>
        <x:v>Sin umbral</x:v>
      </x:c>
      <x:c r="L269" s="2" t="str">
        <x:f>IF(K269="No evaluable","Faltan datos",IF(J269=1,"Magnitud",IF(I269&gt;=$B$8,"Persistencia",IF(G269=1,"Cambio del mes","Sin umbral"))))</x:f>
        <x:v>Sin umbral</x:v>
      </x:c>
      <x:c r="M269" s="2" t="n">
        <x:f>ROW()-40</x:f>
        <x:v>229</x:v>
      </x:c>
    </x:row>
    <x:row r="270" ht="48" customHeight="1">
      <x:c r="A270" s="4" t="n">
        <x:v>45413</x:v>
      </x:c>
      <x:c r="B270" s="32" t="str">
        <x:v>Derivados de petróleo</x:v>
      </x:c>
      <x:c r="C270" s="10" t="n">
        <x:f>IF(ISNUMBER('Actividades'!F407),'Actividades'!F407,"n.a.")</x:f>
        <x:v>154.64159677419354</x:v>
      </x:c>
      <x:c r="D270" s="10" t="n">
        <x:f>IF(ISNUMBER('Actividades'!G407),'Actividades'!G407,"n.a.")</x:f>
        <x:v>153.75251344086024</x:v>
      </x:c>
      <x:c r="E270" s="10" t="n">
        <x:f>IF(AND(ISNUMBER(C270),ISNUMBER(D270),C270&gt;=0,D270&gt;0),C270-D270,"n.a.")</x:f>
        <x:v>0.8890833333333035</x:v>
      </x:c>
      <x:c r="F270" s="12" t="n">
        <x:f>IF(ISNUMBER(E270),E270/D270,"n.a.")</x:f>
        <x:v>0.005782561295658316</x:v>
      </x:c>
      <x:c r="G270" s="2" t="n">
        <x:f>IF(ISNUMBER(F270),IF(AND(ABS(F270)+0.00000000001&gt;=$B$6,ABS(E270)+0.000000001&gt;=$D$6),1,0),"n.a.")</x:f>
        <x:v>0</x:v>
      </x:c>
      <x:c r="H270" s="2" t="n">
        <x:f>IF(ISNUMBER(E270),SIGN(E270),"n.a.")</x:f>
        <x:v>1</x:v>
      </x:c>
      <x:c r="I270" s="2" t="n">
        <x:f>IF(NOT(ISNUMBER(G270)),"n.a.",IF(G270=0,0,IF(AND(B270=B256,A270=EDATE(A256,1),H270=H256,ISNUMBER(I256)),I256+1,1)))</x:f>
        <x:v>0</x:v>
      </x:c>
      <x:c r="J270" s="2" t="n">
        <x:f>IF(ISNUMBER(F270),IF(AND(ABS(F270)+0.00000000001&gt;=$B$7,ABS(E270)+0.000000001&gt;=$D$7),1,0),"n.a.")</x:f>
        <x:v>0</x:v>
      </x:c>
      <x:c r="K270" s="2" t="str">
        <x:f>IF(NOT(ISNUMBER(F270)),"No evaluable",IF(OR(J270=1,I270&gt;=$B$8),"Prioridad",IF(G270=1,"Observar","Sin umbral")))</x:f>
        <x:v>Sin umbral</x:v>
      </x:c>
      <x:c r="L270" s="2" t="str">
        <x:f>IF(K270="No evaluable","Faltan datos",IF(J270=1,"Magnitud",IF(I270&gt;=$B$8,"Persistencia",IF(G270=1,"Cambio del mes","Sin umbral"))))</x:f>
        <x:v>Sin umbral</x:v>
      </x:c>
      <x:c r="M270" s="2" t="n">
        <x:f>ROW()-40</x:f>
        <x:v>230</x:v>
      </x:c>
    </x:row>
    <x:row r="271" ht="48" customHeight="1">
      <x:c r="A271" s="4" t="n">
        <x:v>45413</x:v>
      </x:c>
      <x:c r="B271" s="32" t="str">
        <x:v>Construcción: elaboración de cemento y canteras</x:v>
      </x:c>
      <x:c r="C271" s="10" t="n">
        <x:f>IF(ISNUMBER('Actividades'!F408),'Actividades'!F408,"n.a.")</x:f>
        <x:v>105.73363978494623</x:v>
      </x:c>
      <x:c r="D271" s="10" t="n">
        <x:f>IF(ISNUMBER('Actividades'!G408),'Actividades'!G408,"n.a.")</x:f>
        <x:v>175.4919677419355</x:v>
      </x:c>
      <x:c r="E271" s="10" t="n">
        <x:f>IF(AND(ISNUMBER(C271),ISNUMBER(D271),C271&gt;=0,D271&gt;0),C271-D271,"n.a.")</x:f>
        <x:v>-69.75832795698926</x:v>
      </x:c>
      <x:c r="F271" s="12" t="n">
        <x:f>IF(ISNUMBER(E271),E271/D271,"n.a.")</x:f>
        <x:v>-0.3975015429741508</x:v>
      </x:c>
      <x:c r="G271" s="2" t="n">
        <x:f>IF(ISNUMBER(F271),IF(AND(ABS(F271)+0.00000000001&gt;=$B$6,ABS(E271)+0.000000001&gt;=$D$6),1,0),"n.a.")</x:f>
        <x:v>1</x:v>
      </x:c>
      <x:c r="H271" s="2" t="n">
        <x:f>IF(ISNUMBER(E271),SIGN(E271),"n.a.")</x:f>
        <x:v>-1</x:v>
      </x:c>
      <x:c r="I271" s="2" t="n">
        <x:f>IF(NOT(ISNUMBER(G271)),"n.a.",IF(G271=0,0,IF(AND(B271=B257,A271=EDATE(A257,1),H271=H257,ISNUMBER(I257)),I257+1,1)))</x:f>
        <x:v>5</x:v>
      </x:c>
      <x:c r="J271" s="2" t="n">
        <x:f>IF(ISNUMBER(F271),IF(AND(ABS(F271)+0.00000000001&gt;=$B$7,ABS(E271)+0.000000001&gt;=$D$7),1,0),"n.a.")</x:f>
        <x:v>1</x:v>
      </x:c>
      <x:c r="K271" s="2" t="str">
        <x:f>IF(NOT(ISNUMBER(F271)),"No evaluable",IF(OR(J271=1,I271&gt;=$B$8),"Prioridad",IF(G271=1,"Observar","Sin umbral")))</x:f>
        <x:v>Prioridad</x:v>
      </x:c>
      <x:c r="L271" s="2" t="str">
        <x:f>IF(K271="No evaluable","Faltan datos",IF(J271=1,"Magnitud",IF(I271&gt;=$B$8,"Persistencia",IF(G271=1,"Cambio del mes","Sin umbral"))))</x:f>
        <x:v>Magnitud</x:v>
      </x:c>
      <x:c r="M271" s="2" t="n">
        <x:f>ROW()-40</x:f>
        <x:v>231</x:v>
      </x:c>
    </x:row>
    <x:row r="272" ht="48" customHeight="1">
      <x:c r="A272" s="4" t="n">
        <x:v>45413</x:v>
      </x:c>
      <x:c r="B272" s="32" t="str">
        <x:v>Madera y papel</x:v>
      </x:c>
      <x:c r="C272" s="10" t="n">
        <x:f>IF(ISNUMBER('Actividades'!F409),'Actividades'!F409,"n.a.")</x:f>
        <x:v>92.04283064516129</x:v>
      </x:c>
      <x:c r="D272" s="10" t="n">
        <x:f>IF(ISNUMBER('Actividades'!G409),'Actividades'!G409,"n.a.")</x:f>
        <x:v>108.79648387096775</x:v>
      </x:c>
      <x:c r="E272" s="10" t="n">
        <x:f>IF(AND(ISNUMBER(C272),ISNUMBER(D272),C272&gt;=0,D272&gt;0),C272-D272,"n.a.")</x:f>
        <x:v>-16.75365322580646</x:v>
      </x:c>
      <x:c r="F272" s="12" t="n">
        <x:f>IF(ISNUMBER(E272),E272/D272,"n.a.")</x:f>
        <x:v>-0.1539907599006254</x:v>
      </x:c>
      <x:c r="G272" s="2" t="n">
        <x:f>IF(ISNUMBER(F272),IF(AND(ABS(F272)+0.00000000001&gt;=$B$6,ABS(E272)+0.000000001&gt;=$D$6),1,0),"n.a.")</x:f>
        <x:v>1</x:v>
      </x:c>
      <x:c r="H272" s="2" t="n">
        <x:f>IF(ISNUMBER(E272),SIGN(E272),"n.a.")</x:f>
        <x:v>-1</x:v>
      </x:c>
      <x:c r="I272" s="2" t="n">
        <x:f>IF(NOT(ISNUMBER(G272)),"n.a.",IF(G272=0,0,IF(AND(B272=B258,A272=EDATE(A258,1),H272=H258,ISNUMBER(I258)),I258+1,1)))</x:f>
        <x:v>1</x:v>
      </x:c>
      <x:c r="J272" s="2" t="n">
        <x:f>IF(ISNUMBER(F272),IF(AND(ABS(F272)+0.00000000001&gt;=$B$7,ABS(E272)+0.000000001&gt;=$D$7),1,0),"n.a.")</x:f>
        <x:v>0</x:v>
      </x:c>
      <x:c r="K272" s="2" t="str">
        <x:f>IF(NOT(ISNUMBER(F272)),"No evaluable",IF(OR(J272=1,I272&gt;=$B$8),"Prioridad",IF(G272=1,"Observar","Sin umbral")))</x:f>
        <x:v>Observar</x:v>
      </x:c>
      <x:c r="L272" s="2" t="str">
        <x:f>IF(K272="No evaluable","Faltan datos",IF(J272=1,"Magnitud",IF(I272&gt;=$B$8,"Persistencia",IF(G272=1,"Cambio del mes","Sin umbral"))))</x:f>
        <x:v>Cambio del mes</x:v>
      </x:c>
      <x:c r="M272" s="2" t="n">
        <x:f>ROW()-40</x:f>
        <x:v>232</x:v>
      </x:c>
    </x:row>
    <x:row r="273" ht="48" customHeight="1">
      <x:c r="A273" s="4" t="n">
        <x:v>45413</x:v>
      </x:c>
      <x:c r="B273" s="32" t="str">
        <x:v>Productos metálicos no automotores</x:v>
      </x:c>
      <x:c r="C273" s="10" t="n">
        <x:f>IF(ISNUMBER('Actividades'!F410),'Actividades'!F410,"n.a.")</x:f>
        <x:v>37.319522849462366</x:v>
      </x:c>
      <x:c r="D273" s="10" t="n">
        <x:f>IF(ISNUMBER('Actividades'!G410),'Actividades'!G410,"n.a.")</x:f>
        <x:v>47.84571370967742</x:v>
      </x:c>
      <x:c r="E273" s="10" t="n">
        <x:f>IF(AND(ISNUMBER(C273),ISNUMBER(D273),C273&gt;=0,D273&gt;0),C273-D273,"n.a.")</x:f>
        <x:v>-10.526190860215053</x:v>
      </x:c>
      <x:c r="F273" s="12" t="n">
        <x:f>IF(ISNUMBER(E273),E273/D273,"n.a.")</x:f>
        <x:v>-0.22000279741016787</x:v>
      </x:c>
      <x:c r="G273" s="2" t="n">
        <x:f>IF(ISNUMBER(F273),IF(AND(ABS(F273)+0.00000000001&gt;=$B$6,ABS(E273)+0.000000001&gt;=$D$6),1,0),"n.a.")</x:f>
        <x:v>1</x:v>
      </x:c>
      <x:c r="H273" s="2" t="n">
        <x:f>IF(ISNUMBER(E273),SIGN(E273),"n.a.")</x:f>
        <x:v>-1</x:v>
      </x:c>
      <x:c r="I273" s="2" t="n">
        <x:f>IF(NOT(ISNUMBER(G273)),"n.a.",IF(G273=0,0,IF(AND(B273=B259,A273=EDATE(A259,1),H273=H259,ISNUMBER(I259)),I259+1,1)))</x:f>
        <x:v>3</x:v>
      </x:c>
      <x:c r="J273" s="2" t="n">
        <x:f>IF(ISNUMBER(F273),IF(AND(ABS(F273)+0.00000000001&gt;=$B$7,ABS(E273)+0.000000001&gt;=$D$7),1,0),"n.a.")</x:f>
        <x:v>1</x:v>
      </x:c>
      <x:c r="K273" s="2" t="str">
        <x:f>IF(NOT(ISNUMBER(F273)),"No evaluable",IF(OR(J273=1,I273&gt;=$B$8),"Prioridad",IF(G273=1,"Observar","Sin umbral")))</x:f>
        <x:v>Prioridad</x:v>
      </x:c>
      <x:c r="L273" s="2" t="str">
        <x:f>IF(K273="No evaluable","Faltan datos",IF(J273=1,"Magnitud",IF(I273&gt;=$B$8,"Persistencia",IF(G273=1,"Cambio del mes","Sin umbral"))))</x:f>
        <x:v>Magnitud</x:v>
      </x:c>
      <x:c r="M273" s="2" t="n">
        <x:f>ROW()-40</x:f>
        <x:v>233</x:v>
      </x:c>
    </x:row>
    <x:row r="274" ht="48" customHeight="1">
      <x:c r="A274" s="4" t="n">
        <x:v>45413</x:v>
      </x:c>
      <x:c r="B274" s="32" t="str">
        <x:v>Gran siderurgia</x:v>
      </x:c>
      <x:c r="C274" s="10" t="n">
        <x:f>IF(ISNUMBER('Actividades'!F411),'Actividades'!F411,"n.a.")</x:f>
        <x:v>273.3228051075269</x:v>
      </x:c>
      <x:c r="D274" s="10" t="n">
        <x:f>IF(ISNUMBER('Actividades'!G411),'Actividades'!G411,"n.a.")</x:f>
        <x:v>357.60996505376346</x:v>
      </x:c>
      <x:c r="E274" s="10" t="n">
        <x:f>IF(AND(ISNUMBER(C274),ISNUMBER(D274),C274&gt;=0,D274&gt;0),C274-D274,"n.a.")</x:f>
        <x:v>-84.28715994623656</x:v>
      </x:c>
      <x:c r="F274" s="12" t="n">
        <x:f>IF(ISNUMBER(E274),E274/D274,"n.a.")</x:f>
        <x:v>-0.23569578083084103</x:v>
      </x:c>
      <x:c r="G274" s="2" t="n">
        <x:f>IF(ISNUMBER(F274),IF(AND(ABS(F274)+0.00000000001&gt;=$B$6,ABS(E274)+0.000000001&gt;=$D$6),1,0),"n.a.")</x:f>
        <x:v>1</x:v>
      </x:c>
      <x:c r="H274" s="2" t="n">
        <x:f>IF(ISNUMBER(E274),SIGN(E274),"n.a.")</x:f>
        <x:v>-1</x:v>
      </x:c>
      <x:c r="I274" s="2" t="n">
        <x:f>IF(NOT(ISNUMBER(G274)),"n.a.",IF(G274=0,0,IF(AND(B274=B260,A274=EDATE(A260,1),H274=H260,ISNUMBER(I260)),I260+1,1)))</x:f>
        <x:v>4</x:v>
      </x:c>
      <x:c r="J274" s="2" t="n">
        <x:f>IF(ISNUMBER(F274),IF(AND(ABS(F274)+0.00000000001&gt;=$B$7,ABS(E274)+0.000000001&gt;=$D$7),1,0),"n.a.")</x:f>
        <x:v>1</x:v>
      </x:c>
      <x:c r="K274" s="2" t="str">
        <x:f>IF(NOT(ISNUMBER(F274)),"No evaluable",IF(OR(J274=1,I274&gt;=$B$8),"Prioridad",IF(G274=1,"Observar","Sin umbral")))</x:f>
        <x:v>Prioridad</x:v>
      </x:c>
      <x:c r="L274" s="2" t="str">
        <x:f>IF(K274="No evaluable","Faltan datos",IF(J274=1,"Magnitud",IF(I274&gt;=$B$8,"Persistencia",IF(G274=1,"Cambio del mes","Sin umbral"))))</x:f>
        <x:v>Magnitud</x:v>
      </x:c>
      <x:c r="M274" s="2" t="n">
        <x:f>ROW()-40</x:f>
        <x:v>234</x:v>
      </x:c>
    </x:row>
    <x:row r="275" ht="48" customHeight="1">
      <x:c r="A275" s="4" t="n">
        <x:v>45413</x:v>
      </x:c>
      <x:c r="B275" s="32" t="str">
        <x:v>Industria textil</x:v>
      </x:c>
      <x:c r="C275" s="10" t="n">
        <x:f>IF(ISNUMBER('Actividades'!F412),'Actividades'!F412,"n.a.")</x:f>
        <x:v>50.00282392473118</x:v>
      </x:c>
      <x:c r="D275" s="10" t="n">
        <x:f>IF(ISNUMBER('Actividades'!G412),'Actividades'!G412,"n.a.")</x:f>
        <x:v>60.61020833333333</x:v>
      </x:c>
      <x:c r="E275" s="10" t="n">
        <x:f>IF(AND(ISNUMBER(C275),ISNUMBER(D275),C275&gt;=0,D275&gt;0),C275-D275,"n.a.")</x:f>
        <x:v>-10.607384408602151</x:v>
      </x:c>
      <x:c r="F275" s="12" t="n">
        <x:f>IF(ISNUMBER(E275),E275/D275,"n.a.")</x:f>
        <x:v>-0.17500986550426503</x:v>
      </x:c>
      <x:c r="G275" s="2" t="n">
        <x:f>IF(ISNUMBER(F275),IF(AND(ABS(F275)+0.00000000001&gt;=$B$6,ABS(E275)+0.000000001&gt;=$D$6),1,0),"n.a.")</x:f>
        <x:v>1</x:v>
      </x:c>
      <x:c r="H275" s="2" t="n">
        <x:f>IF(ISNUMBER(E275),SIGN(E275),"n.a.")</x:f>
        <x:v>-1</x:v>
      </x:c>
      <x:c r="I275" s="2" t="n">
        <x:f>IF(NOT(ISNUMBER(G275)),"n.a.",IF(G275=0,0,IF(AND(B275=B261,A275=EDATE(A261,1),H275=H261,ISNUMBER(I261)),I261+1,1)))</x:f>
        <x:v>3</x:v>
      </x:c>
      <x:c r="J275" s="2" t="n">
        <x:f>IF(ISNUMBER(F275),IF(AND(ABS(F275)+0.00000000001&gt;=$B$7,ABS(E275)+0.000000001&gt;=$D$7),1,0),"n.a.")</x:f>
        <x:v>0</x:v>
      </x:c>
      <x:c r="K275" s="2" t="str">
        <x:f>IF(NOT(ISNUMBER(F275)),"No evaluable",IF(OR(J275=1,I275&gt;=$B$8),"Prioridad",IF(G275=1,"Observar","Sin umbral")))</x:f>
        <x:v>Prioridad</x:v>
      </x:c>
      <x:c r="L275" s="2" t="str">
        <x:f>IF(K275="No evaluable","Faltan datos",IF(J275=1,"Magnitud",IF(I275&gt;=$B$8,"Persistencia",IF(G275=1,"Cambio del mes","Sin umbral"))))</x:f>
        <x:v>Persistencia</x:v>
      </x:c>
      <x:c r="M275" s="2" t="n">
        <x:f>ROW()-40</x:f>
        <x:v>235</x:v>
      </x:c>
    </x:row>
    <x:row r="276" ht="48" customHeight="1">
      <x:c r="A276" s="4" t="n">
        <x:v>45413</x:v>
      </x:c>
      <x:c r="B276" s="32" t="str">
        <x:v>Químicas, caucho, plástico y otros minerales no metálicos</x:v>
      </x:c>
      <x:c r="C276" s="10" t="n">
        <x:f>IF(ISNUMBER('Actividades'!F413),'Actividades'!F413,"n.a.")</x:f>
        <x:v>345.5366155913979</x:v>
      </x:c>
      <x:c r="D276" s="10" t="n">
        <x:f>IF(ISNUMBER('Actividades'!G413),'Actividades'!G413,"n.a.")</x:f>
        <x:v>328.57641397849466</x:v>
      </x:c>
      <x:c r="E276" s="10" t="n">
        <x:f>IF(AND(ISNUMBER(C276),ISNUMBER(D276),C276&gt;=0,D276&gt;0),C276-D276,"n.a.")</x:f>
        <x:v>16.960201612903234</x:v>
      </x:c>
      <x:c r="F276" s="12" t="n">
        <x:f>IF(ISNUMBER(E276),E276/D276,"n.a.")</x:f>
        <x:v>0.05161722172186492</x:v>
      </x:c>
      <x:c r="G276" s="2" t="n">
        <x:f>IF(ISNUMBER(F276),IF(AND(ABS(F276)+0.00000000001&gt;=$B$6,ABS(E276)+0.000000001&gt;=$D$6),1,0),"n.a.")</x:f>
        <x:v>0</x:v>
      </x:c>
      <x:c r="H276" s="2" t="n">
        <x:f>IF(ISNUMBER(E276),SIGN(E276),"n.a.")</x:f>
        <x:v>1</x:v>
      </x:c>
      <x:c r="I276" s="2" t="n">
        <x:f>IF(NOT(ISNUMBER(G276)),"n.a.",IF(G276=0,0,IF(AND(B276=B262,A276=EDATE(A262,1),H276=H262,ISNUMBER(I262)),I262+1,1)))</x:f>
        <x:v>0</x:v>
      </x:c>
      <x:c r="J276" s="2" t="n">
        <x:f>IF(ISNUMBER(F276),IF(AND(ABS(F276)+0.00000000001&gt;=$B$7,ABS(E276)+0.000000001&gt;=$D$7),1,0),"n.a.")</x:f>
        <x:v>0</x:v>
      </x:c>
      <x:c r="K276" s="2" t="str">
        <x:f>IF(NOT(ISNUMBER(F276)),"No evaluable",IF(OR(J276=1,I276&gt;=$B$8),"Prioridad",IF(G276=1,"Observar","Sin umbral")))</x:f>
        <x:v>Sin umbral</x:v>
      </x:c>
      <x:c r="L276" s="2" t="str">
        <x:f>IF(K276="No evaluable","Faltan datos",IF(J276=1,"Magnitud",IF(I276&gt;=$B$8,"Persistencia",IF(G276=1,"Cambio del mes","Sin umbral"))))</x:f>
        <x:v>Sin umbral</x:v>
      </x:c>
      <x:c r="M276" s="2" t="n">
        <x:f>ROW()-40</x:f>
        <x:v>236</x:v>
      </x:c>
    </x:row>
    <x:row r="277" ht="48" customHeight="1">
      <x:c r="A277" s="4" t="n">
        <x:v>45413</x:v>
      </x:c>
      <x:c r="B277" s="32" t="str">
        <x:v>Extracción de minerales</x:v>
      </x:c>
      <x:c r="C277" s="10" t="n">
        <x:f>IF(ISNUMBER('Actividades'!F414),'Actividades'!F414,"n.a.")</x:f>
        <x:v>23.108010752688173</x:v>
      </x:c>
      <x:c r="D277" s="10" t="n">
        <x:f>IF(ISNUMBER('Actividades'!G414),'Actividades'!G414,"n.a.")</x:f>
        <x:v>20.764936827956987</x:v>
      </x:c>
      <x:c r="E277" s="10" t="n">
        <x:f>IF(AND(ISNUMBER(C277),ISNUMBER(D277),C277&gt;=0,D277&gt;0),C277-D277,"n.a.")</x:f>
        <x:v>2.3430739247311863</x:v>
      </x:c>
      <x:c r="F277" s="12" t="n">
        <x:f>IF(ISNUMBER(E277),E277/D277,"n.a.")</x:f>
        <x:v>0.11283799917833488</x:v>
      </x:c>
      <x:c r="G277" s="2" t="n">
        <x:f>IF(ISNUMBER(F277),IF(AND(ABS(F277)+0.00000000001&gt;=$B$6,ABS(E277)+0.000000001&gt;=$D$6),1,0),"n.a.")</x:f>
        <x:v>0</x:v>
      </x:c>
      <x:c r="H277" s="2" t="n">
        <x:f>IF(ISNUMBER(E277),SIGN(E277),"n.a.")</x:f>
        <x:v>1</x:v>
      </x:c>
      <x:c r="I277" s="2" t="n">
        <x:f>IF(NOT(ISNUMBER(G277)),"n.a.",IF(G277=0,0,IF(AND(B277=B263,A277=EDATE(A263,1),H277=H263,ISNUMBER(I263)),I263+1,1)))</x:f>
        <x:v>0</x:v>
      </x:c>
      <x:c r="J277" s="2" t="n">
        <x:f>IF(ISNUMBER(F277),IF(AND(ABS(F277)+0.00000000001&gt;=$B$7,ABS(E277)+0.000000001&gt;=$D$7),1,0),"n.a.")</x:f>
        <x:v>0</x:v>
      </x:c>
      <x:c r="K277" s="2" t="str">
        <x:f>IF(NOT(ISNUMBER(F277)),"No evaluable",IF(OR(J277=1,I277&gt;=$B$8),"Prioridad",IF(G277=1,"Observar","Sin umbral")))</x:f>
        <x:v>Sin umbral</x:v>
      </x:c>
      <x:c r="L277" s="2" t="str">
        <x:f>IF(K277="No evaluable","Faltan datos",IF(J277=1,"Magnitud",IF(I277&gt;=$B$8,"Persistencia",IF(G277=1,"Cambio del mes","Sin umbral"))))</x:f>
        <x:v>Sin umbral</x:v>
      </x:c>
      <x:c r="M277" s="2" t="n">
        <x:f>ROW()-40</x:f>
        <x:v>237</x:v>
      </x:c>
    </x:row>
    <x:row r="278" ht="48" customHeight="1">
      <x:c r="A278" s="4" t="n">
        <x:v>45413</x:v>
      </x:c>
      <x:c r="B278" s="32" t="str">
        <x:v>Extracción de petróleo</x:v>
      </x:c>
      <x:c r="C278" s="10" t="n">
        <x:f>IF(ISNUMBER('Actividades'!F415),'Actividades'!F415,"n.a.")</x:f>
        <x:v>148.03862903225806</x:v>
      </x:c>
      <x:c r="D278" s="10" t="n">
        <x:f>IF(ISNUMBER('Actividades'!G415),'Actividades'!G415,"n.a.")</x:f>
        <x:v>168.01221236559138</x:v>
      </x:c>
      <x:c r="E278" s="10" t="n">
        <x:f>IF(AND(ISNUMBER(C278),ISNUMBER(D278),C278&gt;=0,D278&gt;0),C278-D278,"n.a.")</x:f>
        <x:v>-19.973583333333323</x:v>
      </x:c>
      <x:c r="F278" s="12" t="n">
        <x:f>IF(ISNUMBER(E278),E278/D278,"n.a.")</x:f>
        <x:v>-0.11888173515548492</x:v>
      </x:c>
      <x:c r="G278" s="2" t="n">
        <x:f>IF(ISNUMBER(F278),IF(AND(ABS(F278)+0.00000000001&gt;=$B$6,ABS(E278)+0.000000001&gt;=$D$6),1,0),"n.a.")</x:f>
        <x:v>1</x:v>
      </x:c>
      <x:c r="H278" s="2" t="n">
        <x:f>IF(ISNUMBER(E278),SIGN(E278),"n.a.")</x:f>
        <x:v>-1</x:v>
      </x:c>
      <x:c r="I278" s="2" t="n">
        <x:f>IF(NOT(ISNUMBER(G278)),"n.a.",IF(G278=0,0,IF(AND(B278=B264,A278=EDATE(A264,1),H278=H264,ISNUMBER(I264)),I264+1,1)))</x:f>
        <x:v>1</x:v>
      </x:c>
      <x:c r="J278" s="2" t="n">
        <x:f>IF(ISNUMBER(F278),IF(AND(ABS(F278)+0.00000000001&gt;=$B$7,ABS(E278)+0.000000001&gt;=$D$7),1,0),"n.a.")</x:f>
        <x:v>0</x:v>
      </x:c>
      <x:c r="K278" s="2" t="str">
        <x:f>IF(NOT(ISNUMBER(F278)),"No evaluable",IF(OR(J278=1,I278&gt;=$B$8),"Prioridad",IF(G278=1,"Observar","Sin umbral")))</x:f>
        <x:v>Observar</x:v>
      </x:c>
      <x:c r="L278" s="2" t="str">
        <x:f>IF(K278="No evaluable","Faltan datos",IF(J278=1,"Magnitud",IF(I278&gt;=$B$8,"Persistencia",IF(G278=1,"Cambio del mes","Sin umbral"))))</x:f>
        <x:v>Cambio del mes</x:v>
      </x:c>
      <x:c r="M278" s="2" t="n">
        <x:f>ROW()-40</x:f>
        <x:v>238</x:v>
      </x:c>
    </x:row>
    <x:row r="279" ht="48" customHeight="1">
      <x:c r="A279" s="4" t="n">
        <x:v>45444</x:v>
      </x:c>
      <x:c r="B279" s="32" t="str">
        <x:v>Cargas y puertos</x:v>
      </x:c>
      <x:c r="C279" s="10" t="n">
        <x:f>IF(ISNUMBER('Actividades'!F416),'Actividades'!F416,"n.a.")</x:f>
        <x:v>9.327354166666668</x:v>
      </x:c>
      <x:c r="D279" s="10" t="n">
        <x:f>IF(ISNUMBER('Actividades'!G416),'Actividades'!G416,"n.a.")</x:f>
        <x:v>6.961018055555556</x:v>
      </x:c>
      <x:c r="E279" s="10" t="n">
        <x:f>IF(AND(ISNUMBER(C279),ISNUMBER(D279),C279&gt;=0,D279&gt;0),C279-D279,"n.a.")</x:f>
        <x:v>2.366336111111112</x:v>
      </x:c>
      <x:c r="F279" s="12" t="n">
        <x:f>IF(ISNUMBER(E279),E279/D279,"n.a.")</x:f>
        <x:v>0.33994109657890487</x:v>
      </x:c>
      <x:c r="G279" s="2" t="n">
        <x:f>IF(ISNUMBER(F279),IF(AND(ABS(F279)+0.00000000001&gt;=$B$6,ABS(E279)+0.000000001&gt;=$D$6),1,0),"n.a.")</x:f>
        <x:v>0</x:v>
      </x:c>
      <x:c r="H279" s="2" t="n">
        <x:f>IF(ISNUMBER(E279),SIGN(E279),"n.a.")</x:f>
        <x:v>1</x:v>
      </x:c>
      <x:c r="I279" s="2" t="n">
        <x:f>IF(NOT(ISNUMBER(G279)),"n.a.",IF(G279=0,0,IF(AND(B279=B265,A279=EDATE(A265,1),H279=H265,ISNUMBER(I265)),I265+1,1)))</x:f>
        <x:v>0</x:v>
      </x:c>
      <x:c r="J279" s="2" t="n">
        <x:f>IF(ISNUMBER(F279),IF(AND(ABS(F279)+0.00000000001&gt;=$B$7,ABS(E279)+0.000000001&gt;=$D$7),1,0),"n.a.")</x:f>
        <x:v>0</x:v>
      </x:c>
      <x:c r="K279" s="2" t="str">
        <x:f>IF(NOT(ISNUMBER(F279)),"No evaluable",IF(OR(J279=1,I279&gt;=$B$8),"Prioridad",IF(G279=1,"Observar","Sin umbral")))</x:f>
        <x:v>Sin umbral</x:v>
      </x:c>
      <x:c r="L279" s="2" t="str">
        <x:f>IF(K279="No evaluable","Faltan datos",IF(J279=1,"Magnitud",IF(I279&gt;=$B$8,"Persistencia",IF(G279=1,"Cambio del mes","Sin umbral"))))</x:f>
        <x:v>Sin umbral</x:v>
      </x:c>
      <x:c r="M279" s="2" t="n">
        <x:f>ROW()-40</x:f>
        <x:v>239</x:v>
      </x:c>
    </x:row>
    <x:row r="280" ht="48" customHeight="1">
      <x:c r="A280" s="4" t="n">
        <x:v>45444</x:v>
      </x:c>
      <x:c r="B280" s="32" t="str">
        <x:v>Comercio y servicios: principalmente supermercados y centros comerciales</x:v>
      </x:c>
      <x:c r="C280" s="10" t="n">
        <x:f>IF(ISNUMBER('Actividades'!F417),'Actividades'!F417,"n.a.")</x:f>
        <x:v>29.116030555555554</x:v>
      </x:c>
      <x:c r="D280" s="10" t="n">
        <x:f>IF(ISNUMBER('Actividades'!G417),'Actividades'!G417,"n.a.")</x:f>
        <x:v>28.469118055555555</x:v>
      </x:c>
      <x:c r="E280" s="10" t="n">
        <x:f>IF(AND(ISNUMBER(C280),ISNUMBER(D280),C280&gt;=0,D280&gt;0),C280-D280,"n.a.")</x:f>
        <x:v>0.6469124999999991</x:v>
      </x:c>
      <x:c r="F280" s="12" t="n">
        <x:f>IF(ISNUMBER(E280),E280/D280,"n.a.")</x:f>
        <x:v>0.022723306662945905</x:v>
      </x:c>
      <x:c r="G280" s="2" t="n">
        <x:f>IF(ISNUMBER(F280),IF(AND(ABS(F280)+0.00000000001&gt;=$B$6,ABS(E280)+0.000000001&gt;=$D$6),1,0),"n.a.")</x:f>
        <x:v>0</x:v>
      </x:c>
      <x:c r="H280" s="2" t="n">
        <x:f>IF(ISNUMBER(E280),SIGN(E280),"n.a.")</x:f>
        <x:v>1</x:v>
      </x:c>
      <x:c r="I280" s="2" t="n">
        <x:f>IF(NOT(ISNUMBER(G280)),"n.a.",IF(G280=0,0,IF(AND(B280=B266,A280=EDATE(A266,1),H280=H266,ISNUMBER(I266)),I266+1,1)))</x:f>
        <x:v>0</x:v>
      </x:c>
      <x:c r="J280" s="2" t="n">
        <x:f>IF(ISNUMBER(F280),IF(AND(ABS(F280)+0.00000000001&gt;=$B$7,ABS(E280)+0.000000001&gt;=$D$7),1,0),"n.a.")</x:f>
        <x:v>0</x:v>
      </x:c>
      <x:c r="K280" s="2" t="str">
        <x:f>IF(NOT(ISNUMBER(F280)),"No evaluable",IF(OR(J280=1,I280&gt;=$B$8),"Prioridad",IF(G280=1,"Observar","Sin umbral")))</x:f>
        <x:v>Sin umbral</x:v>
      </x:c>
      <x:c r="L280" s="2" t="str">
        <x:f>IF(K280="No evaluable","Faltan datos",IF(J280=1,"Magnitud",IF(I280&gt;=$B$8,"Persistencia",IF(G280=1,"Cambio del mes","Sin umbral"))))</x:f>
        <x:v>Sin umbral</x:v>
      </x:c>
      <x:c r="M280" s="2" t="n">
        <x:f>ROW()-40</x:f>
        <x:v>240</x:v>
      </x:c>
    </x:row>
    <x:row r="281" ht="48" customHeight="1">
      <x:c r="A281" s="4" t="n">
        <x:v>45444</x:v>
      </x:c>
      <x:c r="B281" s="32" t="str">
        <x:v>Alimentación y artículos de consumo masivo</x:v>
      </x:c>
      <x:c r="C281" s="10" t="n">
        <x:f>IF(ISNUMBER('Actividades'!F418),'Actividades'!F418,"n.a.")</x:f>
        <x:v>265.35000694444443</x:v>
      </x:c>
      <x:c r="D281" s="10" t="n">
        <x:f>IF(ISNUMBER('Actividades'!G418),'Actividades'!G418,"n.a.")</x:f>
        <x:v>272.8942791666667</x:v>
      </x:c>
      <x:c r="E281" s="10" t="n">
        <x:f>IF(AND(ISNUMBER(C281),ISNUMBER(D281),C281&gt;=0,D281&gt;0),C281-D281,"n.a.")</x:f>
        <x:v>-7.544272222222276</x:v>
      </x:c>
      <x:c r="F281" s="12" t="n">
        <x:f>IF(ISNUMBER(E281),E281/D281,"n.a.")</x:f>
        <x:v>-0.027645402627200943</x:v>
      </x:c>
      <x:c r="G281" s="2" t="n">
        <x:f>IF(ISNUMBER(F281),IF(AND(ABS(F281)+0.00000000001&gt;=$B$6,ABS(E281)+0.000000001&gt;=$D$6),1,0),"n.a.")</x:f>
        <x:v>0</x:v>
      </x:c>
      <x:c r="H281" s="2" t="n">
        <x:f>IF(ISNUMBER(E281),SIGN(E281),"n.a.")</x:f>
        <x:v>-1</x:v>
      </x:c>
      <x:c r="I281" s="2" t="n">
        <x:f>IF(NOT(ISNUMBER(G281)),"n.a.",IF(G281=0,0,IF(AND(B281=B267,A281=EDATE(A267,1),H281=H267,ISNUMBER(I267)),I267+1,1)))</x:f>
        <x:v>0</x:v>
      </x:c>
      <x:c r="J281" s="2" t="n">
        <x:f>IF(ISNUMBER(F281),IF(AND(ABS(F281)+0.00000000001&gt;=$B$7,ABS(E281)+0.000000001&gt;=$D$7),1,0),"n.a.")</x:f>
        <x:v>0</x:v>
      </x:c>
      <x:c r="K281" s="2" t="str">
        <x:f>IF(NOT(ISNUMBER(F281)),"No evaluable",IF(OR(J281=1,I281&gt;=$B$8),"Prioridad",IF(G281=1,"Observar","Sin umbral")))</x:f>
        <x:v>Sin umbral</x:v>
      </x:c>
      <x:c r="L281" s="2" t="str">
        <x:f>IF(K281="No evaluable","Faltan datos",IF(J281=1,"Magnitud",IF(I281&gt;=$B$8,"Persistencia",IF(G281=1,"Cambio del mes","Sin umbral"))))</x:f>
        <x:v>Sin umbral</x:v>
      </x:c>
      <x:c r="M281" s="2" t="n">
        <x:f>ROW()-40</x:f>
        <x:v>241</x:v>
      </x:c>
    </x:row>
    <x:row r="282" ht="48" customHeight="1">
      <x:c r="A282" s="4" t="n">
        <x:v>45444</x:v>
      </x:c>
      <x:c r="B282" s="32" t="str">
        <x:v>Servicios públicos y transporte: agua y transporte en GBA</x:v>
      </x:c>
      <x:c r="C282" s="10" t="n">
        <x:f>IF(ISNUMBER('Actividades'!F419),'Actividades'!F419,"n.a.")</x:f>
        <x:v>85.11647500000001</x:v>
      </x:c>
      <x:c r="D282" s="10" t="n">
        <x:f>IF(ISNUMBER('Actividades'!G419),'Actividades'!G419,"n.a.")</x:f>
        <x:v>89.01271805555555</x:v>
      </x:c>
      <x:c r="E282" s="10" t="n">
        <x:f>IF(AND(ISNUMBER(C282),ISNUMBER(D282),C282&gt;=0,D282&gt;0),C282-D282,"n.a.")</x:f>
        <x:v>-3.8962430555555443</x:v>
      </x:c>
      <x:c r="F282" s="12" t="n">
        <x:f>IF(ISNUMBER(E282),E282/D282,"n.a.")</x:f>
        <x:v>-0.04377175689797249</x:v>
      </x:c>
      <x:c r="G282" s="2" t="n">
        <x:f>IF(ISNUMBER(F282),IF(AND(ABS(F282)+0.00000000001&gt;=$B$6,ABS(E282)+0.000000001&gt;=$D$6),1,0),"n.a.")</x:f>
        <x:v>0</x:v>
      </x:c>
      <x:c r="H282" s="2" t="n">
        <x:f>IF(ISNUMBER(E282),SIGN(E282),"n.a.")</x:f>
        <x:v>-1</x:v>
      </x:c>
      <x:c r="I282" s="2" t="n">
        <x:f>IF(NOT(ISNUMBER(G282)),"n.a.",IF(G282=0,0,IF(AND(B282=B268,A282=EDATE(A268,1),H282=H268,ISNUMBER(I268)),I268+1,1)))</x:f>
        <x:v>0</x:v>
      </x:c>
      <x:c r="J282" s="2" t="n">
        <x:f>IF(ISNUMBER(F282),IF(AND(ABS(F282)+0.00000000001&gt;=$B$7,ABS(E282)+0.000000001&gt;=$D$7),1,0),"n.a.")</x:f>
        <x:v>0</x:v>
      </x:c>
      <x:c r="K282" s="2" t="str">
        <x:f>IF(NOT(ISNUMBER(F282)),"No evaluable",IF(OR(J282=1,I282&gt;=$B$8),"Prioridad",IF(G282=1,"Observar","Sin umbral")))</x:f>
        <x:v>Sin umbral</x:v>
      </x:c>
      <x:c r="L282" s="2" t="str">
        <x:f>IF(K282="No evaluable","Faltan datos",IF(J282=1,"Magnitud",IF(I282&gt;=$B$8,"Persistencia",IF(G282=1,"Cambio del mes","Sin umbral"))))</x:f>
        <x:v>Sin umbral</x:v>
      </x:c>
      <x:c r="M282" s="2" t="n">
        <x:f>ROW()-40</x:f>
        <x:v>242</x:v>
      </x:c>
    </x:row>
    <x:row r="283" ht="48" customHeight="1">
      <x:c r="A283" s="4" t="n">
        <x:v>45444</x:v>
      </x:c>
      <x:c r="B283" s="32" t="str">
        <x:v>Industria automotriz</x:v>
      </x:c>
      <x:c r="C283" s="10" t="n">
        <x:f>IF(ISNUMBER('Actividades'!F420),'Actividades'!F420,"n.a.")</x:f>
        <x:v>36.91479861111111</x:v>
      </x:c>
      <x:c r="D283" s="10" t="n">
        <x:f>IF(ISNUMBER('Actividades'!G420),'Actividades'!G420,"n.a.")</x:f>
        <x:v>38.96101388888889</x:v>
      </x:c>
      <x:c r="E283" s="10" t="n">
        <x:f>IF(AND(ISNUMBER(C283),ISNUMBER(D283),C283&gt;=0,D283&gt;0),C283-D283,"n.a.")</x:f>
        <x:v>-2.046215277777783</x:v>
      </x:c>
      <x:c r="F283" s="12" t="n">
        <x:f>IF(ISNUMBER(E283),E283/D283,"n.a.")</x:f>
        <x:v>-0.05251955926027206</x:v>
      </x:c>
      <x:c r="G283" s="2" t="n">
        <x:f>IF(ISNUMBER(F283),IF(AND(ABS(F283)+0.00000000001&gt;=$B$6,ABS(E283)+0.000000001&gt;=$D$6),1,0),"n.a.")</x:f>
        <x:v>0</x:v>
      </x:c>
      <x:c r="H283" s="2" t="n">
        <x:f>IF(ISNUMBER(E283),SIGN(E283),"n.a.")</x:f>
        <x:v>-1</x:v>
      </x:c>
      <x:c r="I283" s="2" t="n">
        <x:f>IF(NOT(ISNUMBER(G283)),"n.a.",IF(G283=0,0,IF(AND(B283=B269,A283=EDATE(A269,1),H283=H269,ISNUMBER(I269)),I269+1,1)))</x:f>
        <x:v>0</x:v>
      </x:c>
      <x:c r="J283" s="2" t="n">
        <x:f>IF(ISNUMBER(F283),IF(AND(ABS(F283)+0.00000000001&gt;=$B$7,ABS(E283)+0.000000001&gt;=$D$7),1,0),"n.a.")</x:f>
        <x:v>0</x:v>
      </x:c>
      <x:c r="K283" s="2" t="str">
        <x:f>IF(NOT(ISNUMBER(F283)),"No evaluable",IF(OR(J283=1,I283&gt;=$B$8),"Prioridad",IF(G283=1,"Observar","Sin umbral")))</x:f>
        <x:v>Sin umbral</x:v>
      </x:c>
      <x:c r="L283" s="2" t="str">
        <x:f>IF(K283="No evaluable","Faltan datos",IF(J283=1,"Magnitud",IF(I283&gt;=$B$8,"Persistencia",IF(G283=1,"Cambio del mes","Sin umbral"))))</x:f>
        <x:v>Sin umbral</x:v>
      </x:c>
      <x:c r="M283" s="2" t="n">
        <x:f>ROW()-40</x:f>
        <x:v>243</x:v>
      </x:c>
    </x:row>
    <x:row r="284" ht="48" customHeight="1">
      <x:c r="A284" s="4" t="n">
        <x:v>45444</x:v>
      </x:c>
      <x:c r="B284" s="32" t="str">
        <x:v>Derivados de petróleo</x:v>
      </x:c>
      <x:c r="C284" s="10" t="n">
        <x:f>IF(ISNUMBER('Actividades'!F421),'Actividades'!F421,"n.a.")</x:f>
        <x:v>148.24127638888888</x:v>
      </x:c>
      <x:c r="D284" s="10" t="n">
        <x:f>IF(ISNUMBER('Actividades'!G421),'Actividades'!G421,"n.a.")</x:f>
        <x:v>153.00893750000003</x:v>
      </x:c>
      <x:c r="E284" s="10" t="n">
        <x:f>IF(AND(ISNUMBER(C284),ISNUMBER(D284),C284&gt;=0,D284&gt;0),C284-D284,"n.a.")</x:f>
        <x:v>-4.767661111111153</x:v>
      </x:c>
      <x:c r="F284" s="12" t="n">
        <x:f>IF(ISNUMBER(E284),E284/D284,"n.a.")</x:f>
        <x:v>-0.031159363557512133</x:v>
      </x:c>
      <x:c r="G284" s="2" t="n">
        <x:f>IF(ISNUMBER(F284),IF(AND(ABS(F284)+0.00000000001&gt;=$B$6,ABS(E284)+0.000000001&gt;=$D$6),1,0),"n.a.")</x:f>
        <x:v>0</x:v>
      </x:c>
      <x:c r="H284" s="2" t="n">
        <x:f>IF(ISNUMBER(E284),SIGN(E284),"n.a.")</x:f>
        <x:v>-1</x:v>
      </x:c>
      <x:c r="I284" s="2" t="n">
        <x:f>IF(NOT(ISNUMBER(G284)),"n.a.",IF(G284=0,0,IF(AND(B284=B270,A284=EDATE(A270,1),H284=H270,ISNUMBER(I270)),I270+1,1)))</x:f>
        <x:v>0</x:v>
      </x:c>
      <x:c r="J284" s="2" t="n">
        <x:f>IF(ISNUMBER(F284),IF(AND(ABS(F284)+0.00000000001&gt;=$B$7,ABS(E284)+0.000000001&gt;=$D$7),1,0),"n.a.")</x:f>
        <x:v>0</x:v>
      </x:c>
      <x:c r="K284" s="2" t="str">
        <x:f>IF(NOT(ISNUMBER(F284)),"No evaluable",IF(OR(J284=1,I284&gt;=$B$8),"Prioridad",IF(G284=1,"Observar","Sin umbral")))</x:f>
        <x:v>Sin umbral</x:v>
      </x:c>
      <x:c r="L284" s="2" t="str">
        <x:f>IF(K284="No evaluable","Faltan datos",IF(J284=1,"Magnitud",IF(I284&gt;=$B$8,"Persistencia",IF(G284=1,"Cambio del mes","Sin umbral"))))</x:f>
        <x:v>Sin umbral</x:v>
      </x:c>
      <x:c r="M284" s="2" t="n">
        <x:f>ROW()-40</x:f>
        <x:v>244</x:v>
      </x:c>
    </x:row>
    <x:row r="285" ht="48" customHeight="1">
      <x:c r="A285" s="4" t="n">
        <x:v>45444</x:v>
      </x:c>
      <x:c r="B285" s="32" t="str">
        <x:v>Construcción: elaboración de cemento y canteras</x:v>
      </x:c>
      <x:c r="C285" s="10" t="n">
        <x:f>IF(ISNUMBER('Actividades'!F422),'Actividades'!F422,"n.a.")</x:f>
        <x:v>98.02053055555555</x:v>
      </x:c>
      <x:c r="D285" s="10" t="n">
        <x:f>IF(ISNUMBER('Actividades'!G422),'Actividades'!G422,"n.a.")</x:f>
        <x:v>162.46503194444446</x:v>
      </x:c>
      <x:c r="E285" s="10" t="n">
        <x:f>IF(AND(ISNUMBER(C285),ISNUMBER(D285),C285&gt;=0,D285&gt;0),C285-D285,"n.a.")</x:f>
        <x:v>-64.44450138888891</x:v>
      </x:c>
      <x:c r="F285" s="12" t="n">
        <x:f>IF(ISNUMBER(E285),E285/D285,"n.a.")</x:f>
        <x:v>-0.3966669049800572</x:v>
      </x:c>
      <x:c r="G285" s="2" t="n">
        <x:f>IF(ISNUMBER(F285),IF(AND(ABS(F285)+0.00000000001&gt;=$B$6,ABS(E285)+0.000000001&gt;=$D$6),1,0),"n.a.")</x:f>
        <x:v>1</x:v>
      </x:c>
      <x:c r="H285" s="2" t="n">
        <x:f>IF(ISNUMBER(E285),SIGN(E285),"n.a.")</x:f>
        <x:v>-1</x:v>
      </x:c>
      <x:c r="I285" s="2" t="n">
        <x:f>IF(NOT(ISNUMBER(G285)),"n.a.",IF(G285=0,0,IF(AND(B285=B271,A285=EDATE(A271,1),H285=H271,ISNUMBER(I271)),I271+1,1)))</x:f>
        <x:v>6</x:v>
      </x:c>
      <x:c r="J285" s="2" t="n">
        <x:f>IF(ISNUMBER(F285),IF(AND(ABS(F285)+0.00000000001&gt;=$B$7,ABS(E285)+0.000000001&gt;=$D$7),1,0),"n.a.")</x:f>
        <x:v>1</x:v>
      </x:c>
      <x:c r="K285" s="2" t="str">
        <x:f>IF(NOT(ISNUMBER(F285)),"No evaluable",IF(OR(J285=1,I285&gt;=$B$8),"Prioridad",IF(G285=1,"Observar","Sin umbral")))</x:f>
        <x:v>Prioridad</x:v>
      </x:c>
      <x:c r="L285" s="2" t="str">
        <x:f>IF(K285="No evaluable","Faltan datos",IF(J285=1,"Magnitud",IF(I285&gt;=$B$8,"Persistencia",IF(G285=1,"Cambio del mes","Sin umbral"))))</x:f>
        <x:v>Magnitud</x:v>
      </x:c>
      <x:c r="M285" s="2" t="n">
        <x:f>ROW()-40</x:f>
        <x:v>245</x:v>
      </x:c>
    </x:row>
    <x:row r="286" ht="48" customHeight="1">
      <x:c r="A286" s="4" t="n">
        <x:v>45444</x:v>
      </x:c>
      <x:c r="B286" s="32" t="str">
        <x:v>Madera y papel</x:v>
      </x:c>
      <x:c r="C286" s="10" t="n">
        <x:f>IF(ISNUMBER('Actividades'!F423),'Actividades'!F423,"n.a.")</x:f>
        <x:v>86.17488333333334</x:v>
      </x:c>
      <x:c r="D286" s="10" t="n">
        <x:f>IF(ISNUMBER('Actividades'!G423),'Actividades'!G423,"n.a.")</x:f>
        <x:v>109.91046388888888</x:v>
      </x:c>
      <x:c r="E286" s="10" t="n">
        <x:f>IF(AND(ISNUMBER(C286),ISNUMBER(D286),C286&gt;=0,D286&gt;0),C286-D286,"n.a.")</x:f>
        <x:v>-23.735580555555543</x:v>
      </x:c>
      <x:c r="F286" s="12" t="n">
        <x:f>IF(ISNUMBER(E286),E286/D286,"n.a.")</x:f>
        <x:v>-0.21595378379578498</x:v>
      </x:c>
      <x:c r="G286" s="2" t="n">
        <x:f>IF(ISNUMBER(F286),IF(AND(ABS(F286)+0.00000000001&gt;=$B$6,ABS(E286)+0.000000001&gt;=$D$6),1,0),"n.a.")</x:f>
        <x:v>1</x:v>
      </x:c>
      <x:c r="H286" s="2" t="n">
        <x:f>IF(ISNUMBER(E286),SIGN(E286),"n.a.")</x:f>
        <x:v>-1</x:v>
      </x:c>
      <x:c r="I286" s="2" t="n">
        <x:f>IF(NOT(ISNUMBER(G286)),"n.a.",IF(G286=0,0,IF(AND(B286=B272,A286=EDATE(A272,1),H286=H272,ISNUMBER(I272)),I272+1,1)))</x:f>
        <x:v>2</x:v>
      </x:c>
      <x:c r="J286" s="2" t="n">
        <x:f>IF(ISNUMBER(F286),IF(AND(ABS(F286)+0.00000000001&gt;=$B$7,ABS(E286)+0.000000001&gt;=$D$7),1,0),"n.a.")</x:f>
        <x:v>1</x:v>
      </x:c>
      <x:c r="K286" s="2" t="str">
        <x:f>IF(NOT(ISNUMBER(F286)),"No evaluable",IF(OR(J286=1,I286&gt;=$B$8),"Prioridad",IF(G286=1,"Observar","Sin umbral")))</x:f>
        <x:v>Prioridad</x:v>
      </x:c>
      <x:c r="L286" s="2" t="str">
        <x:f>IF(K286="No evaluable","Faltan datos",IF(J286=1,"Magnitud",IF(I286&gt;=$B$8,"Persistencia",IF(G286=1,"Cambio del mes","Sin umbral"))))</x:f>
        <x:v>Magnitud</x:v>
      </x:c>
      <x:c r="M286" s="2" t="n">
        <x:f>ROW()-40</x:f>
        <x:v>246</x:v>
      </x:c>
    </x:row>
    <x:row r="287" ht="48" customHeight="1">
      <x:c r="A287" s="4" t="n">
        <x:v>45444</x:v>
      </x:c>
      <x:c r="B287" s="32" t="str">
        <x:v>Productos metálicos no automotores</x:v>
      </x:c>
      <x:c r="C287" s="10" t="n">
        <x:f>IF(ISNUMBER('Actividades'!F424),'Actividades'!F424,"n.a.")</x:f>
        <x:v>37.63717777777777</x:v>
      </x:c>
      <x:c r="D287" s="10" t="n">
        <x:f>IF(ISNUMBER('Actividades'!G424),'Actividades'!G424,"n.a.")</x:f>
        <x:v>51.01157777777778</x:v>
      </x:c>
      <x:c r="E287" s="10" t="n">
        <x:f>IF(AND(ISNUMBER(C287),ISNUMBER(D287),C287&gt;=0,D287&gt;0),C287-D287,"n.a.")</x:f>
        <x:v>-13.374400000000009</x:v>
      </x:c>
      <x:c r="F287" s="12" t="n">
        <x:f>IF(ISNUMBER(E287),E287/D287,"n.a.")</x:f>
        <x:v>-0.26218361757526953</x:v>
      </x:c>
      <x:c r="G287" s="2" t="n">
        <x:f>IF(ISNUMBER(F287),IF(AND(ABS(F287)+0.00000000001&gt;=$B$6,ABS(E287)+0.000000001&gt;=$D$6),1,0),"n.a.")</x:f>
        <x:v>1</x:v>
      </x:c>
      <x:c r="H287" s="2" t="n">
        <x:f>IF(ISNUMBER(E287),SIGN(E287),"n.a.")</x:f>
        <x:v>-1</x:v>
      </x:c>
      <x:c r="I287" s="2" t="n">
        <x:f>IF(NOT(ISNUMBER(G287)),"n.a.",IF(G287=0,0,IF(AND(B287=B273,A287=EDATE(A273,1),H287=H273,ISNUMBER(I273)),I273+1,1)))</x:f>
        <x:v>4</x:v>
      </x:c>
      <x:c r="J287" s="2" t="n">
        <x:f>IF(ISNUMBER(F287),IF(AND(ABS(F287)+0.00000000001&gt;=$B$7,ABS(E287)+0.000000001&gt;=$D$7),1,0),"n.a.")</x:f>
        <x:v>1</x:v>
      </x:c>
      <x:c r="K287" s="2" t="str">
        <x:f>IF(NOT(ISNUMBER(F287)),"No evaluable",IF(OR(J287=1,I287&gt;=$B$8),"Prioridad",IF(G287=1,"Observar","Sin umbral")))</x:f>
        <x:v>Prioridad</x:v>
      </x:c>
      <x:c r="L287" s="2" t="str">
        <x:f>IF(K287="No evaluable","Faltan datos",IF(J287=1,"Magnitud",IF(I287&gt;=$B$8,"Persistencia",IF(G287=1,"Cambio del mes","Sin umbral"))))</x:f>
        <x:v>Magnitud</x:v>
      </x:c>
      <x:c r="M287" s="2" t="n">
        <x:f>ROW()-40</x:f>
        <x:v>247</x:v>
      </x:c>
    </x:row>
    <x:row r="288" ht="48" customHeight="1">
      <x:c r="A288" s="4" t="n">
        <x:v>45444</x:v>
      </x:c>
      <x:c r="B288" s="32" t="str">
        <x:v>Gran siderurgia</x:v>
      </x:c>
      <x:c r="C288" s="10" t="n">
        <x:f>IF(ISNUMBER('Actividades'!F425),'Actividades'!F425,"n.a.")</x:f>
        <x:v>251.9359513888889</x:v>
      </x:c>
      <x:c r="D288" s="10" t="n">
        <x:f>IF(ISNUMBER('Actividades'!G425),'Actividades'!G425,"n.a.")</x:f>
        <x:v>332.24445833333334</x:v>
      </x:c>
      <x:c r="E288" s="10" t="n">
        <x:f>IF(AND(ISNUMBER(C288),ISNUMBER(D288),C288&gt;=0,D288&gt;0),C288-D288,"n.a.")</x:f>
        <x:v>-80.30850694444445</x:v>
      </x:c>
      <x:c r="F288" s="12" t="n">
        <x:f>IF(ISNUMBER(E288),E288/D288,"n.a.")</x:f>
        <x:v>-0.24171511346585875</x:v>
      </x:c>
      <x:c r="G288" s="2" t="n">
        <x:f>IF(ISNUMBER(F288),IF(AND(ABS(F288)+0.00000000001&gt;=$B$6,ABS(E288)+0.000000001&gt;=$D$6),1,0),"n.a.")</x:f>
        <x:v>1</x:v>
      </x:c>
      <x:c r="H288" s="2" t="n">
        <x:f>IF(ISNUMBER(E288),SIGN(E288),"n.a.")</x:f>
        <x:v>-1</x:v>
      </x:c>
      <x:c r="I288" s="2" t="n">
        <x:f>IF(NOT(ISNUMBER(G288)),"n.a.",IF(G288=0,0,IF(AND(B288=B274,A288=EDATE(A274,1),H288=H274,ISNUMBER(I274)),I274+1,1)))</x:f>
        <x:v>5</x:v>
      </x:c>
      <x:c r="J288" s="2" t="n">
        <x:f>IF(ISNUMBER(F288),IF(AND(ABS(F288)+0.00000000001&gt;=$B$7,ABS(E288)+0.000000001&gt;=$D$7),1,0),"n.a.")</x:f>
        <x:v>1</x:v>
      </x:c>
      <x:c r="K288" s="2" t="str">
        <x:f>IF(NOT(ISNUMBER(F288)),"No evaluable",IF(OR(J288=1,I288&gt;=$B$8),"Prioridad",IF(G288=1,"Observar","Sin umbral")))</x:f>
        <x:v>Prioridad</x:v>
      </x:c>
      <x:c r="L288" s="2" t="str">
        <x:f>IF(K288="No evaluable","Faltan datos",IF(J288=1,"Magnitud",IF(I288&gt;=$B$8,"Persistencia",IF(G288=1,"Cambio del mes","Sin umbral"))))</x:f>
        <x:v>Magnitud</x:v>
      </x:c>
      <x:c r="M288" s="2" t="n">
        <x:f>ROW()-40</x:f>
        <x:v>248</x:v>
      </x:c>
    </x:row>
    <x:row r="289" ht="48" customHeight="1">
      <x:c r="A289" s="4" t="n">
        <x:v>45444</x:v>
      </x:c>
      <x:c r="B289" s="32" t="str">
        <x:v>Industria textil</x:v>
      </x:c>
      <x:c r="C289" s="10" t="n">
        <x:f>IF(ISNUMBER('Actividades'!F426),'Actividades'!F426,"n.a.")</x:f>
        <x:v>45.67310416666667</x:v>
      </x:c>
      <x:c r="D289" s="10" t="n">
        <x:f>IF(ISNUMBER('Actividades'!G426),'Actividades'!G426,"n.a.")</x:f>
        <x:v>61.439101388888886</x:v>
      </x:c>
      <x:c r="E289" s="10" t="n">
        <x:f>IF(AND(ISNUMBER(C289),ISNUMBER(D289),C289&gt;=0,D289&gt;0),C289-D289,"n.a.")</x:f>
        <x:v>-15.765997222222218</x:v>
      </x:c>
      <x:c r="F289" s="12" t="n">
        <x:f>IF(ISNUMBER(E289),E289/D289,"n.a.")</x:f>
        <x:v>-0.25661178086620684</x:v>
      </x:c>
      <x:c r="G289" s="2" t="n">
        <x:f>IF(ISNUMBER(F289),IF(AND(ABS(F289)+0.00000000001&gt;=$B$6,ABS(E289)+0.000000001&gt;=$D$6),1,0),"n.a.")</x:f>
        <x:v>1</x:v>
      </x:c>
      <x:c r="H289" s="2" t="n">
        <x:f>IF(ISNUMBER(E289),SIGN(E289),"n.a.")</x:f>
        <x:v>-1</x:v>
      </x:c>
      <x:c r="I289" s="2" t="n">
        <x:f>IF(NOT(ISNUMBER(G289)),"n.a.",IF(G289=0,0,IF(AND(B289=B275,A289=EDATE(A275,1),H289=H275,ISNUMBER(I275)),I275+1,1)))</x:f>
        <x:v>4</x:v>
      </x:c>
      <x:c r="J289" s="2" t="n">
        <x:f>IF(ISNUMBER(F289),IF(AND(ABS(F289)+0.00000000001&gt;=$B$7,ABS(E289)+0.000000001&gt;=$D$7),1,0),"n.a.")</x:f>
        <x:v>1</x:v>
      </x:c>
      <x:c r="K289" s="2" t="str">
        <x:f>IF(NOT(ISNUMBER(F289)),"No evaluable",IF(OR(J289=1,I289&gt;=$B$8),"Prioridad",IF(G289=1,"Observar","Sin umbral")))</x:f>
        <x:v>Prioridad</x:v>
      </x:c>
      <x:c r="L289" s="2" t="str">
        <x:f>IF(K289="No evaluable","Faltan datos",IF(J289=1,"Magnitud",IF(I289&gt;=$B$8,"Persistencia",IF(G289=1,"Cambio del mes","Sin umbral"))))</x:f>
        <x:v>Magnitud</x:v>
      </x:c>
      <x:c r="M289" s="2" t="n">
        <x:f>ROW()-40</x:f>
        <x:v>249</x:v>
      </x:c>
    </x:row>
    <x:row r="290" ht="48" customHeight="1">
      <x:c r="A290" s="4" t="n">
        <x:v>45444</x:v>
      </x:c>
      <x:c r="B290" s="32" t="str">
        <x:v>Químicas, caucho, plástico y otros minerales no metálicos</x:v>
      </x:c>
      <x:c r="C290" s="10" t="n">
        <x:f>IF(ISNUMBER('Actividades'!F427),'Actividades'!F427,"n.a.")</x:f>
        <x:v>336.83566527777776</x:v>
      </x:c>
      <x:c r="D290" s="10" t="n">
        <x:f>IF(ISNUMBER('Actividades'!G427),'Actividades'!G427,"n.a.")</x:f>
        <x:v>330.5203138888889</x:v>
      </x:c>
      <x:c r="E290" s="10" t="n">
        <x:f>IF(AND(ISNUMBER(C290),ISNUMBER(D290),C290&gt;=0,D290&gt;0),C290-D290,"n.a.")</x:f>
        <x:v>6.315351388888871</x:v>
      </x:c>
      <x:c r="F290" s="12" t="n">
        <x:f>IF(ISNUMBER(E290),E290/D290,"n.a.")</x:f>
        <x:v>0.0191073018011592</x:v>
      </x:c>
      <x:c r="G290" s="2" t="n">
        <x:f>IF(ISNUMBER(F290),IF(AND(ABS(F290)+0.00000000001&gt;=$B$6,ABS(E290)+0.000000001&gt;=$D$6),1,0),"n.a.")</x:f>
        <x:v>0</x:v>
      </x:c>
      <x:c r="H290" s="2" t="n">
        <x:f>IF(ISNUMBER(E290),SIGN(E290),"n.a.")</x:f>
        <x:v>1</x:v>
      </x:c>
      <x:c r="I290" s="2" t="n">
        <x:f>IF(NOT(ISNUMBER(G290)),"n.a.",IF(G290=0,0,IF(AND(B290=B276,A290=EDATE(A276,1),H290=H276,ISNUMBER(I276)),I276+1,1)))</x:f>
        <x:v>0</x:v>
      </x:c>
      <x:c r="J290" s="2" t="n">
        <x:f>IF(ISNUMBER(F290),IF(AND(ABS(F290)+0.00000000001&gt;=$B$7,ABS(E290)+0.000000001&gt;=$D$7),1,0),"n.a.")</x:f>
        <x:v>0</x:v>
      </x:c>
      <x:c r="K290" s="2" t="str">
        <x:f>IF(NOT(ISNUMBER(F290)),"No evaluable",IF(OR(J290=1,I290&gt;=$B$8),"Prioridad",IF(G290=1,"Observar","Sin umbral")))</x:f>
        <x:v>Sin umbral</x:v>
      </x:c>
      <x:c r="L290" s="2" t="str">
        <x:f>IF(K290="No evaluable","Faltan datos",IF(J290=1,"Magnitud",IF(I290&gt;=$B$8,"Persistencia",IF(G290=1,"Cambio del mes","Sin umbral"))))</x:f>
        <x:v>Sin umbral</x:v>
      </x:c>
      <x:c r="M290" s="2" t="n">
        <x:f>ROW()-40</x:f>
        <x:v>250</x:v>
      </x:c>
    </x:row>
    <x:row r="291" ht="48" customHeight="1">
      <x:c r="A291" s="4" t="n">
        <x:v>45444</x:v>
      </x:c>
      <x:c r="B291" s="32" t="str">
        <x:v>Extracción de minerales</x:v>
      </x:c>
      <x:c r="C291" s="10" t="n">
        <x:f>IF(ISNUMBER('Actividades'!F428),'Actividades'!F428,"n.a.")</x:f>
        <x:v>22.59985972222222</x:v>
      </x:c>
      <x:c r="D291" s="10" t="n">
        <x:f>IF(ISNUMBER('Actividades'!G428),'Actividades'!G428,"n.a.")</x:f>
        <x:v>21.87880555555556</x:v>
      </x:c>
      <x:c r="E291" s="10" t="n">
        <x:f>IF(AND(ISNUMBER(C291),ISNUMBER(D291),C291&gt;=0,D291&gt;0),C291-D291,"n.a.")</x:f>
        <x:v>0.7210541666666614</x:v>
      </x:c>
      <x:c r="F291" s="12" t="n">
        <x:f>IF(ISNUMBER(E291),E291/D291,"n.a.")</x:f>
        <x:v>0.0329567427634809</x:v>
      </x:c>
      <x:c r="G291" s="2" t="n">
        <x:f>IF(ISNUMBER(F291),IF(AND(ABS(F291)+0.00000000001&gt;=$B$6,ABS(E291)+0.000000001&gt;=$D$6),1,0),"n.a.")</x:f>
        <x:v>0</x:v>
      </x:c>
      <x:c r="H291" s="2" t="n">
        <x:f>IF(ISNUMBER(E291),SIGN(E291),"n.a.")</x:f>
        <x:v>1</x:v>
      </x:c>
      <x:c r="I291" s="2" t="n">
        <x:f>IF(NOT(ISNUMBER(G291)),"n.a.",IF(G291=0,0,IF(AND(B291=B277,A291=EDATE(A277,1),H291=H277,ISNUMBER(I277)),I277+1,1)))</x:f>
        <x:v>0</x:v>
      </x:c>
      <x:c r="J291" s="2" t="n">
        <x:f>IF(ISNUMBER(F291),IF(AND(ABS(F291)+0.00000000001&gt;=$B$7,ABS(E291)+0.000000001&gt;=$D$7),1,0),"n.a.")</x:f>
        <x:v>0</x:v>
      </x:c>
      <x:c r="K291" s="2" t="str">
        <x:f>IF(NOT(ISNUMBER(F291)),"No evaluable",IF(OR(J291=1,I291&gt;=$B$8),"Prioridad",IF(G291=1,"Observar","Sin umbral")))</x:f>
        <x:v>Sin umbral</x:v>
      </x:c>
      <x:c r="L291" s="2" t="str">
        <x:f>IF(K291="No evaluable","Faltan datos",IF(J291=1,"Magnitud",IF(I291&gt;=$B$8,"Persistencia",IF(G291=1,"Cambio del mes","Sin umbral"))))</x:f>
        <x:v>Sin umbral</x:v>
      </x:c>
      <x:c r="M291" s="2" t="n">
        <x:f>ROW()-40</x:f>
        <x:v>251</x:v>
      </x:c>
    </x:row>
    <x:row r="292" ht="48" customHeight="1">
      <x:c r="A292" s="4" t="n">
        <x:v>45444</x:v>
      </x:c>
      <x:c r="B292" s="32" t="str">
        <x:v>Extracción de petróleo</x:v>
      </x:c>
      <x:c r="C292" s="10" t="n">
        <x:f>IF(ISNUMBER('Actividades'!F429),'Actividades'!F429,"n.a.")</x:f>
        <x:v>146.11640138888887</x:v>
      </x:c>
      <x:c r="D292" s="10" t="n">
        <x:f>IF(ISNUMBER('Actividades'!G429),'Actividades'!G429,"n.a.")</x:f>
        <x:v>167.14473888888887</x:v>
      </x:c>
      <x:c r="E292" s="10" t="n">
        <x:f>IF(AND(ISNUMBER(C292),ISNUMBER(D292),C292&gt;=0,D292&gt;0),C292-D292,"n.a.")</x:f>
        <x:v>-21.028337499999992</x:v>
      </x:c>
      <x:c r="F292" s="12" t="n">
        <x:f>IF(ISNUMBER(E292),E292/D292,"n.a.")</x:f>
        <x:v>-0.12580914984095784</x:v>
      </x:c>
      <x:c r="G292" s="2" t="n">
        <x:f>IF(ISNUMBER(F292),IF(AND(ABS(F292)+0.00000000001&gt;=$B$6,ABS(E292)+0.000000001&gt;=$D$6),1,0),"n.a.")</x:f>
        <x:v>1</x:v>
      </x:c>
      <x:c r="H292" s="2" t="n">
        <x:f>IF(ISNUMBER(E292),SIGN(E292),"n.a.")</x:f>
        <x:v>-1</x:v>
      </x:c>
      <x:c r="I292" s="2" t="n">
        <x:f>IF(NOT(ISNUMBER(G292)),"n.a.",IF(G292=0,0,IF(AND(B292=B278,A292=EDATE(A278,1),H292=H278,ISNUMBER(I278)),I278+1,1)))</x:f>
        <x:v>2</x:v>
      </x:c>
      <x:c r="J292" s="2" t="n">
        <x:f>IF(ISNUMBER(F292),IF(AND(ABS(F292)+0.00000000001&gt;=$B$7,ABS(E292)+0.000000001&gt;=$D$7),1,0),"n.a.")</x:f>
        <x:v>0</x:v>
      </x:c>
      <x:c r="K292" s="2" t="str">
        <x:f>IF(NOT(ISNUMBER(F292)),"No evaluable",IF(OR(J292=1,I292&gt;=$B$8),"Prioridad",IF(G292=1,"Observar","Sin umbral")))</x:f>
        <x:v>Observar</x:v>
      </x:c>
      <x:c r="L292" s="2" t="str">
        <x:f>IF(K292="No evaluable","Faltan datos",IF(J292=1,"Magnitud",IF(I292&gt;=$B$8,"Persistencia",IF(G292=1,"Cambio del mes","Sin umbral"))))</x:f>
        <x:v>Cambio del mes</x:v>
      </x:c>
      <x:c r="M292" s="2" t="n">
        <x:f>ROW()-40</x:f>
        <x:v>252</x:v>
      </x:c>
    </x:row>
    <x:row r="293" ht="48" customHeight="1">
      <x:c r="A293" s="4" t="n">
        <x:v>45474</x:v>
      </x:c>
      <x:c r="B293" s="32" t="str">
        <x:v>Cargas y puertos</x:v>
      </x:c>
      <x:c r="C293" s="10" t="n">
        <x:f>IF(ISNUMBER('Actividades'!F430),'Actividades'!F430,"n.a.")</x:f>
        <x:v>10.083543010752688</x:v>
      </x:c>
      <x:c r="D293" s="10" t="n">
        <x:f>IF(ISNUMBER('Actividades'!G430),'Actividades'!G430,"n.a.")</x:f>
        <x:v>7.421228494623656</x:v>
      </x:c>
      <x:c r="E293" s="10" t="n">
        <x:f>IF(AND(ISNUMBER(C293),ISNUMBER(D293),C293&gt;=0,D293&gt;0),C293-D293,"n.a.")</x:f>
        <x:v>2.6623145161290322</x:v>
      </x:c>
      <x:c r="F293" s="12" t="n">
        <x:f>IF(ISNUMBER(E293),E293/D293,"n.a.")</x:f>
        <x:v>0.3587431000214801</x:v>
      </x:c>
      <x:c r="G293" s="2" t="n">
        <x:f>IF(ISNUMBER(F293),IF(AND(ABS(F293)+0.00000000001&gt;=$B$6,ABS(E293)+0.000000001&gt;=$D$6),1,0),"n.a.")</x:f>
        <x:v>0</x:v>
      </x:c>
      <x:c r="H293" s="2" t="n">
        <x:f>IF(ISNUMBER(E293),SIGN(E293),"n.a.")</x:f>
        <x:v>1</x:v>
      </x:c>
      <x:c r="I293" s="2" t="n">
        <x:f>IF(NOT(ISNUMBER(G293)),"n.a.",IF(G293=0,0,IF(AND(B293=B279,A293=EDATE(A279,1),H293=H279,ISNUMBER(I279)),I279+1,1)))</x:f>
        <x:v>0</x:v>
      </x:c>
      <x:c r="J293" s="2" t="n">
        <x:f>IF(ISNUMBER(F293),IF(AND(ABS(F293)+0.00000000001&gt;=$B$7,ABS(E293)+0.000000001&gt;=$D$7),1,0),"n.a.")</x:f>
        <x:v>0</x:v>
      </x:c>
      <x:c r="K293" s="2" t="str">
        <x:f>IF(NOT(ISNUMBER(F293)),"No evaluable",IF(OR(J293=1,I293&gt;=$B$8),"Prioridad",IF(G293=1,"Observar","Sin umbral")))</x:f>
        <x:v>Sin umbral</x:v>
      </x:c>
      <x:c r="L293" s="2" t="str">
        <x:f>IF(K293="No evaluable","Faltan datos",IF(J293=1,"Magnitud",IF(I293&gt;=$B$8,"Persistencia",IF(G293=1,"Cambio del mes","Sin umbral"))))</x:f>
        <x:v>Sin umbral</x:v>
      </x:c>
      <x:c r="M293" s="2" t="n">
        <x:f>ROW()-40</x:f>
        <x:v>253</x:v>
      </x:c>
    </x:row>
    <x:row r="294" ht="48" customHeight="1">
      <x:c r="A294" s="4" t="n">
        <x:v>45474</x:v>
      </x:c>
      <x:c r="B294" s="32" t="str">
        <x:v>Comercio y servicios: principalmente supermercados y centros comerciales</x:v>
      </x:c>
      <x:c r="C294" s="10" t="n">
        <x:f>IF(ISNUMBER('Actividades'!F431),'Actividades'!F431,"n.a.")</x:f>
        <x:v>29.510850806451614</x:v>
      </x:c>
      <x:c r="D294" s="10" t="n">
        <x:f>IF(ISNUMBER('Actividades'!G431),'Actividades'!G431,"n.a.")</x:f>
        <x:v>28.65633870967742</x:v>
      </x:c>
      <x:c r="E294" s="10" t="n">
        <x:f>IF(AND(ISNUMBER(C294),ISNUMBER(D294),C294&gt;=0,D294&gt;0),C294-D294,"n.a.")</x:f>
        <x:v>0.8545120967741937</x:v>
      </x:c>
      <x:c r="F294" s="12" t="n">
        <x:f>IF(ISNUMBER(E294),E294/D294,"n.a.")</x:f>
        <x:v>0.029819304742012272</x:v>
      </x:c>
      <x:c r="G294" s="2" t="n">
        <x:f>IF(ISNUMBER(F294),IF(AND(ABS(F294)+0.00000000001&gt;=$B$6,ABS(E294)+0.000000001&gt;=$D$6),1,0),"n.a.")</x:f>
        <x:v>0</x:v>
      </x:c>
      <x:c r="H294" s="2" t="n">
        <x:f>IF(ISNUMBER(E294),SIGN(E294),"n.a.")</x:f>
        <x:v>1</x:v>
      </x:c>
      <x:c r="I294" s="2" t="n">
        <x:f>IF(NOT(ISNUMBER(G294)),"n.a.",IF(G294=0,0,IF(AND(B294=B280,A294=EDATE(A280,1),H294=H280,ISNUMBER(I280)),I280+1,1)))</x:f>
        <x:v>0</x:v>
      </x:c>
      <x:c r="J294" s="2" t="n">
        <x:f>IF(ISNUMBER(F294),IF(AND(ABS(F294)+0.00000000001&gt;=$B$7,ABS(E294)+0.000000001&gt;=$D$7),1,0),"n.a.")</x:f>
        <x:v>0</x:v>
      </x:c>
      <x:c r="K294" s="2" t="str">
        <x:f>IF(NOT(ISNUMBER(F294)),"No evaluable",IF(OR(J294=1,I294&gt;=$B$8),"Prioridad",IF(G294=1,"Observar","Sin umbral")))</x:f>
        <x:v>Sin umbral</x:v>
      </x:c>
      <x:c r="L294" s="2" t="str">
        <x:f>IF(K294="No evaluable","Faltan datos",IF(J294=1,"Magnitud",IF(I294&gt;=$B$8,"Persistencia",IF(G294=1,"Cambio del mes","Sin umbral"))))</x:f>
        <x:v>Sin umbral</x:v>
      </x:c>
      <x:c r="M294" s="2" t="n">
        <x:f>ROW()-40</x:f>
        <x:v>254</x:v>
      </x:c>
    </x:row>
    <x:row r="295" ht="48" customHeight="1">
      <x:c r="A295" s="4" t="n">
        <x:v>45474</x:v>
      </x:c>
      <x:c r="B295" s="32" t="str">
        <x:v>Alimentación y artículos de consumo masivo</x:v>
      </x:c>
      <x:c r="C295" s="10" t="n">
        <x:f>IF(ISNUMBER('Actividades'!F432),'Actividades'!F432,"n.a.")</x:f>
        <x:v>283.7487849462365</x:v>
      </x:c>
      <x:c r="D295" s="10" t="n">
        <x:f>IF(ISNUMBER('Actividades'!G432),'Actividades'!G432,"n.a.")</x:f>
        <x:v>269.8224086021505</x:v>
      </x:c>
      <x:c r="E295" s="10" t="n">
        <x:f>IF(AND(ISNUMBER(C295),ISNUMBER(D295),C295&gt;=0,D295&gt;0),C295-D295,"n.a.")</x:f>
        <x:v>13.926376344086009</x:v>
      </x:c>
      <x:c r="F295" s="12" t="n">
        <x:f>IF(ISNUMBER(E295),E295/D295,"n.a.")</x:f>
        <x:v>0.05161311996373238</x:v>
      </x:c>
      <x:c r="G295" s="2" t="n">
        <x:f>IF(ISNUMBER(F295),IF(AND(ABS(F295)+0.00000000001&gt;=$B$6,ABS(E295)+0.000000001&gt;=$D$6),1,0),"n.a.")</x:f>
        <x:v>0</x:v>
      </x:c>
      <x:c r="H295" s="2" t="n">
        <x:f>IF(ISNUMBER(E295),SIGN(E295),"n.a.")</x:f>
        <x:v>1</x:v>
      </x:c>
      <x:c r="I295" s="2" t="n">
        <x:f>IF(NOT(ISNUMBER(G295)),"n.a.",IF(G295=0,0,IF(AND(B295=B281,A295=EDATE(A281,1),H295=H281,ISNUMBER(I281)),I281+1,1)))</x:f>
        <x:v>0</x:v>
      </x:c>
      <x:c r="J295" s="2" t="n">
        <x:f>IF(ISNUMBER(F295),IF(AND(ABS(F295)+0.00000000001&gt;=$B$7,ABS(E295)+0.000000001&gt;=$D$7),1,0),"n.a.")</x:f>
        <x:v>0</x:v>
      </x:c>
      <x:c r="K295" s="2" t="str">
        <x:f>IF(NOT(ISNUMBER(F295)),"No evaluable",IF(OR(J295=1,I295&gt;=$B$8),"Prioridad",IF(G295=1,"Observar","Sin umbral")))</x:f>
        <x:v>Sin umbral</x:v>
      </x:c>
      <x:c r="L295" s="2" t="str">
        <x:f>IF(K295="No evaluable","Faltan datos",IF(J295=1,"Magnitud",IF(I295&gt;=$B$8,"Persistencia",IF(G295=1,"Cambio del mes","Sin umbral"))))</x:f>
        <x:v>Sin umbral</x:v>
      </x:c>
      <x:c r="M295" s="2" t="n">
        <x:f>ROW()-40</x:f>
        <x:v>255</x:v>
      </x:c>
    </x:row>
    <x:row r="296" ht="48" customHeight="1">
      <x:c r="A296" s="4" t="n">
        <x:v>45474</x:v>
      </x:c>
      <x:c r="B296" s="32" t="str">
        <x:v>Servicios públicos y transporte: agua y transporte en GBA</x:v>
      </x:c>
      <x:c r="C296" s="10" t="n">
        <x:f>IF(ISNUMBER('Actividades'!F433),'Actividades'!F433,"n.a.")</x:f>
        <x:v>87.6144247311828</x:v>
      </x:c>
      <x:c r="D296" s="10" t="n">
        <x:f>IF(ISNUMBER('Actividades'!G433),'Actividades'!G433,"n.a.")</x:f>
        <x:v>88.18783064516128</x:v>
      </x:c>
      <x:c r="E296" s="10" t="n">
        <x:f>IF(AND(ISNUMBER(C296),ISNUMBER(D296),C296&gt;=0,D296&gt;0),C296-D296,"n.a.")</x:f>
        <x:v>-0.5734059139784904</x:v>
      </x:c>
      <x:c r="F296" s="12" t="n">
        <x:f>IF(ISNUMBER(E296),E296/D296,"n.a.")</x:f>
        <x:v>-0.006502097962764119</x:v>
      </x:c>
      <x:c r="G296" s="2" t="n">
        <x:f>IF(ISNUMBER(F296),IF(AND(ABS(F296)+0.00000000001&gt;=$B$6,ABS(E296)+0.000000001&gt;=$D$6),1,0),"n.a.")</x:f>
        <x:v>0</x:v>
      </x:c>
      <x:c r="H296" s="2" t="n">
        <x:f>IF(ISNUMBER(E296),SIGN(E296),"n.a.")</x:f>
        <x:v>-1</x:v>
      </x:c>
      <x:c r="I296" s="2" t="n">
        <x:f>IF(NOT(ISNUMBER(G296)),"n.a.",IF(G296=0,0,IF(AND(B296=B282,A296=EDATE(A282,1),H296=H282,ISNUMBER(I282)),I282+1,1)))</x:f>
        <x:v>0</x:v>
      </x:c>
      <x:c r="J296" s="2" t="n">
        <x:f>IF(ISNUMBER(F296),IF(AND(ABS(F296)+0.00000000001&gt;=$B$7,ABS(E296)+0.000000001&gt;=$D$7),1,0),"n.a.")</x:f>
        <x:v>0</x:v>
      </x:c>
      <x:c r="K296" s="2" t="str">
        <x:f>IF(NOT(ISNUMBER(F296)),"No evaluable",IF(OR(J296=1,I296&gt;=$B$8),"Prioridad",IF(G296=1,"Observar","Sin umbral")))</x:f>
        <x:v>Sin umbral</x:v>
      </x:c>
      <x:c r="L296" s="2" t="str">
        <x:f>IF(K296="No evaluable","Faltan datos",IF(J296=1,"Magnitud",IF(I296&gt;=$B$8,"Persistencia",IF(G296=1,"Cambio del mes","Sin umbral"))))</x:f>
        <x:v>Sin umbral</x:v>
      </x:c>
      <x:c r="M296" s="2" t="n">
        <x:f>ROW()-40</x:f>
        <x:v>256</x:v>
      </x:c>
    </x:row>
    <x:row r="297" ht="48" customHeight="1">
      <x:c r="A297" s="4" t="n">
        <x:v>45474</x:v>
      </x:c>
      <x:c r="B297" s="32" t="str">
        <x:v>Industria automotriz</x:v>
      </x:c>
      <x:c r="C297" s="10" t="n">
        <x:f>IF(ISNUMBER('Actividades'!F434),'Actividades'!F434,"n.a.")</x:f>
        <x:v>42.255794354838706</x:v>
      </x:c>
      <x:c r="D297" s="10" t="n">
        <x:f>IF(ISNUMBER('Actividades'!G434),'Actividades'!G434,"n.a.")</x:f>
        <x:v>37.458571236559145</x:v>
      </x:c>
      <x:c r="E297" s="10" t="n">
        <x:f>IF(AND(ISNUMBER(C297),ISNUMBER(D297),C297&gt;=0,D297&gt;0),C297-D297,"n.a.")</x:f>
        <x:v>4.797223118279561</x:v>
      </x:c>
      <x:c r="F297" s="12" t="n">
        <x:f>IF(ISNUMBER(E297),E297/D297,"n.a.")</x:f>
        <x:v>0.12806743449941105</x:v>
      </x:c>
      <x:c r="G297" s="2" t="n">
        <x:f>IF(ISNUMBER(F297),IF(AND(ABS(F297)+0.00000000001&gt;=$B$6,ABS(E297)+0.000000001&gt;=$D$6),1,0),"n.a.")</x:f>
        <x:v>0</x:v>
      </x:c>
      <x:c r="H297" s="2" t="n">
        <x:f>IF(ISNUMBER(E297),SIGN(E297),"n.a.")</x:f>
        <x:v>1</x:v>
      </x:c>
      <x:c r="I297" s="2" t="n">
        <x:f>IF(NOT(ISNUMBER(G297)),"n.a.",IF(G297=0,0,IF(AND(B297=B283,A297=EDATE(A283,1),H297=H283,ISNUMBER(I283)),I283+1,1)))</x:f>
        <x:v>0</x:v>
      </x:c>
      <x:c r="J297" s="2" t="n">
        <x:f>IF(ISNUMBER(F297),IF(AND(ABS(F297)+0.00000000001&gt;=$B$7,ABS(E297)+0.000000001&gt;=$D$7),1,0),"n.a.")</x:f>
        <x:v>0</x:v>
      </x:c>
      <x:c r="K297" s="2" t="str">
        <x:f>IF(NOT(ISNUMBER(F297)),"No evaluable",IF(OR(J297=1,I297&gt;=$B$8),"Prioridad",IF(G297=1,"Observar","Sin umbral")))</x:f>
        <x:v>Sin umbral</x:v>
      </x:c>
      <x:c r="L297" s="2" t="str">
        <x:f>IF(K297="No evaluable","Faltan datos",IF(J297=1,"Magnitud",IF(I297&gt;=$B$8,"Persistencia",IF(G297=1,"Cambio del mes","Sin umbral"))))</x:f>
        <x:v>Sin umbral</x:v>
      </x:c>
      <x:c r="M297" s="2" t="n">
        <x:f>ROW()-40</x:f>
        <x:v>257</x:v>
      </x:c>
    </x:row>
    <x:row r="298" ht="48" customHeight="1">
      <x:c r="A298" s="4" t="n">
        <x:v>45474</x:v>
      </x:c>
      <x:c r="B298" s="32" t="str">
        <x:v>Derivados de petróleo</x:v>
      </x:c>
      <x:c r="C298" s="10" t="n">
        <x:f>IF(ISNUMBER('Actividades'!F435),'Actividades'!F435,"n.a.")</x:f>
        <x:v>144.62603494623656</x:v>
      </x:c>
      <x:c r="D298" s="10" t="n">
        <x:f>IF(ISNUMBER('Actividades'!G435),'Actividades'!G435,"n.a.")</x:f>
        <x:v>146.66988440860217</x:v>
      </x:c>
      <x:c r="E298" s="10" t="n">
        <x:f>IF(AND(ISNUMBER(C298),ISNUMBER(D298),C298&gt;=0,D298&gt;0),C298-D298,"n.a.")</x:f>
        <x:v>-2.043849462365614</x:v>
      </x:c>
      <x:c r="F298" s="12" t="n">
        <x:f>IF(ISNUMBER(E298),E298/D298,"n.a.")</x:f>
        <x:v>-0.013935031520661256</x:v>
      </x:c>
      <x:c r="G298" s="2" t="n">
        <x:f>IF(ISNUMBER(F298),IF(AND(ABS(F298)+0.00000000001&gt;=$B$6,ABS(E298)+0.000000001&gt;=$D$6),1,0),"n.a.")</x:f>
        <x:v>0</x:v>
      </x:c>
      <x:c r="H298" s="2" t="n">
        <x:f>IF(ISNUMBER(E298),SIGN(E298),"n.a.")</x:f>
        <x:v>-1</x:v>
      </x:c>
      <x:c r="I298" s="2" t="n">
        <x:f>IF(NOT(ISNUMBER(G298)),"n.a.",IF(G298=0,0,IF(AND(B298=B284,A298=EDATE(A284,1),H298=H284,ISNUMBER(I284)),I284+1,1)))</x:f>
        <x:v>0</x:v>
      </x:c>
      <x:c r="J298" s="2" t="n">
        <x:f>IF(ISNUMBER(F298),IF(AND(ABS(F298)+0.00000000001&gt;=$B$7,ABS(E298)+0.000000001&gt;=$D$7),1,0),"n.a.")</x:f>
        <x:v>0</x:v>
      </x:c>
      <x:c r="K298" s="2" t="str">
        <x:f>IF(NOT(ISNUMBER(F298)),"No evaluable",IF(OR(J298=1,I298&gt;=$B$8),"Prioridad",IF(G298=1,"Observar","Sin umbral")))</x:f>
        <x:v>Sin umbral</x:v>
      </x:c>
      <x:c r="L298" s="2" t="str">
        <x:f>IF(K298="No evaluable","Faltan datos",IF(J298=1,"Magnitud",IF(I298&gt;=$B$8,"Persistencia",IF(G298=1,"Cambio del mes","Sin umbral"))))</x:f>
        <x:v>Sin umbral</x:v>
      </x:c>
      <x:c r="M298" s="2" t="n">
        <x:f>ROW()-40</x:f>
        <x:v>258</x:v>
      </x:c>
    </x:row>
    <x:row r="299" ht="48" customHeight="1">
      <x:c r="A299" s="4" t="n">
        <x:v>45474</x:v>
      </x:c>
      <x:c r="B299" s="32" t="str">
        <x:v>Construcción: elaboración de cemento y canteras</x:v>
      </x:c>
      <x:c r="C299" s="10" t="n">
        <x:f>IF(ISNUMBER('Actividades'!F436),'Actividades'!F436,"n.a.")</x:f>
        <x:v>127.71007930107527</x:v>
      </x:c>
      <x:c r="D299" s="10" t="n">
        <x:f>IF(ISNUMBER('Actividades'!G436),'Actividades'!G436,"n.a.")</x:f>
        <x:v>154.11805913978495</x:v>
      </x:c>
      <x:c r="E299" s="10" t="n">
        <x:f>IF(AND(ISNUMBER(C299),ISNUMBER(D299),C299&gt;=0,D299&gt;0),C299-D299,"n.a.")</x:f>
        <x:v>-26.40797983870968</x:v>
      </x:c>
      <x:c r="F299" s="12" t="n">
        <x:f>IF(ISNUMBER(E299),E299/D299,"n.a.")</x:f>
        <x:v>-0.17134902934871288</x:v>
      </x:c>
      <x:c r="G299" s="2" t="n">
        <x:f>IF(ISNUMBER(F299),IF(AND(ABS(F299)+0.00000000001&gt;=$B$6,ABS(E299)+0.000000001&gt;=$D$6),1,0),"n.a.")</x:f>
        <x:v>1</x:v>
      </x:c>
      <x:c r="H299" s="2" t="n">
        <x:f>IF(ISNUMBER(E299),SIGN(E299),"n.a.")</x:f>
        <x:v>-1</x:v>
      </x:c>
      <x:c r="I299" s="2" t="n">
        <x:f>IF(NOT(ISNUMBER(G299)),"n.a.",IF(G299=0,0,IF(AND(B299=B285,A299=EDATE(A285,1),H299=H285,ISNUMBER(I285)),I285+1,1)))</x:f>
        <x:v>7</x:v>
      </x:c>
      <x:c r="J299" s="2" t="n">
        <x:f>IF(ISNUMBER(F299),IF(AND(ABS(F299)+0.00000000001&gt;=$B$7,ABS(E299)+0.000000001&gt;=$D$7),1,0),"n.a.")</x:f>
        <x:v>0</x:v>
      </x:c>
      <x:c r="K299" s="2" t="str">
        <x:f>IF(NOT(ISNUMBER(F299)),"No evaluable",IF(OR(J299=1,I299&gt;=$B$8),"Prioridad",IF(G299=1,"Observar","Sin umbral")))</x:f>
        <x:v>Prioridad</x:v>
      </x:c>
      <x:c r="L299" s="2" t="str">
        <x:f>IF(K299="No evaluable","Faltan datos",IF(J299=1,"Magnitud",IF(I299&gt;=$B$8,"Persistencia",IF(G299=1,"Cambio del mes","Sin umbral"))))</x:f>
        <x:v>Persistencia</x:v>
      </x:c>
      <x:c r="M299" s="2" t="n">
        <x:f>ROW()-40</x:f>
        <x:v>259</x:v>
      </x:c>
    </x:row>
    <x:row r="300" ht="48" customHeight="1">
      <x:c r="A300" s="4" t="n">
        <x:v>45474</x:v>
      </x:c>
      <x:c r="B300" s="32" t="str">
        <x:v>Madera y papel</x:v>
      </x:c>
      <x:c r="C300" s="10" t="n">
        <x:f>IF(ISNUMBER('Actividades'!F437),'Actividades'!F437,"n.a.")</x:f>
        <x:v>92.99674865591398</x:v>
      </x:c>
      <x:c r="D300" s="10" t="n">
        <x:f>IF(ISNUMBER('Actividades'!G437),'Actividades'!G437,"n.a.")</x:f>
        <x:v>109.64630779569892</x:v>
      </x:c>
      <x:c r="E300" s="10" t="n">
        <x:f>IF(AND(ISNUMBER(C300),ISNUMBER(D300),C300&gt;=0,D300&gt;0),C300-D300,"n.a.")</x:f>
        <x:v>-16.64955913978494</x:v>
      </x:c>
      <x:c r="F300" s="12" t="n">
        <x:f>IF(ISNUMBER(E300),E300/D300,"n.a.")</x:f>
        <x:v>-0.1518478777307087</x:v>
      </x:c>
      <x:c r="G300" s="2" t="n">
        <x:f>IF(ISNUMBER(F300),IF(AND(ABS(F300)+0.00000000001&gt;=$B$6,ABS(E300)+0.000000001&gt;=$D$6),1,0),"n.a.")</x:f>
        <x:v>1</x:v>
      </x:c>
      <x:c r="H300" s="2" t="n">
        <x:f>IF(ISNUMBER(E300),SIGN(E300),"n.a.")</x:f>
        <x:v>-1</x:v>
      </x:c>
      <x:c r="I300" s="2" t="n">
        <x:f>IF(NOT(ISNUMBER(G300)),"n.a.",IF(G300=0,0,IF(AND(B300=B286,A300=EDATE(A286,1),H300=H286,ISNUMBER(I286)),I286+1,1)))</x:f>
        <x:v>3</x:v>
      </x:c>
      <x:c r="J300" s="2" t="n">
        <x:f>IF(ISNUMBER(F300),IF(AND(ABS(F300)+0.00000000001&gt;=$B$7,ABS(E300)+0.000000001&gt;=$D$7),1,0),"n.a.")</x:f>
        <x:v>0</x:v>
      </x:c>
      <x:c r="K300" s="2" t="str">
        <x:f>IF(NOT(ISNUMBER(F300)),"No evaluable",IF(OR(J300=1,I300&gt;=$B$8),"Prioridad",IF(G300=1,"Observar","Sin umbral")))</x:f>
        <x:v>Prioridad</x:v>
      </x:c>
      <x:c r="L300" s="2" t="str">
        <x:f>IF(K300="No evaluable","Faltan datos",IF(J300=1,"Magnitud",IF(I300&gt;=$B$8,"Persistencia",IF(G300=1,"Cambio del mes","Sin umbral"))))</x:f>
        <x:v>Persistencia</x:v>
      </x:c>
      <x:c r="M300" s="2" t="n">
        <x:f>ROW()-40</x:f>
        <x:v>260</x:v>
      </x:c>
    </x:row>
    <x:row r="301" ht="48" customHeight="1">
      <x:c r="A301" s="4" t="n">
        <x:v>45474</x:v>
      </x:c>
      <x:c r="B301" s="32" t="str">
        <x:v>Productos metálicos no automotores</x:v>
      </x:c>
      <x:c r="C301" s="10" t="n">
        <x:f>IF(ISNUMBER('Actividades'!F438),'Actividades'!F438,"n.a.")</x:f>
        <x:v>39.46702284946237</x:v>
      </x:c>
      <x:c r="D301" s="10" t="n">
        <x:f>IF(ISNUMBER('Actividades'!G438),'Actividades'!G438,"n.a.")</x:f>
        <x:v>45.64464516129032</x:v>
      </x:c>
      <x:c r="E301" s="10" t="n">
        <x:f>IF(AND(ISNUMBER(C301),ISNUMBER(D301),C301&gt;=0,D301&gt;0),C301-D301,"n.a.")</x:f>
        <x:v>-6.177622311827953</x:v>
      </x:c>
      <x:c r="F301" s="12" t="n">
        <x:f>IF(ISNUMBER(E301),E301/D301,"n.a.")</x:f>
        <x:v>-0.13534166581860047</x:v>
      </x:c>
      <x:c r="G301" s="2" t="n">
        <x:f>IF(ISNUMBER(F301),IF(AND(ABS(F301)+0.00000000001&gt;=$B$6,ABS(E301)+0.000000001&gt;=$D$6),1,0),"n.a.")</x:f>
        <x:v>1</x:v>
      </x:c>
      <x:c r="H301" s="2" t="n">
        <x:f>IF(ISNUMBER(E301),SIGN(E301),"n.a.")</x:f>
        <x:v>-1</x:v>
      </x:c>
      <x:c r="I301" s="2" t="n">
        <x:f>IF(NOT(ISNUMBER(G301)),"n.a.",IF(G301=0,0,IF(AND(B301=B287,A301=EDATE(A287,1),H301=H287,ISNUMBER(I287)),I287+1,1)))</x:f>
        <x:v>5</x:v>
      </x:c>
      <x:c r="J301" s="2" t="n">
        <x:f>IF(ISNUMBER(F301),IF(AND(ABS(F301)+0.00000000001&gt;=$B$7,ABS(E301)+0.000000001&gt;=$D$7),1,0),"n.a.")</x:f>
        <x:v>0</x:v>
      </x:c>
      <x:c r="K301" s="2" t="str">
        <x:f>IF(NOT(ISNUMBER(F301)),"No evaluable",IF(OR(J301=1,I301&gt;=$B$8),"Prioridad",IF(G301=1,"Observar","Sin umbral")))</x:f>
        <x:v>Prioridad</x:v>
      </x:c>
      <x:c r="L301" s="2" t="str">
        <x:f>IF(K301="No evaluable","Faltan datos",IF(J301=1,"Magnitud",IF(I301&gt;=$B$8,"Persistencia",IF(G301=1,"Cambio del mes","Sin umbral"))))</x:f>
        <x:v>Persistencia</x:v>
      </x:c>
      <x:c r="M301" s="2" t="n">
        <x:f>ROW()-40</x:f>
        <x:v>261</x:v>
      </x:c>
    </x:row>
    <x:row r="302" ht="48" customHeight="1">
      <x:c r="A302" s="4" t="n">
        <x:v>45474</x:v>
      </x:c>
      <x:c r="B302" s="32" t="str">
        <x:v>Gran siderurgia</x:v>
      </x:c>
      <x:c r="C302" s="10" t="n">
        <x:f>IF(ISNUMBER('Actividades'!F439),'Actividades'!F439,"n.a.")</x:f>
        <x:v>229.298561827957</x:v>
      </x:c>
      <x:c r="D302" s="10" t="n">
        <x:f>IF(ISNUMBER('Actividades'!G439),'Actividades'!G439,"n.a.")</x:f>
        <x:v>231.08136021505376</x:v>
      </x:c>
      <x:c r="E302" s="10" t="n">
        <x:f>IF(AND(ISNUMBER(C302),ISNUMBER(D302),C302&gt;=0,D302&gt;0),C302-D302,"n.a.")</x:f>
        <x:v>-1.7827983870967614</x:v>
      </x:c>
      <x:c r="F302" s="12" t="n">
        <x:f>IF(ISNUMBER(E302),E302/D302,"n.a.")</x:f>
        <x:v>-0.0077150246365073165</x:v>
      </x:c>
      <x:c r="G302" s="2" t="n">
        <x:f>IF(ISNUMBER(F302),IF(AND(ABS(F302)+0.00000000001&gt;=$B$6,ABS(E302)+0.000000001&gt;=$D$6),1,0),"n.a.")</x:f>
        <x:v>0</x:v>
      </x:c>
      <x:c r="H302" s="2" t="n">
        <x:f>IF(ISNUMBER(E302),SIGN(E302),"n.a.")</x:f>
        <x:v>-1</x:v>
      </x:c>
      <x:c r="I302" s="2" t="n">
        <x:f>IF(NOT(ISNUMBER(G302)),"n.a.",IF(G302=0,0,IF(AND(B302=B288,A302=EDATE(A288,1),H302=H288,ISNUMBER(I288)),I288+1,1)))</x:f>
        <x:v>0</x:v>
      </x:c>
      <x:c r="J302" s="2" t="n">
        <x:f>IF(ISNUMBER(F302),IF(AND(ABS(F302)+0.00000000001&gt;=$B$7,ABS(E302)+0.000000001&gt;=$D$7),1,0),"n.a.")</x:f>
        <x:v>0</x:v>
      </x:c>
      <x:c r="K302" s="2" t="str">
        <x:f>IF(NOT(ISNUMBER(F302)),"No evaluable",IF(OR(J302=1,I302&gt;=$B$8),"Prioridad",IF(G302=1,"Observar","Sin umbral")))</x:f>
        <x:v>Sin umbral</x:v>
      </x:c>
      <x:c r="L302" s="2" t="str">
        <x:f>IF(K302="No evaluable","Faltan datos",IF(J302=1,"Magnitud",IF(I302&gt;=$B$8,"Persistencia",IF(G302=1,"Cambio del mes","Sin umbral"))))</x:f>
        <x:v>Sin umbral</x:v>
      </x:c>
      <x:c r="M302" s="2" t="n">
        <x:f>ROW()-40</x:f>
        <x:v>262</x:v>
      </x:c>
    </x:row>
    <x:row r="303" ht="48" customHeight="1">
      <x:c r="A303" s="4" t="n">
        <x:v>45474</x:v>
      </x:c>
      <x:c r="B303" s="32" t="str">
        <x:v>Industria textil</x:v>
      </x:c>
      <x:c r="C303" s="10" t="n">
        <x:f>IF(ISNUMBER('Actividades'!F440),'Actividades'!F440,"n.a.")</x:f>
        <x:v>53.51257258064516</x:v>
      </x:c>
      <x:c r="D303" s="10" t="n">
        <x:f>IF(ISNUMBER('Actividades'!G440),'Actividades'!G440,"n.a.")</x:f>
        <x:v>63.15044892473118</x:v>
      </x:c>
      <x:c r="E303" s="10" t="n">
        <x:f>IF(AND(ISNUMBER(C303),ISNUMBER(D303),C303&gt;=0,D303&gt;0),C303-D303,"n.a.")</x:f>
        <x:v>-9.637876344086017</x:v>
      </x:c>
      <x:c r="F303" s="12" t="n">
        <x:f>IF(ISNUMBER(E303),E303/D303,"n.a.")</x:f>
        <x:v>-0.1526177011912199</x:v>
      </x:c>
      <x:c r="G303" s="2" t="n">
        <x:f>IF(ISNUMBER(F303),IF(AND(ABS(F303)+0.00000000001&gt;=$B$6,ABS(E303)+0.000000001&gt;=$D$6),1,0),"n.a.")</x:f>
        <x:v>1</x:v>
      </x:c>
      <x:c r="H303" s="2" t="n">
        <x:f>IF(ISNUMBER(E303),SIGN(E303),"n.a.")</x:f>
        <x:v>-1</x:v>
      </x:c>
      <x:c r="I303" s="2" t="n">
        <x:f>IF(NOT(ISNUMBER(G303)),"n.a.",IF(G303=0,0,IF(AND(B303=B289,A303=EDATE(A289,1),H303=H289,ISNUMBER(I289)),I289+1,1)))</x:f>
        <x:v>5</x:v>
      </x:c>
      <x:c r="J303" s="2" t="n">
        <x:f>IF(ISNUMBER(F303),IF(AND(ABS(F303)+0.00000000001&gt;=$B$7,ABS(E303)+0.000000001&gt;=$D$7),1,0),"n.a.")</x:f>
        <x:v>0</x:v>
      </x:c>
      <x:c r="K303" s="2" t="str">
        <x:f>IF(NOT(ISNUMBER(F303)),"No evaluable",IF(OR(J303=1,I303&gt;=$B$8),"Prioridad",IF(G303=1,"Observar","Sin umbral")))</x:f>
        <x:v>Prioridad</x:v>
      </x:c>
      <x:c r="L303" s="2" t="str">
        <x:f>IF(K303="No evaluable","Faltan datos",IF(J303=1,"Magnitud",IF(I303&gt;=$B$8,"Persistencia",IF(G303=1,"Cambio del mes","Sin umbral"))))</x:f>
        <x:v>Persistencia</x:v>
      </x:c>
      <x:c r="M303" s="2" t="n">
        <x:f>ROW()-40</x:f>
        <x:v>263</x:v>
      </x:c>
    </x:row>
    <x:row r="304" ht="48" customHeight="1">
      <x:c r="A304" s="4" t="n">
        <x:v>45474</x:v>
      </x:c>
      <x:c r="B304" s="32" t="str">
        <x:v>Químicas, caucho, plástico y otros minerales no metálicos</x:v>
      </x:c>
      <x:c r="C304" s="10" t="n">
        <x:f>IF(ISNUMBER('Actividades'!F441),'Actividades'!F441,"n.a.")</x:f>
        <x:v>342.4649758064516</x:v>
      </x:c>
      <x:c r="D304" s="10" t="n">
        <x:f>IF(ISNUMBER('Actividades'!G441),'Actividades'!G441,"n.a.")</x:f>
        <x:v>324.12817338709675</x:v>
      </x:c>
      <x:c r="E304" s="10" t="n">
        <x:f>IF(AND(ISNUMBER(C304),ISNUMBER(D304),C304&gt;=0,D304&gt;0),C304-D304,"n.a.")</x:f>
        <x:v>18.336802419354854</x:v>
      </x:c>
      <x:c r="F304" s="12" t="n">
        <x:f>IF(ISNUMBER(E304),E304/D304,"n.a.")</x:f>
        <x:v>0.05657268921654567</x:v>
      </x:c>
      <x:c r="G304" s="2" t="n">
        <x:f>IF(ISNUMBER(F304),IF(AND(ABS(F304)+0.00000000001&gt;=$B$6,ABS(E304)+0.000000001&gt;=$D$6),1,0),"n.a.")</x:f>
        <x:v>0</x:v>
      </x:c>
      <x:c r="H304" s="2" t="n">
        <x:f>IF(ISNUMBER(E304),SIGN(E304),"n.a.")</x:f>
        <x:v>1</x:v>
      </x:c>
      <x:c r="I304" s="2" t="n">
        <x:f>IF(NOT(ISNUMBER(G304)),"n.a.",IF(G304=0,0,IF(AND(B304=B290,A304=EDATE(A290,1),H304=H290,ISNUMBER(I290)),I290+1,1)))</x:f>
        <x:v>0</x:v>
      </x:c>
      <x:c r="J304" s="2" t="n">
        <x:f>IF(ISNUMBER(F304),IF(AND(ABS(F304)+0.00000000001&gt;=$B$7,ABS(E304)+0.000000001&gt;=$D$7),1,0),"n.a.")</x:f>
        <x:v>0</x:v>
      </x:c>
      <x:c r="K304" s="2" t="str">
        <x:f>IF(NOT(ISNUMBER(F304)),"No evaluable",IF(OR(J304=1,I304&gt;=$B$8),"Prioridad",IF(G304=1,"Observar","Sin umbral")))</x:f>
        <x:v>Sin umbral</x:v>
      </x:c>
      <x:c r="L304" s="2" t="str">
        <x:f>IF(K304="No evaluable","Faltan datos",IF(J304=1,"Magnitud",IF(I304&gt;=$B$8,"Persistencia",IF(G304=1,"Cambio del mes","Sin umbral"))))</x:f>
        <x:v>Sin umbral</x:v>
      </x:c>
      <x:c r="M304" s="2" t="n">
        <x:f>ROW()-40</x:f>
        <x:v>264</x:v>
      </x:c>
    </x:row>
    <x:row r="305" ht="48" customHeight="1">
      <x:c r="A305" s="4" t="n">
        <x:v>45474</x:v>
      </x:c>
      <x:c r="B305" s="32" t="str">
        <x:v>Extracción de minerales</x:v>
      </x:c>
      <x:c r="C305" s="10" t="n">
        <x:f>IF(ISNUMBER('Actividades'!F442),'Actividades'!F442,"n.a.")</x:f>
        <x:v>22.565686827956988</x:v>
      </x:c>
      <x:c r="D305" s="10" t="n">
        <x:f>IF(ISNUMBER('Actividades'!G442),'Actividades'!G442,"n.a.")</x:f>
        <x:v>22.565838709677422</x:v>
      </x:c>
      <x:c r="E305" s="10" t="n">
        <x:f>IF(AND(ISNUMBER(C305),ISNUMBER(D305),C305&gt;=0,D305&gt;0),C305-D305,"n.a.")</x:f>
        <x:v>-0.00015188172043423265</x:v>
      </x:c>
      <x:c r="F305" s="12" t="n">
        <x:f>IF(ISNUMBER(E305),E305/D305,"n.a.")</x:f>
        <x:v>-0.000006730603829455616</x:v>
      </x:c>
      <x:c r="G305" s="2" t="n">
        <x:f>IF(ISNUMBER(F305),IF(AND(ABS(F305)+0.00000000001&gt;=$B$6,ABS(E305)+0.000000001&gt;=$D$6),1,0),"n.a.")</x:f>
        <x:v>0</x:v>
      </x:c>
      <x:c r="H305" s="2" t="n">
        <x:f>IF(ISNUMBER(E305),SIGN(E305),"n.a.")</x:f>
        <x:v>-1</x:v>
      </x:c>
      <x:c r="I305" s="2" t="n">
        <x:f>IF(NOT(ISNUMBER(G305)),"n.a.",IF(G305=0,0,IF(AND(B305=B291,A305=EDATE(A291,1),H305=H291,ISNUMBER(I291)),I291+1,1)))</x:f>
        <x:v>0</x:v>
      </x:c>
      <x:c r="J305" s="2" t="n">
        <x:f>IF(ISNUMBER(F305),IF(AND(ABS(F305)+0.00000000001&gt;=$B$7,ABS(E305)+0.000000001&gt;=$D$7),1,0),"n.a.")</x:f>
        <x:v>0</x:v>
      </x:c>
      <x:c r="K305" s="2" t="str">
        <x:f>IF(NOT(ISNUMBER(F305)),"No evaluable",IF(OR(J305=1,I305&gt;=$B$8),"Prioridad",IF(G305=1,"Observar","Sin umbral")))</x:f>
        <x:v>Sin umbral</x:v>
      </x:c>
      <x:c r="L305" s="2" t="str">
        <x:f>IF(K305="No evaluable","Faltan datos",IF(J305=1,"Magnitud",IF(I305&gt;=$B$8,"Persistencia",IF(G305=1,"Cambio del mes","Sin umbral"))))</x:f>
        <x:v>Sin umbral</x:v>
      </x:c>
      <x:c r="M305" s="2" t="n">
        <x:f>ROW()-40</x:f>
        <x:v>265</x:v>
      </x:c>
    </x:row>
    <x:row r="306" ht="48" customHeight="1">
      <x:c r="A306" s="4" t="n">
        <x:v>45474</x:v>
      </x:c>
      <x:c r="B306" s="32" t="str">
        <x:v>Extracción de petróleo</x:v>
      </x:c>
      <x:c r="C306" s="10" t="n">
        <x:f>IF(ISNUMBER('Actividades'!F443),'Actividades'!F443,"n.a.")</x:f>
        <x:v>145.65702688172044</x:v>
      </x:c>
      <x:c r="D306" s="10" t="n">
        <x:f>IF(ISNUMBER('Actividades'!G443),'Actividades'!G443,"n.a.")</x:f>
        <x:v>164.81235887096773</x:v>
      </x:c>
      <x:c r="E306" s="10" t="n">
        <x:f>IF(AND(ISNUMBER(C306),ISNUMBER(D306),C306&gt;=0,D306&gt;0),C306-D306,"n.a.")</x:f>
        <x:v>-19.155331989247287</x:v>
      </x:c>
      <x:c r="F306" s="12" t="n">
        <x:f>IF(ISNUMBER(E306),E306/D306,"n.a.")</x:f>
        <x:v>-0.11622509452852425</x:v>
      </x:c>
      <x:c r="G306" s="2" t="n">
        <x:f>IF(ISNUMBER(F306),IF(AND(ABS(F306)+0.00000000001&gt;=$B$6,ABS(E306)+0.000000001&gt;=$D$6),1,0),"n.a.")</x:f>
        <x:v>1</x:v>
      </x:c>
      <x:c r="H306" s="2" t="n">
        <x:f>IF(ISNUMBER(E306),SIGN(E306),"n.a.")</x:f>
        <x:v>-1</x:v>
      </x:c>
      <x:c r="I306" s="2" t="n">
        <x:f>IF(NOT(ISNUMBER(G306)),"n.a.",IF(G306=0,0,IF(AND(B306=B292,A306=EDATE(A292,1),H306=H292,ISNUMBER(I292)),I292+1,1)))</x:f>
        <x:v>3</x:v>
      </x:c>
      <x:c r="J306" s="2" t="n">
        <x:f>IF(ISNUMBER(F306),IF(AND(ABS(F306)+0.00000000001&gt;=$B$7,ABS(E306)+0.000000001&gt;=$D$7),1,0),"n.a.")</x:f>
        <x:v>0</x:v>
      </x:c>
      <x:c r="K306" s="2" t="str">
        <x:f>IF(NOT(ISNUMBER(F306)),"No evaluable",IF(OR(J306=1,I306&gt;=$B$8),"Prioridad",IF(G306=1,"Observar","Sin umbral")))</x:f>
        <x:v>Prioridad</x:v>
      </x:c>
      <x:c r="L306" s="2" t="str">
        <x:f>IF(K306="No evaluable","Faltan datos",IF(J306=1,"Magnitud",IF(I306&gt;=$B$8,"Persistencia",IF(G306=1,"Cambio del mes","Sin umbral"))))</x:f>
        <x:v>Persistencia</x:v>
      </x:c>
      <x:c r="M306" s="2" t="n">
        <x:f>ROW()-40</x:f>
        <x:v>266</x:v>
      </x:c>
    </x:row>
    <x:row r="307" ht="48" customHeight="1">
      <x:c r="A307" s="4" t="n">
        <x:v>45505</x:v>
      </x:c>
      <x:c r="B307" s="32" t="str">
        <x:v>Cargas y puertos</x:v>
      </x:c>
      <x:c r="C307" s="10" t="n">
        <x:f>IF(ISNUMBER('Actividades'!F444),'Actividades'!F444,"n.a.")</x:f>
        <x:v>9.959030913978495</x:v>
      </x:c>
      <x:c r="D307" s="10" t="n">
        <x:f>IF(ISNUMBER('Actividades'!G444),'Actividades'!G444,"n.a.")</x:f>
        <x:v>7.8863790322580645</x:v>
      </x:c>
      <x:c r="E307" s="10" t="n">
        <x:f>IF(AND(ISNUMBER(C307),ISNUMBER(D307),C307&gt;=0,D307&gt;0),C307-D307,"n.a.")</x:f>
        <x:v>2.0726518817204305</x:v>
      </x:c>
      <x:c r="F307" s="12" t="n">
        <x:f>IF(ISNUMBER(E307),E307/D307,"n.a.")</x:f>
        <x:v>0.2628141347559577</x:v>
      </x:c>
      <x:c r="G307" s="2" t="n">
        <x:f>IF(ISNUMBER(F307),IF(AND(ABS(F307)+0.00000000001&gt;=$B$6,ABS(E307)+0.000000001&gt;=$D$6),1,0),"n.a.")</x:f>
        <x:v>0</x:v>
      </x:c>
      <x:c r="H307" s="2" t="n">
        <x:f>IF(ISNUMBER(E307),SIGN(E307),"n.a.")</x:f>
        <x:v>1</x:v>
      </x:c>
      <x:c r="I307" s="2" t="n">
        <x:f>IF(NOT(ISNUMBER(G307)),"n.a.",IF(G307=0,0,IF(AND(B307=B293,A307=EDATE(A293,1),H307=H293,ISNUMBER(I293)),I293+1,1)))</x:f>
        <x:v>0</x:v>
      </x:c>
      <x:c r="J307" s="2" t="n">
        <x:f>IF(ISNUMBER(F307),IF(AND(ABS(F307)+0.00000000001&gt;=$B$7,ABS(E307)+0.000000001&gt;=$D$7),1,0),"n.a.")</x:f>
        <x:v>0</x:v>
      </x:c>
      <x:c r="K307" s="2" t="str">
        <x:f>IF(NOT(ISNUMBER(F307)),"No evaluable",IF(OR(J307=1,I307&gt;=$B$8),"Prioridad",IF(G307=1,"Observar","Sin umbral")))</x:f>
        <x:v>Sin umbral</x:v>
      </x:c>
      <x:c r="L307" s="2" t="str">
        <x:f>IF(K307="No evaluable","Faltan datos",IF(J307=1,"Magnitud",IF(I307&gt;=$B$8,"Persistencia",IF(G307=1,"Cambio del mes","Sin umbral"))))</x:f>
        <x:v>Sin umbral</x:v>
      </x:c>
      <x:c r="M307" s="2" t="n">
        <x:f>ROW()-40</x:f>
        <x:v>267</x:v>
      </x:c>
    </x:row>
    <x:row r="308" ht="48" customHeight="1">
      <x:c r="A308" s="4" t="n">
        <x:v>45505</x:v>
      </x:c>
      <x:c r="B308" s="32" t="str">
        <x:v>Comercio y servicios: principalmente supermercados y centros comerciales</x:v>
      </x:c>
      <x:c r="C308" s="10" t="n">
        <x:f>IF(ISNUMBER('Actividades'!F445),'Actividades'!F445,"n.a.")</x:f>
        <x:v>32.436723118279566</x:v>
      </x:c>
      <x:c r="D308" s="10" t="n">
        <x:f>IF(ISNUMBER('Actividades'!G445),'Actividades'!G445,"n.a.")</x:f>
        <x:v>29.50452553763441</x:v>
      </x:c>
      <x:c r="E308" s="10" t="n">
        <x:f>IF(AND(ISNUMBER(C308),ISNUMBER(D308),C308&gt;=0,D308&gt;0),C308-D308,"n.a.")</x:f>
        <x:v>2.9321975806451555</x:v>
      </x:c>
      <x:c r="F308" s="12" t="n">
        <x:f>IF(ISNUMBER(E308),E308/D308,"n.a.")</x:f>
        <x:v>0.0993812822682066</x:v>
      </x:c>
      <x:c r="G308" s="2" t="n">
        <x:f>IF(ISNUMBER(F308),IF(AND(ABS(F308)+0.00000000001&gt;=$B$6,ABS(E308)+0.000000001&gt;=$D$6),1,0),"n.a.")</x:f>
        <x:v>0</x:v>
      </x:c>
      <x:c r="H308" s="2" t="n">
        <x:f>IF(ISNUMBER(E308),SIGN(E308),"n.a.")</x:f>
        <x:v>1</x:v>
      </x:c>
      <x:c r="I308" s="2" t="n">
        <x:f>IF(NOT(ISNUMBER(G308)),"n.a.",IF(G308=0,0,IF(AND(B308=B294,A308=EDATE(A294,1),H308=H294,ISNUMBER(I294)),I294+1,1)))</x:f>
        <x:v>0</x:v>
      </x:c>
      <x:c r="J308" s="2" t="n">
        <x:f>IF(ISNUMBER(F308),IF(AND(ABS(F308)+0.00000000001&gt;=$B$7,ABS(E308)+0.000000001&gt;=$D$7),1,0),"n.a.")</x:f>
        <x:v>0</x:v>
      </x:c>
      <x:c r="K308" s="2" t="str">
        <x:f>IF(NOT(ISNUMBER(F308)),"No evaluable",IF(OR(J308=1,I308&gt;=$B$8),"Prioridad",IF(G308=1,"Observar","Sin umbral")))</x:f>
        <x:v>Sin umbral</x:v>
      </x:c>
      <x:c r="L308" s="2" t="str">
        <x:f>IF(K308="No evaluable","Faltan datos",IF(J308=1,"Magnitud",IF(I308&gt;=$B$8,"Persistencia",IF(G308=1,"Cambio del mes","Sin umbral"))))</x:f>
        <x:v>Sin umbral</x:v>
      </x:c>
      <x:c r="M308" s="2" t="n">
        <x:f>ROW()-40</x:f>
        <x:v>268</x:v>
      </x:c>
    </x:row>
    <x:row r="309" ht="48" customHeight="1">
      <x:c r="A309" s="4" t="n">
        <x:v>45505</x:v>
      </x:c>
      <x:c r="B309" s="32" t="str">
        <x:v>Alimentación y artículos de consumo masivo</x:v>
      </x:c>
      <x:c r="C309" s="10" t="n">
        <x:f>IF(ISNUMBER('Actividades'!F446),'Actividades'!F446,"n.a.")</x:f>
        <x:v>270.41067607526884</x:v>
      </x:c>
      <x:c r="D309" s="10" t="n">
        <x:f>IF(ISNUMBER('Actividades'!G446),'Actividades'!G446,"n.a.")</x:f>
        <x:v>267.00815188172044</x:v>
      </x:c>
      <x:c r="E309" s="10" t="n">
        <x:f>IF(AND(ISNUMBER(C309),ISNUMBER(D309),C309&gt;=0,D309&gt;0),C309-D309,"n.a.")</x:f>
        <x:v>3.402524193548402</x:v>
      </x:c>
      <x:c r="F309" s="12" t="n">
        <x:f>IF(ISNUMBER(E309),E309/D309,"n.a.")</x:f>
        <x:v>0.012743147239398353</x:v>
      </x:c>
      <x:c r="G309" s="2" t="n">
        <x:f>IF(ISNUMBER(F309),IF(AND(ABS(F309)+0.00000000001&gt;=$B$6,ABS(E309)+0.000000001&gt;=$D$6),1,0),"n.a.")</x:f>
        <x:v>0</x:v>
      </x:c>
      <x:c r="H309" s="2" t="n">
        <x:f>IF(ISNUMBER(E309),SIGN(E309),"n.a.")</x:f>
        <x:v>1</x:v>
      </x:c>
      <x:c r="I309" s="2" t="n">
        <x:f>IF(NOT(ISNUMBER(G309)),"n.a.",IF(G309=0,0,IF(AND(B309=B295,A309=EDATE(A295,1),H309=H295,ISNUMBER(I295)),I295+1,1)))</x:f>
        <x:v>0</x:v>
      </x:c>
      <x:c r="J309" s="2" t="n">
        <x:f>IF(ISNUMBER(F309),IF(AND(ABS(F309)+0.00000000001&gt;=$B$7,ABS(E309)+0.000000001&gt;=$D$7),1,0),"n.a.")</x:f>
        <x:v>0</x:v>
      </x:c>
      <x:c r="K309" s="2" t="str">
        <x:f>IF(NOT(ISNUMBER(F309)),"No evaluable",IF(OR(J309=1,I309&gt;=$B$8),"Prioridad",IF(G309=1,"Observar","Sin umbral")))</x:f>
        <x:v>Sin umbral</x:v>
      </x:c>
      <x:c r="L309" s="2" t="str">
        <x:f>IF(K309="No evaluable","Faltan datos",IF(J309=1,"Magnitud",IF(I309&gt;=$B$8,"Persistencia",IF(G309=1,"Cambio del mes","Sin umbral"))))</x:f>
        <x:v>Sin umbral</x:v>
      </x:c>
      <x:c r="M309" s="2" t="n">
        <x:f>ROW()-40</x:f>
        <x:v>269</x:v>
      </x:c>
    </x:row>
    <x:row r="310" ht="48" customHeight="1">
      <x:c r="A310" s="4" t="n">
        <x:v>45505</x:v>
      </x:c>
      <x:c r="B310" s="32" t="str">
        <x:v>Servicios públicos y transporte: agua y transporte en GBA</x:v>
      </x:c>
      <x:c r="C310" s="10" t="n">
        <x:f>IF(ISNUMBER('Actividades'!F447),'Actividades'!F447,"n.a.")</x:f>
        <x:v>85.22431989247312</x:v>
      </x:c>
      <x:c r="D310" s="10" t="n">
        <x:f>IF(ISNUMBER('Actividades'!G447),'Actividades'!G447,"n.a.")</x:f>
        <x:v>87.38067069892473</x:v>
      </x:c>
      <x:c r="E310" s="10" t="n">
        <x:f>IF(AND(ISNUMBER(C310),ISNUMBER(D310),C310&gt;=0,D310&gt;0),C310-D310,"n.a.")</x:f>
        <x:v>-2.156350806451613</x:v>
      </x:c>
      <x:c r="F310" s="12" t="n">
        <x:f>IF(ISNUMBER(E310),E310/D310,"n.a.")</x:f>
        <x:v>-0.024677663712166356</x:v>
      </x:c>
      <x:c r="G310" s="2" t="n">
        <x:f>IF(ISNUMBER(F310),IF(AND(ABS(F310)+0.00000000001&gt;=$B$6,ABS(E310)+0.000000001&gt;=$D$6),1,0),"n.a.")</x:f>
        <x:v>0</x:v>
      </x:c>
      <x:c r="H310" s="2" t="n">
        <x:f>IF(ISNUMBER(E310),SIGN(E310),"n.a.")</x:f>
        <x:v>-1</x:v>
      </x:c>
      <x:c r="I310" s="2" t="n">
        <x:f>IF(NOT(ISNUMBER(G310)),"n.a.",IF(G310=0,0,IF(AND(B310=B296,A310=EDATE(A296,1),H310=H296,ISNUMBER(I296)),I296+1,1)))</x:f>
        <x:v>0</x:v>
      </x:c>
      <x:c r="J310" s="2" t="n">
        <x:f>IF(ISNUMBER(F310),IF(AND(ABS(F310)+0.00000000001&gt;=$B$7,ABS(E310)+0.000000001&gt;=$D$7),1,0),"n.a.")</x:f>
        <x:v>0</x:v>
      </x:c>
      <x:c r="K310" s="2" t="str">
        <x:f>IF(NOT(ISNUMBER(F310)),"No evaluable",IF(OR(J310=1,I310&gt;=$B$8),"Prioridad",IF(G310=1,"Observar","Sin umbral")))</x:f>
        <x:v>Sin umbral</x:v>
      </x:c>
      <x:c r="L310" s="2" t="str">
        <x:f>IF(K310="No evaluable","Faltan datos",IF(J310=1,"Magnitud",IF(I310&gt;=$B$8,"Persistencia",IF(G310=1,"Cambio del mes","Sin umbral"))))</x:f>
        <x:v>Sin umbral</x:v>
      </x:c>
      <x:c r="M310" s="2" t="n">
        <x:f>ROW()-40</x:f>
        <x:v>270</x:v>
      </x:c>
    </x:row>
    <x:row r="311" ht="48" customHeight="1">
      <x:c r="A311" s="4" t="n">
        <x:v>45505</x:v>
      </x:c>
      <x:c r="B311" s="32" t="str">
        <x:v>Industria automotriz</x:v>
      </x:c>
      <x:c r="C311" s="10" t="n">
        <x:f>IF(ISNUMBER('Actividades'!F448),'Actividades'!F448,"n.a.")</x:f>
        <x:v>42.96219623655914</x:v>
      </x:c>
      <x:c r="D311" s="10" t="n">
        <x:f>IF(ISNUMBER('Actividades'!G448),'Actividades'!G448,"n.a.")</x:f>
        <x:v>39.503408602150536</x:v>
      </x:c>
      <x:c r="E311" s="10" t="n">
        <x:f>IF(AND(ISNUMBER(C311),ISNUMBER(D311),C311&gt;=0,D311&gt;0),C311-D311,"n.a.")</x:f>
        <x:v>3.4587876344086013</x:v>
      </x:c>
      <x:c r="F311" s="12" t="n">
        <x:f>IF(ISNUMBER(E311),E311/D311,"n.a.")</x:f>
        <x:v>0.08755668831626615</x:v>
      </x:c>
      <x:c r="G311" s="2" t="n">
        <x:f>IF(ISNUMBER(F311),IF(AND(ABS(F311)+0.00000000001&gt;=$B$6,ABS(E311)+0.000000001&gt;=$D$6),1,0),"n.a.")</x:f>
        <x:v>0</x:v>
      </x:c>
      <x:c r="H311" s="2" t="n">
        <x:f>IF(ISNUMBER(E311),SIGN(E311),"n.a.")</x:f>
        <x:v>1</x:v>
      </x:c>
      <x:c r="I311" s="2" t="n">
        <x:f>IF(NOT(ISNUMBER(G311)),"n.a.",IF(G311=0,0,IF(AND(B311=B297,A311=EDATE(A297,1),H311=H297,ISNUMBER(I297)),I297+1,1)))</x:f>
        <x:v>0</x:v>
      </x:c>
      <x:c r="J311" s="2" t="n">
        <x:f>IF(ISNUMBER(F311),IF(AND(ABS(F311)+0.00000000001&gt;=$B$7,ABS(E311)+0.000000001&gt;=$D$7),1,0),"n.a.")</x:f>
        <x:v>0</x:v>
      </x:c>
      <x:c r="K311" s="2" t="str">
        <x:f>IF(NOT(ISNUMBER(F311)),"No evaluable",IF(OR(J311=1,I311&gt;=$B$8),"Prioridad",IF(G311=1,"Observar","Sin umbral")))</x:f>
        <x:v>Sin umbral</x:v>
      </x:c>
      <x:c r="L311" s="2" t="str">
        <x:f>IF(K311="No evaluable","Faltan datos",IF(J311=1,"Magnitud",IF(I311&gt;=$B$8,"Persistencia",IF(G311=1,"Cambio del mes","Sin umbral"))))</x:f>
        <x:v>Sin umbral</x:v>
      </x:c>
      <x:c r="M311" s="2" t="n">
        <x:f>ROW()-40</x:f>
        <x:v>271</x:v>
      </x:c>
    </x:row>
    <x:row r="312" ht="48" customHeight="1">
      <x:c r="A312" s="4" t="n">
        <x:v>45505</x:v>
      </x:c>
      <x:c r="B312" s="32" t="str">
        <x:v>Derivados de petróleo</x:v>
      </x:c>
      <x:c r="C312" s="10" t="n">
        <x:f>IF(ISNUMBER('Actividades'!F449),'Actividades'!F449,"n.a.")</x:f>
        <x:v>154.567001344086</x:v>
      </x:c>
      <x:c r="D312" s="10" t="n">
        <x:f>IF(ISNUMBER('Actividades'!G449),'Actividades'!G449,"n.a.")</x:f>
        <x:v>142.001876344086</x:v>
      </x:c>
      <x:c r="E312" s="10" t="n">
        <x:f>IF(AND(ISNUMBER(C312),ISNUMBER(D312),C312&gt;=0,D312&gt;0),C312-D312,"n.a.")</x:f>
        <x:v>12.565124999999995</x:v>
      </x:c>
      <x:c r="F312" s="12" t="n">
        <x:f>IF(ISNUMBER(E312),E312/D312,"n.a.")</x:f>
        <x:v>0.08848562655294306</x:v>
      </x:c>
      <x:c r="G312" s="2" t="n">
        <x:f>IF(ISNUMBER(F312),IF(AND(ABS(F312)+0.00000000001&gt;=$B$6,ABS(E312)+0.000000001&gt;=$D$6),1,0),"n.a.")</x:f>
        <x:v>0</x:v>
      </x:c>
      <x:c r="H312" s="2" t="n">
        <x:f>IF(ISNUMBER(E312),SIGN(E312),"n.a.")</x:f>
        <x:v>1</x:v>
      </x:c>
      <x:c r="I312" s="2" t="n">
        <x:f>IF(NOT(ISNUMBER(G312)),"n.a.",IF(G312=0,0,IF(AND(B312=B298,A312=EDATE(A298,1),H312=H298,ISNUMBER(I298)),I298+1,1)))</x:f>
        <x:v>0</x:v>
      </x:c>
      <x:c r="J312" s="2" t="n">
        <x:f>IF(ISNUMBER(F312),IF(AND(ABS(F312)+0.00000000001&gt;=$B$7,ABS(E312)+0.000000001&gt;=$D$7),1,0),"n.a.")</x:f>
        <x:v>0</x:v>
      </x:c>
      <x:c r="K312" s="2" t="str">
        <x:f>IF(NOT(ISNUMBER(F312)),"No evaluable",IF(OR(J312=1,I312&gt;=$B$8),"Prioridad",IF(G312=1,"Observar","Sin umbral")))</x:f>
        <x:v>Sin umbral</x:v>
      </x:c>
      <x:c r="L312" s="2" t="str">
        <x:f>IF(K312="No evaluable","Faltan datos",IF(J312=1,"Magnitud",IF(I312&gt;=$B$8,"Persistencia",IF(G312=1,"Cambio del mes","Sin umbral"))))</x:f>
        <x:v>Sin umbral</x:v>
      </x:c>
      <x:c r="M312" s="2" t="n">
        <x:f>ROW()-40</x:f>
        <x:v>272</x:v>
      </x:c>
    </x:row>
    <x:row r="313" ht="48" customHeight="1">
      <x:c r="A313" s="4" t="n">
        <x:v>45505</x:v>
      </x:c>
      <x:c r="B313" s="32" t="str">
        <x:v>Construcción: elaboración de cemento y canteras</x:v>
      </x:c>
      <x:c r="C313" s="10" t="n">
        <x:f>IF(ISNUMBER('Actividades'!F450),'Actividades'!F450,"n.a.")</x:f>
        <x:v>133.24863978494622</x:v>
      </x:c>
      <x:c r="D313" s="10" t="n">
        <x:f>IF(ISNUMBER('Actividades'!G450),'Actividades'!G450,"n.a.")</x:f>
        <x:v>171.2518185483871</x:v>
      </x:c>
      <x:c r="E313" s="10" t="n">
        <x:f>IF(AND(ISNUMBER(C313),ISNUMBER(D313),C313&gt;=0,D313&gt;0),C313-D313,"n.a.")</x:f>
        <x:v>-38.00317876344087</x:v>
      </x:c>
      <x:c r="F313" s="12" t="n">
        <x:f>IF(ISNUMBER(E313),E313/D313,"n.a.")</x:f>
        <x:v>-0.2219140157784841</x:v>
      </x:c>
      <x:c r="G313" s="2" t="n">
        <x:f>IF(ISNUMBER(F313),IF(AND(ABS(F313)+0.00000000001&gt;=$B$6,ABS(E313)+0.000000001&gt;=$D$6),1,0),"n.a.")</x:f>
        <x:v>1</x:v>
      </x:c>
      <x:c r="H313" s="2" t="n">
        <x:f>IF(ISNUMBER(E313),SIGN(E313),"n.a.")</x:f>
        <x:v>-1</x:v>
      </x:c>
      <x:c r="I313" s="2" t="n">
        <x:f>IF(NOT(ISNUMBER(G313)),"n.a.",IF(G313=0,0,IF(AND(B313=B299,A313=EDATE(A299,1),H313=H299,ISNUMBER(I299)),I299+1,1)))</x:f>
        <x:v>8</x:v>
      </x:c>
      <x:c r="J313" s="2" t="n">
        <x:f>IF(ISNUMBER(F313),IF(AND(ABS(F313)+0.00000000001&gt;=$B$7,ABS(E313)+0.000000001&gt;=$D$7),1,0),"n.a.")</x:f>
        <x:v>1</x:v>
      </x:c>
      <x:c r="K313" s="2" t="str">
        <x:f>IF(NOT(ISNUMBER(F313)),"No evaluable",IF(OR(J313=1,I313&gt;=$B$8),"Prioridad",IF(G313=1,"Observar","Sin umbral")))</x:f>
        <x:v>Prioridad</x:v>
      </x:c>
      <x:c r="L313" s="2" t="str">
        <x:f>IF(K313="No evaluable","Faltan datos",IF(J313=1,"Magnitud",IF(I313&gt;=$B$8,"Persistencia",IF(G313=1,"Cambio del mes","Sin umbral"))))</x:f>
        <x:v>Magnitud</x:v>
      </x:c>
      <x:c r="M313" s="2" t="n">
        <x:f>ROW()-40</x:f>
        <x:v>273</x:v>
      </x:c>
    </x:row>
    <x:row r="314" ht="48" customHeight="1">
      <x:c r="A314" s="4" t="n">
        <x:v>45505</x:v>
      </x:c>
      <x:c r="B314" s="32" t="str">
        <x:v>Madera y papel</x:v>
      </x:c>
      <x:c r="C314" s="10" t="n">
        <x:f>IF(ISNUMBER('Actividades'!F451),'Actividades'!F451,"n.a.")</x:f>
        <x:v>96.62161962365592</x:v>
      </x:c>
      <x:c r="D314" s="10" t="n">
        <x:f>IF(ISNUMBER('Actividades'!G451),'Actividades'!G451,"n.a.")</x:f>
        <x:v>105.49800134408602</x:v>
      </x:c>
      <x:c r="E314" s="10" t="n">
        <x:f>IF(AND(ISNUMBER(C314),ISNUMBER(D314),C314&gt;=0,D314&gt;0),C314-D314,"n.a.")</x:f>
        <x:v>-8.876381720430103</x:v>
      </x:c>
      <x:c r="F314" s="12" t="n">
        <x:f>IF(ISNUMBER(E314),E314/D314,"n.a.")</x:f>
        <x:v>-0.08413791358453725</x:v>
      </x:c>
      <x:c r="G314" s="2" t="n">
        <x:f>IF(ISNUMBER(F314),IF(AND(ABS(F314)+0.00000000001&gt;=$B$6,ABS(E314)+0.000000001&gt;=$D$6),1,0),"n.a.")</x:f>
        <x:v>0</x:v>
      </x:c>
      <x:c r="H314" s="2" t="n">
        <x:f>IF(ISNUMBER(E314),SIGN(E314),"n.a.")</x:f>
        <x:v>-1</x:v>
      </x:c>
      <x:c r="I314" s="2" t="n">
        <x:f>IF(NOT(ISNUMBER(G314)),"n.a.",IF(G314=0,0,IF(AND(B314=B300,A314=EDATE(A300,1),H314=H300,ISNUMBER(I300)),I300+1,1)))</x:f>
        <x:v>0</x:v>
      </x:c>
      <x:c r="J314" s="2" t="n">
        <x:f>IF(ISNUMBER(F314),IF(AND(ABS(F314)+0.00000000001&gt;=$B$7,ABS(E314)+0.000000001&gt;=$D$7),1,0),"n.a.")</x:f>
        <x:v>0</x:v>
      </x:c>
      <x:c r="K314" s="2" t="str">
        <x:f>IF(NOT(ISNUMBER(F314)),"No evaluable",IF(OR(J314=1,I314&gt;=$B$8),"Prioridad",IF(G314=1,"Observar","Sin umbral")))</x:f>
        <x:v>Sin umbral</x:v>
      </x:c>
      <x:c r="L314" s="2" t="str">
        <x:f>IF(K314="No evaluable","Faltan datos",IF(J314=1,"Magnitud",IF(I314&gt;=$B$8,"Persistencia",IF(G314=1,"Cambio del mes","Sin umbral"))))</x:f>
        <x:v>Sin umbral</x:v>
      </x:c>
      <x:c r="M314" s="2" t="n">
        <x:f>ROW()-40</x:f>
        <x:v>274</x:v>
      </x:c>
    </x:row>
    <x:row r="315" ht="48" customHeight="1">
      <x:c r="A315" s="4" t="n">
        <x:v>45505</x:v>
      </x:c>
      <x:c r="B315" s="32" t="str">
        <x:v>Productos metálicos no automotores</x:v>
      </x:c>
      <x:c r="C315" s="10" t="n">
        <x:f>IF(ISNUMBER('Actividades'!F452),'Actividades'!F452,"n.a.")</x:f>
        <x:v>41.913873655913974</x:v>
      </x:c>
      <x:c r="D315" s="10" t="n">
        <x:f>IF(ISNUMBER('Actividades'!G452),'Actividades'!G452,"n.a.")</x:f>
        <x:v>50.94696774193548</x:v>
      </x:c>
      <x:c r="E315" s="10" t="n">
        <x:f>IF(AND(ISNUMBER(C315),ISNUMBER(D315),C315&gt;=0,D315&gt;0),C315-D315,"n.a.")</x:f>
        <x:v>-9.033094086021507</x:v>
      </x:c>
      <x:c r="F315" s="12" t="n">
        <x:f>IF(ISNUMBER(E315),E315/D315,"n.a.")</x:f>
        <x:v>-0.17730386098299986</x:v>
      </x:c>
      <x:c r="G315" s="2" t="n">
        <x:f>IF(ISNUMBER(F315),IF(AND(ABS(F315)+0.00000000001&gt;=$B$6,ABS(E315)+0.000000001&gt;=$D$6),1,0),"n.a.")</x:f>
        <x:v>1</x:v>
      </x:c>
      <x:c r="H315" s="2" t="n">
        <x:f>IF(ISNUMBER(E315),SIGN(E315),"n.a.")</x:f>
        <x:v>-1</x:v>
      </x:c>
      <x:c r="I315" s="2" t="n">
        <x:f>IF(NOT(ISNUMBER(G315)),"n.a.",IF(G315=0,0,IF(AND(B315=B301,A315=EDATE(A301,1),H315=H301,ISNUMBER(I301)),I301+1,1)))</x:f>
        <x:v>6</x:v>
      </x:c>
      <x:c r="J315" s="2" t="n">
        <x:f>IF(ISNUMBER(F315),IF(AND(ABS(F315)+0.00000000001&gt;=$B$7,ABS(E315)+0.000000001&gt;=$D$7),1,0),"n.a.")</x:f>
        <x:v>0</x:v>
      </x:c>
      <x:c r="K315" s="2" t="str">
        <x:f>IF(NOT(ISNUMBER(F315)),"No evaluable",IF(OR(J315=1,I315&gt;=$B$8),"Prioridad",IF(G315=1,"Observar","Sin umbral")))</x:f>
        <x:v>Prioridad</x:v>
      </x:c>
      <x:c r="L315" s="2" t="str">
        <x:f>IF(K315="No evaluable","Faltan datos",IF(J315=1,"Magnitud",IF(I315&gt;=$B$8,"Persistencia",IF(G315=1,"Cambio del mes","Sin umbral"))))</x:f>
        <x:v>Persistencia</x:v>
      </x:c>
      <x:c r="M315" s="2" t="n">
        <x:f>ROW()-40</x:f>
        <x:v>275</x:v>
      </x:c>
    </x:row>
    <x:row r="316" ht="48" customHeight="1">
      <x:c r="A316" s="4" t="n">
        <x:v>45505</x:v>
      </x:c>
      <x:c r="B316" s="32" t="str">
        <x:v>Gran siderurgia</x:v>
      </x:c>
      <x:c r="C316" s="10" t="n">
        <x:f>IF(ISNUMBER('Actividades'!F453),'Actividades'!F453,"n.a.")</x:f>
        <x:v>254.93140725806452</x:v>
      </x:c>
      <x:c r="D316" s="10" t="n">
        <x:f>IF(ISNUMBER('Actividades'!G453),'Actividades'!G453,"n.a.")</x:f>
        <x:v>313.49506182795693</x:v>
      </x:c>
      <x:c r="E316" s="10" t="n">
        <x:f>IF(AND(ISNUMBER(C316),ISNUMBER(D316),C316&gt;=0,D316&gt;0),C316-D316,"n.a.")</x:f>
        <x:v>-58.56365456989241</x:v>
      </x:c>
      <x:c r="F316" s="12" t="n">
        <x:f>IF(ISNUMBER(E316),E316/D316,"n.a.")</x:f>
        <x:v>-0.18680885825892715</x:v>
      </x:c>
      <x:c r="G316" s="2" t="n">
        <x:f>IF(ISNUMBER(F316),IF(AND(ABS(F316)+0.00000000001&gt;=$B$6,ABS(E316)+0.000000001&gt;=$D$6),1,0),"n.a.")</x:f>
        <x:v>1</x:v>
      </x:c>
      <x:c r="H316" s="2" t="n">
        <x:f>IF(ISNUMBER(E316),SIGN(E316),"n.a.")</x:f>
        <x:v>-1</x:v>
      </x:c>
      <x:c r="I316" s="2" t="n">
        <x:f>IF(NOT(ISNUMBER(G316)),"n.a.",IF(G316=0,0,IF(AND(B316=B302,A316=EDATE(A302,1),H316=H302,ISNUMBER(I302)),I302+1,1)))</x:f>
        <x:v>1</x:v>
      </x:c>
      <x:c r="J316" s="2" t="n">
        <x:f>IF(ISNUMBER(F316),IF(AND(ABS(F316)+0.00000000001&gt;=$B$7,ABS(E316)+0.000000001&gt;=$D$7),1,0),"n.a.")</x:f>
        <x:v>0</x:v>
      </x:c>
      <x:c r="K316" s="2" t="str">
        <x:f>IF(NOT(ISNUMBER(F316)),"No evaluable",IF(OR(J316=1,I316&gt;=$B$8),"Prioridad",IF(G316=1,"Observar","Sin umbral")))</x:f>
        <x:v>Observar</x:v>
      </x:c>
      <x:c r="L316" s="2" t="str">
        <x:f>IF(K316="No evaluable","Faltan datos",IF(J316=1,"Magnitud",IF(I316&gt;=$B$8,"Persistencia",IF(G316=1,"Cambio del mes","Sin umbral"))))</x:f>
        <x:v>Cambio del mes</x:v>
      </x:c>
      <x:c r="M316" s="2" t="n">
        <x:f>ROW()-40</x:f>
        <x:v>276</x:v>
      </x:c>
    </x:row>
    <x:row r="317" ht="48" customHeight="1">
      <x:c r="A317" s="4" t="n">
        <x:v>45505</x:v>
      </x:c>
      <x:c r="B317" s="32" t="str">
        <x:v>Industria textil</x:v>
      </x:c>
      <x:c r="C317" s="10" t="n">
        <x:f>IF(ISNUMBER('Actividades'!F454),'Actividades'!F454,"n.a.")</x:f>
        <x:v>54.60349731182796</x:v>
      </x:c>
      <x:c r="D317" s="10" t="n">
        <x:f>IF(ISNUMBER('Actividades'!G454),'Actividades'!G454,"n.a.")</x:f>
        <x:v>64.08151747311827</x:v>
      </x:c>
      <x:c r="E317" s="10" t="n">
        <x:f>IF(AND(ISNUMBER(C317),ISNUMBER(D317),C317&gt;=0,D317&gt;0),C317-D317,"n.a.")</x:f>
        <x:v>-9.47802016129031</x:v>
      </x:c>
      <x:c r="F317" s="12" t="n">
        <x:f>IF(ISNUMBER(E317),E317/D317,"n.a.")</x:f>
        <x:v>-0.14790567600503954</x:v>
      </x:c>
      <x:c r="G317" s="2" t="n">
        <x:f>IF(ISNUMBER(F317),IF(AND(ABS(F317)+0.00000000001&gt;=$B$6,ABS(E317)+0.000000001&gt;=$D$6),1,0),"n.a.")</x:f>
        <x:v>1</x:v>
      </x:c>
      <x:c r="H317" s="2" t="n">
        <x:f>IF(ISNUMBER(E317),SIGN(E317),"n.a.")</x:f>
        <x:v>-1</x:v>
      </x:c>
      <x:c r="I317" s="2" t="n">
        <x:f>IF(NOT(ISNUMBER(G317)),"n.a.",IF(G317=0,0,IF(AND(B317=B303,A317=EDATE(A303,1),H317=H303,ISNUMBER(I303)),I303+1,1)))</x:f>
        <x:v>6</x:v>
      </x:c>
      <x:c r="J317" s="2" t="n">
        <x:f>IF(ISNUMBER(F317),IF(AND(ABS(F317)+0.00000000001&gt;=$B$7,ABS(E317)+0.000000001&gt;=$D$7),1,0),"n.a.")</x:f>
        <x:v>0</x:v>
      </x:c>
      <x:c r="K317" s="2" t="str">
        <x:f>IF(NOT(ISNUMBER(F317)),"No evaluable",IF(OR(J317=1,I317&gt;=$B$8),"Prioridad",IF(G317=1,"Observar","Sin umbral")))</x:f>
        <x:v>Prioridad</x:v>
      </x:c>
      <x:c r="L317" s="2" t="str">
        <x:f>IF(K317="No evaluable","Faltan datos",IF(J317=1,"Magnitud",IF(I317&gt;=$B$8,"Persistencia",IF(G317=1,"Cambio del mes","Sin umbral"))))</x:f>
        <x:v>Persistencia</x:v>
      </x:c>
      <x:c r="M317" s="2" t="n">
        <x:f>ROW()-40</x:f>
        <x:v>277</x:v>
      </x:c>
    </x:row>
    <x:row r="318" ht="48" customHeight="1">
      <x:c r="A318" s="4" t="n">
        <x:v>45505</x:v>
      </x:c>
      <x:c r="B318" s="32" t="str">
        <x:v>Químicas, caucho, plástico y otros minerales no metálicos</x:v>
      </x:c>
      <x:c r="C318" s="10" t="n">
        <x:f>IF(ISNUMBER('Actividades'!F455),'Actividades'!F455,"n.a.")</x:f>
        <x:v>305.7559193548387</x:v>
      </x:c>
      <x:c r="D318" s="10" t="n">
        <x:f>IF(ISNUMBER('Actividades'!G455),'Actividades'!G455,"n.a.")</x:f>
        <x:v>322.2451680107527</x:v>
      </x:c>
      <x:c r="E318" s="10" t="n">
        <x:f>IF(AND(ISNUMBER(C318),ISNUMBER(D318),C318&gt;=0,D318&gt;0),C318-D318,"n.a.")</x:f>
        <x:v>-16.489248655914025</x:v>
      </x:c>
      <x:c r="F318" s="12" t="n">
        <x:f>IF(ISNUMBER(E318),E318/D318,"n.a.")</x:f>
        <x:v>-0.05116988644920134</x:v>
      </x:c>
      <x:c r="G318" s="2" t="n">
        <x:f>IF(ISNUMBER(F318),IF(AND(ABS(F318)+0.00000000001&gt;=$B$6,ABS(E318)+0.000000001&gt;=$D$6),1,0),"n.a.")</x:f>
        <x:v>0</x:v>
      </x:c>
      <x:c r="H318" s="2" t="n">
        <x:f>IF(ISNUMBER(E318),SIGN(E318),"n.a.")</x:f>
        <x:v>-1</x:v>
      </x:c>
      <x:c r="I318" s="2" t="n">
        <x:f>IF(NOT(ISNUMBER(G318)),"n.a.",IF(G318=0,0,IF(AND(B318=B304,A318=EDATE(A304,1),H318=H304,ISNUMBER(I304)),I304+1,1)))</x:f>
        <x:v>0</x:v>
      </x:c>
      <x:c r="J318" s="2" t="n">
        <x:f>IF(ISNUMBER(F318),IF(AND(ABS(F318)+0.00000000001&gt;=$B$7,ABS(E318)+0.000000001&gt;=$D$7),1,0),"n.a.")</x:f>
        <x:v>0</x:v>
      </x:c>
      <x:c r="K318" s="2" t="str">
        <x:f>IF(NOT(ISNUMBER(F318)),"No evaluable",IF(OR(J318=1,I318&gt;=$B$8),"Prioridad",IF(G318=1,"Observar","Sin umbral")))</x:f>
        <x:v>Sin umbral</x:v>
      </x:c>
      <x:c r="L318" s="2" t="str">
        <x:f>IF(K318="No evaluable","Faltan datos",IF(J318=1,"Magnitud",IF(I318&gt;=$B$8,"Persistencia",IF(G318=1,"Cambio del mes","Sin umbral"))))</x:f>
        <x:v>Sin umbral</x:v>
      </x:c>
      <x:c r="M318" s="2" t="n">
        <x:f>ROW()-40</x:f>
        <x:v>278</x:v>
      </x:c>
    </x:row>
    <x:row r="319" ht="48" customHeight="1">
      <x:c r="A319" s="4" t="n">
        <x:v>45505</x:v>
      </x:c>
      <x:c r="B319" s="32" t="str">
        <x:v>Extracción de minerales</x:v>
      </x:c>
      <x:c r="C319" s="10" t="n">
        <x:f>IF(ISNUMBER('Actividades'!F456),'Actividades'!F456,"n.a.")</x:f>
        <x:v>22.694216397849463</x:v>
      </x:c>
      <x:c r="D319" s="10" t="n">
        <x:f>IF(ISNUMBER('Actividades'!G456),'Actividades'!G456,"n.a.")</x:f>
        <x:v>23.121170698924733</x:v>
      </x:c>
      <x:c r="E319" s="10" t="n">
        <x:f>IF(AND(ISNUMBER(C319),ISNUMBER(D319),C319&gt;=0,D319&gt;0),C319-D319,"n.a.")</x:f>
        <x:v>-0.4269543010752699</x:v>
      </x:c>
      <x:c r="F319" s="12" t="n">
        <x:f>IF(ISNUMBER(E319),E319/D319,"n.a.")</x:f>
        <x:v>-0.018465946497039865</x:v>
      </x:c>
      <x:c r="G319" s="2" t="n">
        <x:f>IF(ISNUMBER(F319),IF(AND(ABS(F319)+0.00000000001&gt;=$B$6,ABS(E319)+0.000000001&gt;=$D$6),1,0),"n.a.")</x:f>
        <x:v>0</x:v>
      </x:c>
      <x:c r="H319" s="2" t="n">
        <x:f>IF(ISNUMBER(E319),SIGN(E319),"n.a.")</x:f>
        <x:v>-1</x:v>
      </x:c>
      <x:c r="I319" s="2" t="n">
        <x:f>IF(NOT(ISNUMBER(G319)),"n.a.",IF(G319=0,0,IF(AND(B319=B305,A319=EDATE(A305,1),H319=H305,ISNUMBER(I305)),I305+1,1)))</x:f>
        <x:v>0</x:v>
      </x:c>
      <x:c r="J319" s="2" t="n">
        <x:f>IF(ISNUMBER(F319),IF(AND(ABS(F319)+0.00000000001&gt;=$B$7,ABS(E319)+0.000000001&gt;=$D$7),1,0),"n.a.")</x:f>
        <x:v>0</x:v>
      </x:c>
      <x:c r="K319" s="2" t="str">
        <x:f>IF(NOT(ISNUMBER(F319)),"No evaluable",IF(OR(J319=1,I319&gt;=$B$8),"Prioridad",IF(G319=1,"Observar","Sin umbral")))</x:f>
        <x:v>Sin umbral</x:v>
      </x:c>
      <x:c r="L319" s="2" t="str">
        <x:f>IF(K319="No evaluable","Faltan datos",IF(J319=1,"Magnitud",IF(I319&gt;=$B$8,"Persistencia",IF(G319=1,"Cambio del mes","Sin umbral"))))</x:f>
        <x:v>Sin umbral</x:v>
      </x:c>
      <x:c r="M319" s="2" t="n">
        <x:f>ROW()-40</x:f>
        <x:v>279</x:v>
      </x:c>
    </x:row>
    <x:row r="320" ht="48" customHeight="1">
      <x:c r="A320" s="4" t="n">
        <x:v>45505</x:v>
      </x:c>
      <x:c r="B320" s="32" t="str">
        <x:v>Extracción de petróleo</x:v>
      </x:c>
      <x:c r="C320" s="10" t="n">
        <x:f>IF(ISNUMBER('Actividades'!F457),'Actividades'!F457,"n.a.")</x:f>
        <x:v>147.00640456989248</x:v>
      </x:c>
      <x:c r="D320" s="10" t="n">
        <x:f>IF(ISNUMBER('Actividades'!G457),'Actividades'!G457,"n.a.")</x:f>
        <x:v>165.5475309139785</x:v>
      </x:c>
      <x:c r="E320" s="10" t="n">
        <x:f>IF(AND(ISNUMBER(C320),ISNUMBER(D320),C320&gt;=0,D320&gt;0),C320-D320,"n.a.")</x:f>
        <x:v>-18.541126344086024</x:v>
      </x:c>
      <x:c r="F320" s="12" t="n">
        <x:f>IF(ISNUMBER(E320),E320/D320,"n.a.")</x:f>
        <x:v>-0.11199880929495909</x:v>
      </x:c>
      <x:c r="G320" s="2" t="n">
        <x:f>IF(ISNUMBER(F320),IF(AND(ABS(F320)+0.00000000001&gt;=$B$6,ABS(E320)+0.000000001&gt;=$D$6),1,0),"n.a.")</x:f>
        <x:v>1</x:v>
      </x:c>
      <x:c r="H320" s="2" t="n">
        <x:f>IF(ISNUMBER(E320),SIGN(E320),"n.a.")</x:f>
        <x:v>-1</x:v>
      </x:c>
      <x:c r="I320" s="2" t="n">
        <x:f>IF(NOT(ISNUMBER(G320)),"n.a.",IF(G320=0,0,IF(AND(B320=B306,A320=EDATE(A306,1),H320=H306,ISNUMBER(I306)),I306+1,1)))</x:f>
        <x:v>4</x:v>
      </x:c>
      <x:c r="J320" s="2" t="n">
        <x:f>IF(ISNUMBER(F320),IF(AND(ABS(F320)+0.00000000001&gt;=$B$7,ABS(E320)+0.000000001&gt;=$D$7),1,0),"n.a.")</x:f>
        <x:v>0</x:v>
      </x:c>
      <x:c r="K320" s="2" t="str">
        <x:f>IF(NOT(ISNUMBER(F320)),"No evaluable",IF(OR(J320=1,I320&gt;=$B$8),"Prioridad",IF(G320=1,"Observar","Sin umbral")))</x:f>
        <x:v>Prioridad</x:v>
      </x:c>
      <x:c r="L320" s="2" t="str">
        <x:f>IF(K320="No evaluable","Faltan datos",IF(J320=1,"Magnitud",IF(I320&gt;=$B$8,"Persistencia",IF(G320=1,"Cambio del mes","Sin umbral"))))</x:f>
        <x:v>Persistencia</x:v>
      </x:c>
      <x:c r="M320" s="2" t="n">
        <x:f>ROW()-40</x:f>
        <x:v>280</x:v>
      </x:c>
    </x:row>
    <x:row r="321" ht="48" customHeight="1">
      <x:c r="A321" s="4" t="n">
        <x:v>45536</x:v>
      </x:c>
      <x:c r="B321" s="32" t="str">
        <x:v>Cargas y puertos</x:v>
      </x:c>
      <x:c r="C321" s="10" t="n">
        <x:f>IF(ISNUMBER('Actividades'!F458),'Actividades'!F458,"n.a.")</x:f>
        <x:v>9.502590277777777</x:v>
      </x:c>
      <x:c r="D321" s="10" t="n">
        <x:f>IF(ISNUMBER('Actividades'!G458),'Actividades'!G458,"n.a.")</x:f>
        <x:v>9.090315277777778</x:v>
      </x:c>
      <x:c r="E321" s="10" t="n">
        <x:f>IF(AND(ISNUMBER(C321),ISNUMBER(D321),C321&gt;=0,D321&gt;0),C321-D321,"n.a.")</x:f>
        <x:v>0.4122749999999993</x:v>
      </x:c>
      <x:c r="F321" s="12" t="n">
        <x:f>IF(ISNUMBER(E321),E321/D321,"n.a.")</x:f>
        <x:v>0.04535321244664071</x:v>
      </x:c>
      <x:c r="G321" s="2" t="n">
        <x:f>IF(ISNUMBER(F321),IF(AND(ABS(F321)+0.00000000001&gt;=$B$6,ABS(E321)+0.000000001&gt;=$D$6),1,0),"n.a.")</x:f>
        <x:v>0</x:v>
      </x:c>
      <x:c r="H321" s="2" t="n">
        <x:f>IF(ISNUMBER(E321),SIGN(E321),"n.a.")</x:f>
        <x:v>1</x:v>
      </x:c>
      <x:c r="I321" s="2" t="n">
        <x:f>IF(NOT(ISNUMBER(G321)),"n.a.",IF(G321=0,0,IF(AND(B321=B307,A321=EDATE(A307,1),H321=H307,ISNUMBER(I307)),I307+1,1)))</x:f>
        <x:v>0</x:v>
      </x:c>
      <x:c r="J321" s="2" t="n">
        <x:f>IF(ISNUMBER(F321),IF(AND(ABS(F321)+0.00000000001&gt;=$B$7,ABS(E321)+0.000000001&gt;=$D$7),1,0),"n.a.")</x:f>
        <x:v>0</x:v>
      </x:c>
      <x:c r="K321" s="2" t="str">
        <x:f>IF(NOT(ISNUMBER(F321)),"No evaluable",IF(OR(J321=1,I321&gt;=$B$8),"Prioridad",IF(G321=1,"Observar","Sin umbral")))</x:f>
        <x:v>Sin umbral</x:v>
      </x:c>
      <x:c r="L321" s="2" t="str">
        <x:f>IF(K321="No evaluable","Faltan datos",IF(J321=1,"Magnitud",IF(I321&gt;=$B$8,"Persistencia",IF(G321=1,"Cambio del mes","Sin umbral"))))</x:f>
        <x:v>Sin umbral</x:v>
      </x:c>
      <x:c r="M321" s="2" t="n">
        <x:f>ROW()-40</x:f>
        <x:v>281</x:v>
      </x:c>
    </x:row>
    <x:row r="322" ht="48" customHeight="1">
      <x:c r="A322" s="4" t="n">
        <x:v>45536</x:v>
      </x:c>
      <x:c r="B322" s="32" t="str">
        <x:v>Comercio y servicios: principalmente supermercados y centros comerciales</x:v>
      </x:c>
      <x:c r="C322" s="10" t="n">
        <x:f>IF(ISNUMBER('Actividades'!F459),'Actividades'!F459,"n.a.")</x:f>
        <x:v>31.98450972222222</x:v>
      </x:c>
      <x:c r="D322" s="10" t="n">
        <x:f>IF(ISNUMBER('Actividades'!G459),'Actividades'!G459,"n.a.")</x:f>
        <x:v>28.15529861111111</x:v>
      </x:c>
      <x:c r="E322" s="10" t="n">
        <x:f>IF(AND(ISNUMBER(C322),ISNUMBER(D322),C322&gt;=0,D322&gt;0),C322-D322,"n.a.")</x:f>
        <x:v>3.8292111111111105</x:v>
      </x:c>
      <x:c r="F322" s="12" t="n">
        <x:f>IF(ISNUMBER(E322),E322/D322,"n.a.")</x:f>
        <x:v>0.13600321431504775</x:v>
      </x:c>
      <x:c r="G322" s="2" t="n">
        <x:f>IF(ISNUMBER(F322),IF(AND(ABS(F322)+0.00000000001&gt;=$B$6,ABS(E322)+0.000000001&gt;=$D$6),1,0),"n.a.")</x:f>
        <x:v>0</x:v>
      </x:c>
      <x:c r="H322" s="2" t="n">
        <x:f>IF(ISNUMBER(E322),SIGN(E322),"n.a.")</x:f>
        <x:v>1</x:v>
      </x:c>
      <x:c r="I322" s="2" t="n">
        <x:f>IF(NOT(ISNUMBER(G322)),"n.a.",IF(G322=0,0,IF(AND(B322=B308,A322=EDATE(A308,1),H322=H308,ISNUMBER(I308)),I308+1,1)))</x:f>
        <x:v>0</x:v>
      </x:c>
      <x:c r="J322" s="2" t="n">
        <x:f>IF(ISNUMBER(F322),IF(AND(ABS(F322)+0.00000000001&gt;=$B$7,ABS(E322)+0.000000001&gt;=$D$7),1,0),"n.a.")</x:f>
        <x:v>0</x:v>
      </x:c>
      <x:c r="K322" s="2" t="str">
        <x:f>IF(NOT(ISNUMBER(F322)),"No evaluable",IF(OR(J322=1,I322&gt;=$B$8),"Prioridad",IF(G322=1,"Observar","Sin umbral")))</x:f>
        <x:v>Sin umbral</x:v>
      </x:c>
      <x:c r="L322" s="2" t="str">
        <x:f>IF(K322="No evaluable","Faltan datos",IF(J322=1,"Magnitud",IF(I322&gt;=$B$8,"Persistencia",IF(G322=1,"Cambio del mes","Sin umbral"))))</x:f>
        <x:v>Sin umbral</x:v>
      </x:c>
      <x:c r="M322" s="2" t="n">
        <x:f>ROW()-40</x:f>
        <x:v>282</x:v>
      </x:c>
    </x:row>
    <x:row r="323" ht="48" customHeight="1">
      <x:c r="A323" s="4" t="n">
        <x:v>45536</x:v>
      </x:c>
      <x:c r="B323" s="32" t="str">
        <x:v>Alimentación y artículos de consumo masivo</x:v>
      </x:c>
      <x:c r="C323" s="10" t="n">
        <x:f>IF(ISNUMBER('Actividades'!F460),'Actividades'!F460,"n.a.")</x:f>
        <x:v>291.8013208333333</x:v>
      </x:c>
      <x:c r="D323" s="10" t="n">
        <x:f>IF(ISNUMBER('Actividades'!G460),'Actividades'!G460,"n.a.")</x:f>
        <x:v>264.2902</x:v>
      </x:c>
      <x:c r="E323" s="10" t="n">
        <x:f>IF(AND(ISNUMBER(C323),ISNUMBER(D323),C323&gt;=0,D323&gt;0),C323-D323,"n.a.")</x:f>
        <x:v>27.51112083333328</x:v>
      </x:c>
      <x:c r="F323" s="12" t="n">
        <x:f>IF(ISNUMBER(E323),E323/D323,"n.a.")</x:f>
        <x:v>0.10409436609202036</x:v>
      </x:c>
      <x:c r="G323" s="2" t="n">
        <x:f>IF(ISNUMBER(F323),IF(AND(ABS(F323)+0.00000000001&gt;=$B$6,ABS(E323)+0.000000001&gt;=$D$6),1,0),"n.a.")</x:f>
        <x:v>1</x:v>
      </x:c>
      <x:c r="H323" s="2" t="n">
        <x:f>IF(ISNUMBER(E323),SIGN(E323),"n.a.")</x:f>
        <x:v>1</x:v>
      </x:c>
      <x:c r="I323" s="2" t="n">
        <x:f>IF(NOT(ISNUMBER(G323)),"n.a.",IF(G323=0,0,IF(AND(B323=B309,A323=EDATE(A309,1),H323=H309,ISNUMBER(I309)),I309+1,1)))</x:f>
        <x:v>1</x:v>
      </x:c>
      <x:c r="J323" s="2" t="n">
        <x:f>IF(ISNUMBER(F323),IF(AND(ABS(F323)+0.00000000001&gt;=$B$7,ABS(E323)+0.000000001&gt;=$D$7),1,0),"n.a.")</x:f>
        <x:v>0</x:v>
      </x:c>
      <x:c r="K323" s="2" t="str">
        <x:f>IF(NOT(ISNUMBER(F323)),"No evaluable",IF(OR(J323=1,I323&gt;=$B$8),"Prioridad",IF(G323=1,"Observar","Sin umbral")))</x:f>
        <x:v>Observar</x:v>
      </x:c>
      <x:c r="L323" s="2" t="str">
        <x:f>IF(K323="No evaluable","Faltan datos",IF(J323=1,"Magnitud",IF(I323&gt;=$B$8,"Persistencia",IF(G323=1,"Cambio del mes","Sin umbral"))))</x:f>
        <x:v>Cambio del mes</x:v>
      </x:c>
      <x:c r="M323" s="2" t="n">
        <x:f>ROW()-40</x:f>
        <x:v>283</x:v>
      </x:c>
    </x:row>
    <x:row r="324" ht="48" customHeight="1">
      <x:c r="A324" s="4" t="n">
        <x:v>45536</x:v>
      </x:c>
      <x:c r="B324" s="32" t="str">
        <x:v>Servicios públicos y transporte: agua y transporte en GBA</x:v>
      </x:c>
      <x:c r="C324" s="10" t="n">
        <x:f>IF(ISNUMBER('Actividades'!F461),'Actividades'!F461,"n.a.")</x:f>
        <x:v>86.07814166666667</x:v>
      </x:c>
      <x:c r="D324" s="10" t="n">
        <x:f>IF(ISNUMBER('Actividades'!G461),'Actividades'!G461,"n.a.")</x:f>
        <x:v>88.62477638888889</x:v>
      </x:c>
      <x:c r="E324" s="10" t="n">
        <x:f>IF(AND(ISNUMBER(C324),ISNUMBER(D324),C324&gt;=0,D324&gt;0),C324-D324,"n.a.")</x:f>
        <x:v>-2.5466347222222225</x:v>
      </x:c>
      <x:c r="F324" s="12" t="n">
        <x:f>IF(ISNUMBER(E324),E324/D324,"n.a.")</x:f>
        <x:v>-0.02873502000216613</x:v>
      </x:c>
      <x:c r="G324" s="2" t="n">
        <x:f>IF(ISNUMBER(F324),IF(AND(ABS(F324)+0.00000000001&gt;=$B$6,ABS(E324)+0.000000001&gt;=$D$6),1,0),"n.a.")</x:f>
        <x:v>0</x:v>
      </x:c>
      <x:c r="H324" s="2" t="n">
        <x:f>IF(ISNUMBER(E324),SIGN(E324),"n.a.")</x:f>
        <x:v>-1</x:v>
      </x:c>
      <x:c r="I324" s="2" t="n">
        <x:f>IF(NOT(ISNUMBER(G324)),"n.a.",IF(G324=0,0,IF(AND(B324=B310,A324=EDATE(A310,1),H324=H310,ISNUMBER(I310)),I310+1,1)))</x:f>
        <x:v>0</x:v>
      </x:c>
      <x:c r="J324" s="2" t="n">
        <x:f>IF(ISNUMBER(F324),IF(AND(ABS(F324)+0.00000000001&gt;=$B$7,ABS(E324)+0.000000001&gt;=$D$7),1,0),"n.a.")</x:f>
        <x:v>0</x:v>
      </x:c>
      <x:c r="K324" s="2" t="str">
        <x:f>IF(NOT(ISNUMBER(F324)),"No evaluable",IF(OR(J324=1,I324&gt;=$B$8),"Prioridad",IF(G324=1,"Observar","Sin umbral")))</x:f>
        <x:v>Sin umbral</x:v>
      </x:c>
      <x:c r="L324" s="2" t="str">
        <x:f>IF(K324="No evaluable","Faltan datos",IF(J324=1,"Magnitud",IF(I324&gt;=$B$8,"Persistencia",IF(G324=1,"Cambio del mes","Sin umbral"))))</x:f>
        <x:v>Sin umbral</x:v>
      </x:c>
      <x:c r="M324" s="2" t="n">
        <x:f>ROW()-40</x:f>
        <x:v>284</x:v>
      </x:c>
    </x:row>
    <x:row r="325" ht="48" customHeight="1">
      <x:c r="A325" s="4" t="n">
        <x:v>45536</x:v>
      </x:c>
      <x:c r="B325" s="32" t="str">
        <x:v>Industria automotriz</x:v>
      </x:c>
      <x:c r="C325" s="10" t="n">
        <x:f>IF(ISNUMBER('Actividades'!F462),'Actividades'!F462,"n.a.")</x:f>
        <x:v>41.262163888888885</x:v>
      </x:c>
      <x:c r="D325" s="10" t="n">
        <x:f>IF(ISNUMBER('Actividades'!G462),'Actividades'!G462,"n.a.")</x:f>
        <x:v>38.29168611111111</x:v>
      </x:c>
      <x:c r="E325" s="10" t="n">
        <x:f>IF(AND(ISNUMBER(C325),ISNUMBER(D325),C325&gt;=0,D325&gt;0),C325-D325,"n.a.")</x:f>
        <x:v>2.9704777777777736</x:v>
      </x:c>
      <x:c r="F325" s="12" t="n">
        <x:f>IF(ISNUMBER(E325),E325/D325,"n.a.")</x:f>
        <x:v>0.07757500594667804</x:v>
      </x:c>
      <x:c r="G325" s="2" t="n">
        <x:f>IF(ISNUMBER(F325),IF(AND(ABS(F325)+0.00000000001&gt;=$B$6,ABS(E325)+0.000000001&gt;=$D$6),1,0),"n.a.")</x:f>
        <x:v>0</x:v>
      </x:c>
      <x:c r="H325" s="2" t="n">
        <x:f>IF(ISNUMBER(E325),SIGN(E325),"n.a.")</x:f>
        <x:v>1</x:v>
      </x:c>
      <x:c r="I325" s="2" t="n">
        <x:f>IF(NOT(ISNUMBER(G325)),"n.a.",IF(G325=0,0,IF(AND(B325=B311,A325=EDATE(A311,1),H325=H311,ISNUMBER(I311)),I311+1,1)))</x:f>
        <x:v>0</x:v>
      </x:c>
      <x:c r="J325" s="2" t="n">
        <x:f>IF(ISNUMBER(F325),IF(AND(ABS(F325)+0.00000000001&gt;=$B$7,ABS(E325)+0.000000001&gt;=$D$7),1,0),"n.a.")</x:f>
        <x:v>0</x:v>
      </x:c>
      <x:c r="K325" s="2" t="str">
        <x:f>IF(NOT(ISNUMBER(F325)),"No evaluable",IF(OR(J325=1,I325&gt;=$B$8),"Prioridad",IF(G325=1,"Observar","Sin umbral")))</x:f>
        <x:v>Sin umbral</x:v>
      </x:c>
      <x:c r="L325" s="2" t="str">
        <x:f>IF(K325="No evaluable","Faltan datos",IF(J325=1,"Magnitud",IF(I325&gt;=$B$8,"Persistencia",IF(G325=1,"Cambio del mes","Sin umbral"))))</x:f>
        <x:v>Sin umbral</x:v>
      </x:c>
      <x:c r="M325" s="2" t="n">
        <x:f>ROW()-40</x:f>
        <x:v>285</x:v>
      </x:c>
    </x:row>
    <x:row r="326" ht="48" customHeight="1">
      <x:c r="A326" s="4" t="n">
        <x:v>45536</x:v>
      </x:c>
      <x:c r="B326" s="32" t="str">
        <x:v>Derivados de petróleo</x:v>
      </x:c>
      <x:c r="C326" s="10" t="n">
        <x:f>IF(ISNUMBER('Actividades'!F463),'Actividades'!F463,"n.a.")</x:f>
        <x:v>152.1239111111111</x:v>
      </x:c>
      <x:c r="D326" s="10" t="n">
        <x:f>IF(ISNUMBER('Actividades'!G463),'Actividades'!G463,"n.a.")</x:f>
        <x:v>154.9575</x:v>
      </x:c>
      <x:c r="E326" s="10" t="n">
        <x:f>IF(AND(ISNUMBER(C326),ISNUMBER(D326),C326&gt;=0,D326&gt;0),C326-D326,"n.a.")</x:f>
        <x:v>-2.8335888888888974</x:v>
      </x:c>
      <x:c r="F326" s="12" t="n">
        <x:f>IF(ISNUMBER(E326),E326/D326,"n.a.")</x:f>
        <x:v>-0.018286232604997482</x:v>
      </x:c>
      <x:c r="G326" s="2" t="n">
        <x:f>IF(ISNUMBER(F326),IF(AND(ABS(F326)+0.00000000001&gt;=$B$6,ABS(E326)+0.000000001&gt;=$D$6),1,0),"n.a.")</x:f>
        <x:v>0</x:v>
      </x:c>
      <x:c r="H326" s="2" t="n">
        <x:f>IF(ISNUMBER(E326),SIGN(E326),"n.a.")</x:f>
        <x:v>-1</x:v>
      </x:c>
      <x:c r="I326" s="2" t="n">
        <x:f>IF(NOT(ISNUMBER(G326)),"n.a.",IF(G326=0,0,IF(AND(B326=B312,A326=EDATE(A312,1),H326=H312,ISNUMBER(I312)),I312+1,1)))</x:f>
        <x:v>0</x:v>
      </x:c>
      <x:c r="J326" s="2" t="n">
        <x:f>IF(ISNUMBER(F326),IF(AND(ABS(F326)+0.00000000001&gt;=$B$7,ABS(E326)+0.000000001&gt;=$D$7),1,0),"n.a.")</x:f>
        <x:v>0</x:v>
      </x:c>
      <x:c r="K326" s="2" t="str">
        <x:f>IF(NOT(ISNUMBER(F326)),"No evaluable",IF(OR(J326=1,I326&gt;=$B$8),"Prioridad",IF(G326=1,"Observar","Sin umbral")))</x:f>
        <x:v>Sin umbral</x:v>
      </x:c>
      <x:c r="L326" s="2" t="str">
        <x:f>IF(K326="No evaluable","Faltan datos",IF(J326=1,"Magnitud",IF(I326&gt;=$B$8,"Persistencia",IF(G326=1,"Cambio del mes","Sin umbral"))))</x:f>
        <x:v>Sin umbral</x:v>
      </x:c>
      <x:c r="M326" s="2" t="n">
        <x:f>ROW()-40</x:f>
        <x:v>286</x:v>
      </x:c>
    </x:row>
    <x:row r="327" ht="48" customHeight="1">
      <x:c r="A327" s="4" t="n">
        <x:v>45536</x:v>
      </x:c>
      <x:c r="B327" s="32" t="str">
        <x:v>Construcción: elaboración de cemento y canteras</x:v>
      </x:c>
      <x:c r="C327" s="10" t="n">
        <x:f>IF(ISNUMBER('Actividades'!F464),'Actividades'!F464,"n.a.")</x:f>
        <x:v>157.56987222222224</x:v>
      </x:c>
      <x:c r="D327" s="10" t="n">
        <x:f>IF(ISNUMBER('Actividades'!G464),'Actividades'!G464,"n.a.")</x:f>
        <x:v>186.83173472222222</x:v>
      </x:c>
      <x:c r="E327" s="10" t="n">
        <x:f>IF(AND(ISNUMBER(C327),ISNUMBER(D327),C327&gt;=0,D327&gt;0),C327-D327,"n.a.")</x:f>
        <x:v>-29.261862499999978</x:v>
      </x:c>
      <x:c r="F327" s="12" t="n">
        <x:f>IF(ISNUMBER(E327),E327/D327,"n.a.")</x:f>
        <x:v>-0.15662147837735352</x:v>
      </x:c>
      <x:c r="G327" s="2" t="n">
        <x:f>IF(ISNUMBER(F327),IF(AND(ABS(F327)+0.00000000001&gt;=$B$6,ABS(E327)+0.000000001&gt;=$D$6),1,0),"n.a.")</x:f>
        <x:v>1</x:v>
      </x:c>
      <x:c r="H327" s="2" t="n">
        <x:f>IF(ISNUMBER(E327),SIGN(E327),"n.a.")</x:f>
        <x:v>-1</x:v>
      </x:c>
      <x:c r="I327" s="2" t="n">
        <x:f>IF(NOT(ISNUMBER(G327)),"n.a.",IF(G327=0,0,IF(AND(B327=B313,A327=EDATE(A313,1),H327=H313,ISNUMBER(I313)),I313+1,1)))</x:f>
        <x:v>9</x:v>
      </x:c>
      <x:c r="J327" s="2" t="n">
        <x:f>IF(ISNUMBER(F327),IF(AND(ABS(F327)+0.00000000001&gt;=$B$7,ABS(E327)+0.000000001&gt;=$D$7),1,0),"n.a.")</x:f>
        <x:v>0</x:v>
      </x:c>
      <x:c r="K327" s="2" t="str">
        <x:f>IF(NOT(ISNUMBER(F327)),"No evaluable",IF(OR(J327=1,I327&gt;=$B$8),"Prioridad",IF(G327=1,"Observar","Sin umbral")))</x:f>
        <x:v>Prioridad</x:v>
      </x:c>
      <x:c r="L327" s="2" t="str">
        <x:f>IF(K327="No evaluable","Faltan datos",IF(J327=1,"Magnitud",IF(I327&gt;=$B$8,"Persistencia",IF(G327=1,"Cambio del mes","Sin umbral"))))</x:f>
        <x:v>Persistencia</x:v>
      </x:c>
      <x:c r="M327" s="2" t="n">
        <x:f>ROW()-40</x:f>
        <x:v>287</x:v>
      </x:c>
    </x:row>
    <x:row r="328" ht="48" customHeight="1">
      <x:c r="A328" s="4" t="n">
        <x:v>45536</x:v>
      </x:c>
      <x:c r="B328" s="32" t="str">
        <x:v>Madera y papel</x:v>
      </x:c>
      <x:c r="C328" s="10" t="n">
        <x:f>IF(ISNUMBER('Actividades'!F465),'Actividades'!F465,"n.a.")</x:f>
        <x:v>98.49534999999999</x:v>
      </x:c>
      <x:c r="D328" s="10" t="n">
        <x:f>IF(ISNUMBER('Actividades'!G465),'Actividades'!G465,"n.a.")</x:f>
        <x:v>110.37756388888889</x:v>
      </x:c>
      <x:c r="E328" s="10" t="n">
        <x:f>IF(AND(ISNUMBER(C328),ISNUMBER(D328),C328&gt;=0,D328&gt;0),C328-D328,"n.a.")</x:f>
        <x:v>-11.882213888888899</x:v>
      </x:c>
      <x:c r="F328" s="12" t="n">
        <x:f>IF(ISNUMBER(E328),E328/D328,"n.a.")</x:f>
        <x:v>-0.10765062636144135</x:v>
      </x:c>
      <x:c r="G328" s="2" t="n">
        <x:f>IF(ISNUMBER(F328),IF(AND(ABS(F328)+0.00000000001&gt;=$B$6,ABS(E328)+0.000000001&gt;=$D$6),1,0),"n.a.")</x:f>
        <x:v>1</x:v>
      </x:c>
      <x:c r="H328" s="2" t="n">
        <x:f>IF(ISNUMBER(E328),SIGN(E328),"n.a.")</x:f>
        <x:v>-1</x:v>
      </x:c>
      <x:c r="I328" s="2" t="n">
        <x:f>IF(NOT(ISNUMBER(G328)),"n.a.",IF(G328=0,0,IF(AND(B328=B314,A328=EDATE(A314,1),H328=H314,ISNUMBER(I314)),I314+1,1)))</x:f>
        <x:v>1</x:v>
      </x:c>
      <x:c r="J328" s="2" t="n">
        <x:f>IF(ISNUMBER(F328),IF(AND(ABS(F328)+0.00000000001&gt;=$B$7,ABS(E328)+0.000000001&gt;=$D$7),1,0),"n.a.")</x:f>
        <x:v>0</x:v>
      </x:c>
      <x:c r="K328" s="2" t="str">
        <x:f>IF(NOT(ISNUMBER(F328)),"No evaluable",IF(OR(J328=1,I328&gt;=$B$8),"Prioridad",IF(G328=1,"Observar","Sin umbral")))</x:f>
        <x:v>Observar</x:v>
      </x:c>
      <x:c r="L328" s="2" t="str">
        <x:f>IF(K328="No evaluable","Faltan datos",IF(J328=1,"Magnitud",IF(I328&gt;=$B$8,"Persistencia",IF(G328=1,"Cambio del mes","Sin umbral"))))</x:f>
        <x:v>Cambio del mes</x:v>
      </x:c>
      <x:c r="M328" s="2" t="n">
        <x:f>ROW()-40</x:f>
        <x:v>288</x:v>
      </x:c>
    </x:row>
    <x:row r="329" ht="48" customHeight="1">
      <x:c r="A329" s="4" t="n">
        <x:v>45536</x:v>
      </x:c>
      <x:c r="B329" s="32" t="str">
        <x:v>Productos metálicos no automotores</x:v>
      </x:c>
      <x:c r="C329" s="10" t="n">
        <x:f>IF(ISNUMBER('Actividades'!F466),'Actividades'!F466,"n.a.")</x:f>
        <x:v>42.796524999999995</x:v>
      </x:c>
      <x:c r="D329" s="10" t="n">
        <x:f>IF(ISNUMBER('Actividades'!G466),'Actividades'!G466,"n.a.")</x:f>
        <x:v>51.78169305555556</x:v>
      </x:c>
      <x:c r="E329" s="10" t="n">
        <x:f>IF(AND(ISNUMBER(C329),ISNUMBER(D329),C329&gt;=0,D329&gt;0),C329-D329,"n.a.")</x:f>
        <x:v>-8.985168055555562</x:v>
      </x:c>
      <x:c r="F329" s="12" t="n">
        <x:f>IF(ISNUMBER(E329),E329/D329,"n.a.")</x:f>
        <x:v>-0.1735201675602911</x:v>
      </x:c>
      <x:c r="G329" s="2" t="n">
        <x:f>IF(ISNUMBER(F329),IF(AND(ABS(F329)+0.00000000001&gt;=$B$6,ABS(E329)+0.000000001&gt;=$D$6),1,0),"n.a.")</x:f>
        <x:v>1</x:v>
      </x:c>
      <x:c r="H329" s="2" t="n">
        <x:f>IF(ISNUMBER(E329),SIGN(E329),"n.a.")</x:f>
        <x:v>-1</x:v>
      </x:c>
      <x:c r="I329" s="2" t="n">
        <x:f>IF(NOT(ISNUMBER(G329)),"n.a.",IF(G329=0,0,IF(AND(B329=B315,A329=EDATE(A315,1),H329=H315,ISNUMBER(I315)),I315+1,1)))</x:f>
        <x:v>7</x:v>
      </x:c>
      <x:c r="J329" s="2" t="n">
        <x:f>IF(ISNUMBER(F329),IF(AND(ABS(F329)+0.00000000001&gt;=$B$7,ABS(E329)+0.000000001&gt;=$D$7),1,0),"n.a.")</x:f>
        <x:v>0</x:v>
      </x:c>
      <x:c r="K329" s="2" t="str">
        <x:f>IF(NOT(ISNUMBER(F329)),"No evaluable",IF(OR(J329=1,I329&gt;=$B$8),"Prioridad",IF(G329=1,"Observar","Sin umbral")))</x:f>
        <x:v>Prioridad</x:v>
      </x:c>
      <x:c r="L329" s="2" t="str">
        <x:f>IF(K329="No evaluable","Faltan datos",IF(J329=1,"Magnitud",IF(I329&gt;=$B$8,"Persistencia",IF(G329=1,"Cambio del mes","Sin umbral"))))</x:f>
        <x:v>Persistencia</x:v>
      </x:c>
      <x:c r="M329" s="2" t="n">
        <x:f>ROW()-40</x:f>
        <x:v>289</x:v>
      </x:c>
    </x:row>
    <x:row r="330" ht="48" customHeight="1">
      <x:c r="A330" s="4" t="n">
        <x:v>45536</x:v>
      </x:c>
      <x:c r="B330" s="32" t="str">
        <x:v>Gran siderurgia</x:v>
      </x:c>
      <x:c r="C330" s="10" t="n">
        <x:f>IF(ISNUMBER('Actividades'!F467),'Actividades'!F467,"n.a.")</x:f>
        <x:v>277.0638638888889</x:v>
      </x:c>
      <x:c r="D330" s="10" t="n">
        <x:f>IF(ISNUMBER('Actividades'!G467),'Actividades'!G467,"n.a.")</x:f>
        <x:v>372.39305972222223</x:v>
      </x:c>
      <x:c r="E330" s="10" t="n">
        <x:f>IF(AND(ISNUMBER(C330),ISNUMBER(D330),C330&gt;=0,D330&gt;0),C330-D330,"n.a.")</x:f>
        <x:v>-95.32919583333336</x:v>
      </x:c>
      <x:c r="F330" s="12" t="n">
        <x:f>IF(ISNUMBER(E330),E330/D330,"n.a.")</x:f>
        <x:v>-0.25599079613471293</x:v>
      </x:c>
      <x:c r="G330" s="2" t="n">
        <x:f>IF(ISNUMBER(F330),IF(AND(ABS(F330)+0.00000000001&gt;=$B$6,ABS(E330)+0.000000001&gt;=$D$6),1,0),"n.a.")</x:f>
        <x:v>1</x:v>
      </x:c>
      <x:c r="H330" s="2" t="n">
        <x:f>IF(ISNUMBER(E330),SIGN(E330),"n.a.")</x:f>
        <x:v>-1</x:v>
      </x:c>
      <x:c r="I330" s="2" t="n">
        <x:f>IF(NOT(ISNUMBER(G330)),"n.a.",IF(G330=0,0,IF(AND(B330=B316,A330=EDATE(A316,1),H330=H316,ISNUMBER(I316)),I316+1,1)))</x:f>
        <x:v>2</x:v>
      </x:c>
      <x:c r="J330" s="2" t="n">
        <x:f>IF(ISNUMBER(F330),IF(AND(ABS(F330)+0.00000000001&gt;=$B$7,ABS(E330)+0.000000001&gt;=$D$7),1,0),"n.a.")</x:f>
        <x:v>1</x:v>
      </x:c>
      <x:c r="K330" s="2" t="str">
        <x:f>IF(NOT(ISNUMBER(F330)),"No evaluable",IF(OR(J330=1,I330&gt;=$B$8),"Prioridad",IF(G330=1,"Observar","Sin umbral")))</x:f>
        <x:v>Prioridad</x:v>
      </x:c>
      <x:c r="L330" s="2" t="str">
        <x:f>IF(K330="No evaluable","Faltan datos",IF(J330=1,"Magnitud",IF(I330&gt;=$B$8,"Persistencia",IF(G330=1,"Cambio del mes","Sin umbral"))))</x:f>
        <x:v>Magnitud</x:v>
      </x:c>
      <x:c r="M330" s="2" t="n">
        <x:f>ROW()-40</x:f>
        <x:v>290</x:v>
      </x:c>
    </x:row>
    <x:row r="331" ht="48" customHeight="1">
      <x:c r="A331" s="4" t="n">
        <x:v>45536</x:v>
      </x:c>
      <x:c r="B331" s="32" t="str">
        <x:v>Industria textil</x:v>
      </x:c>
      <x:c r="C331" s="10" t="n">
        <x:f>IF(ISNUMBER('Actividades'!F468),'Actividades'!F468,"n.a.")</x:f>
        <x:v>55.916716666666666</x:v>
      </x:c>
      <x:c r="D331" s="10" t="n">
        <x:f>IF(ISNUMBER('Actividades'!G468),'Actividades'!G468,"n.a.")</x:f>
        <x:v>65.2964375</x:v>
      </x:c>
      <x:c r="E331" s="10" t="n">
        <x:f>IF(AND(ISNUMBER(C331),ISNUMBER(D331),C331&gt;=0,D331&gt;0),C331-D331,"n.a.")</x:f>
        <x:v>-9.37972083333333</x:v>
      </x:c>
      <x:c r="F331" s="12" t="n">
        <x:f>IF(ISNUMBER(E331),E331/D331,"n.a.")</x:f>
        <x:v>-0.14364827841233038</x:v>
      </x:c>
      <x:c r="G331" s="2" t="n">
        <x:f>IF(ISNUMBER(F331),IF(AND(ABS(F331)+0.00000000001&gt;=$B$6,ABS(E331)+0.000000001&gt;=$D$6),1,0),"n.a.")</x:f>
        <x:v>1</x:v>
      </x:c>
      <x:c r="H331" s="2" t="n">
        <x:f>IF(ISNUMBER(E331),SIGN(E331),"n.a.")</x:f>
        <x:v>-1</x:v>
      </x:c>
      <x:c r="I331" s="2" t="n">
        <x:f>IF(NOT(ISNUMBER(G331)),"n.a.",IF(G331=0,0,IF(AND(B331=B317,A331=EDATE(A317,1),H331=H317,ISNUMBER(I317)),I317+1,1)))</x:f>
        <x:v>7</x:v>
      </x:c>
      <x:c r="J331" s="2" t="n">
        <x:f>IF(ISNUMBER(F331),IF(AND(ABS(F331)+0.00000000001&gt;=$B$7,ABS(E331)+0.000000001&gt;=$D$7),1,0),"n.a.")</x:f>
        <x:v>0</x:v>
      </x:c>
      <x:c r="K331" s="2" t="str">
        <x:f>IF(NOT(ISNUMBER(F331)),"No evaluable",IF(OR(J331=1,I331&gt;=$B$8),"Prioridad",IF(G331=1,"Observar","Sin umbral")))</x:f>
        <x:v>Prioridad</x:v>
      </x:c>
      <x:c r="L331" s="2" t="str">
        <x:f>IF(K331="No evaluable","Faltan datos",IF(J331=1,"Magnitud",IF(I331&gt;=$B$8,"Persistencia",IF(G331=1,"Cambio del mes","Sin umbral"))))</x:f>
        <x:v>Persistencia</x:v>
      </x:c>
      <x:c r="M331" s="2" t="n">
        <x:f>ROW()-40</x:f>
        <x:v>291</x:v>
      </x:c>
    </x:row>
    <x:row r="332" ht="48" customHeight="1">
      <x:c r="A332" s="4" t="n">
        <x:v>45536</x:v>
      </x:c>
      <x:c r="B332" s="32" t="str">
        <x:v>Químicas, caucho, plástico y otros minerales no metálicos</x:v>
      </x:c>
      <x:c r="C332" s="10" t="n">
        <x:f>IF(ISNUMBER('Actividades'!F469),'Actividades'!F469,"n.a.")</x:f>
        <x:v>330.2625458333333</x:v>
      </x:c>
      <x:c r="D332" s="10" t="n">
        <x:f>IF(ISNUMBER('Actividades'!G469),'Actividades'!G469,"n.a.")</x:f>
        <x:v>337.14813055555555</x:v>
      </x:c>
      <x:c r="E332" s="10" t="n">
        <x:f>IF(AND(ISNUMBER(C332),ISNUMBER(D332),C332&gt;=0,D332&gt;0),C332-D332,"n.a.")</x:f>
        <x:v>-6.885584722222234</x:v>
      </x:c>
      <x:c r="F332" s="12" t="n">
        <x:f>IF(ISNUMBER(E332),E332/D332,"n.a.")</x:f>
        <x:v>-0.02042302506876164</x:v>
      </x:c>
      <x:c r="G332" s="2" t="n">
        <x:f>IF(ISNUMBER(F332),IF(AND(ABS(F332)+0.00000000001&gt;=$B$6,ABS(E332)+0.000000001&gt;=$D$6),1,0),"n.a.")</x:f>
        <x:v>0</x:v>
      </x:c>
      <x:c r="H332" s="2" t="n">
        <x:f>IF(ISNUMBER(E332),SIGN(E332),"n.a.")</x:f>
        <x:v>-1</x:v>
      </x:c>
      <x:c r="I332" s="2" t="n">
        <x:f>IF(NOT(ISNUMBER(G332)),"n.a.",IF(G332=0,0,IF(AND(B332=B318,A332=EDATE(A318,1),H332=H318,ISNUMBER(I318)),I318+1,1)))</x:f>
        <x:v>0</x:v>
      </x:c>
      <x:c r="J332" s="2" t="n">
        <x:f>IF(ISNUMBER(F332),IF(AND(ABS(F332)+0.00000000001&gt;=$B$7,ABS(E332)+0.000000001&gt;=$D$7),1,0),"n.a.")</x:f>
        <x:v>0</x:v>
      </x:c>
      <x:c r="K332" s="2" t="str">
        <x:f>IF(NOT(ISNUMBER(F332)),"No evaluable",IF(OR(J332=1,I332&gt;=$B$8),"Prioridad",IF(G332=1,"Observar","Sin umbral")))</x:f>
        <x:v>Sin umbral</x:v>
      </x:c>
      <x:c r="L332" s="2" t="str">
        <x:f>IF(K332="No evaluable","Faltan datos",IF(J332=1,"Magnitud",IF(I332&gt;=$B$8,"Persistencia",IF(G332=1,"Cambio del mes","Sin umbral"))))</x:f>
        <x:v>Sin umbral</x:v>
      </x:c>
      <x:c r="M332" s="2" t="n">
        <x:f>ROW()-40</x:f>
        <x:v>292</x:v>
      </x:c>
    </x:row>
    <x:row r="333" ht="48" customHeight="1">
      <x:c r="A333" s="4" t="n">
        <x:v>45536</x:v>
      </x:c>
      <x:c r="B333" s="32" t="str">
        <x:v>Extracción de minerales</x:v>
      </x:c>
      <x:c r="C333" s="10" t="n">
        <x:f>IF(ISNUMBER('Actividades'!F470),'Actividades'!F470,"n.a.")</x:f>
        <x:v>23.909290277777778</x:v>
      </x:c>
      <x:c r="D333" s="10" t="n">
        <x:f>IF(ISNUMBER('Actividades'!G470),'Actividades'!G470,"n.a.")</x:f>
        <x:v>23.118481944444444</x:v>
      </x:c>
      <x:c r="E333" s="10" t="n">
        <x:f>IF(AND(ISNUMBER(C333),ISNUMBER(D333),C333&gt;=0,D333&gt;0),C333-D333,"n.a.")</x:f>
        <x:v>0.7908083333333344</x:v>
      </x:c>
      <x:c r="F333" s="12" t="n">
        <x:f>IF(ISNUMBER(E333),E333/D333,"n.a.")</x:f>
        <x:v>0.03420675869781199</x:v>
      </x:c>
      <x:c r="G333" s="2" t="n">
        <x:f>IF(ISNUMBER(F333),IF(AND(ABS(F333)+0.00000000001&gt;=$B$6,ABS(E333)+0.000000001&gt;=$D$6),1,0),"n.a.")</x:f>
        <x:v>0</x:v>
      </x:c>
      <x:c r="H333" s="2" t="n">
        <x:f>IF(ISNUMBER(E333),SIGN(E333),"n.a.")</x:f>
        <x:v>1</x:v>
      </x:c>
      <x:c r="I333" s="2" t="n">
        <x:f>IF(NOT(ISNUMBER(G333)),"n.a.",IF(G333=0,0,IF(AND(B333=B319,A333=EDATE(A319,1),H333=H319,ISNUMBER(I319)),I319+1,1)))</x:f>
        <x:v>0</x:v>
      </x:c>
      <x:c r="J333" s="2" t="n">
        <x:f>IF(ISNUMBER(F333),IF(AND(ABS(F333)+0.00000000001&gt;=$B$7,ABS(E333)+0.000000001&gt;=$D$7),1,0),"n.a.")</x:f>
        <x:v>0</x:v>
      </x:c>
      <x:c r="K333" s="2" t="str">
        <x:f>IF(NOT(ISNUMBER(F333)),"No evaluable",IF(OR(J333=1,I333&gt;=$B$8),"Prioridad",IF(G333=1,"Observar","Sin umbral")))</x:f>
        <x:v>Sin umbral</x:v>
      </x:c>
      <x:c r="L333" s="2" t="str">
        <x:f>IF(K333="No evaluable","Faltan datos",IF(J333=1,"Magnitud",IF(I333&gt;=$B$8,"Persistencia",IF(G333=1,"Cambio del mes","Sin umbral"))))</x:f>
        <x:v>Sin umbral</x:v>
      </x:c>
      <x:c r="M333" s="2" t="n">
        <x:f>ROW()-40</x:f>
        <x:v>293</x:v>
      </x:c>
    </x:row>
    <x:row r="334" ht="48" customHeight="1">
      <x:c r="A334" s="4" t="n">
        <x:v>45536</x:v>
      </x:c>
      <x:c r="B334" s="32" t="str">
        <x:v>Extracción de petróleo</x:v>
      </x:c>
      <x:c r="C334" s="10" t="n">
        <x:f>IF(ISNUMBER('Actividades'!F471),'Actividades'!F471,"n.a.")</x:f>
        <x:v>144.58456527777778</x:v>
      </x:c>
      <x:c r="D334" s="10" t="n">
        <x:f>IF(ISNUMBER('Actividades'!G471),'Actividades'!G471,"n.a.")</x:f>
        <x:v>156.64385555555555</x:v>
      </x:c>
      <x:c r="E334" s="10" t="n">
        <x:f>IF(AND(ISNUMBER(C334),ISNUMBER(D334),C334&gt;=0,D334&gt;0),C334-D334,"n.a.")</x:f>
        <x:v>-12.059290277777762</x:v>
      </x:c>
      <x:c r="F334" s="12" t="n">
        <x:f>IF(ISNUMBER(E334),E334/D334,"n.a.")</x:f>
        <x:v>-0.07698540255542163</x:v>
      </x:c>
      <x:c r="G334" s="2" t="n">
        <x:f>IF(ISNUMBER(F334),IF(AND(ABS(F334)+0.00000000001&gt;=$B$6,ABS(E334)+0.000000001&gt;=$D$6),1,0),"n.a.")</x:f>
        <x:v>0</x:v>
      </x:c>
      <x:c r="H334" s="2" t="n">
        <x:f>IF(ISNUMBER(E334),SIGN(E334),"n.a.")</x:f>
        <x:v>-1</x:v>
      </x:c>
      <x:c r="I334" s="2" t="n">
        <x:f>IF(NOT(ISNUMBER(G334)),"n.a.",IF(G334=0,0,IF(AND(B334=B320,A334=EDATE(A320,1),H334=H320,ISNUMBER(I320)),I320+1,1)))</x:f>
        <x:v>0</x:v>
      </x:c>
      <x:c r="J334" s="2" t="n">
        <x:f>IF(ISNUMBER(F334),IF(AND(ABS(F334)+0.00000000001&gt;=$B$7,ABS(E334)+0.000000001&gt;=$D$7),1,0),"n.a.")</x:f>
        <x:v>0</x:v>
      </x:c>
      <x:c r="K334" s="2" t="str">
        <x:f>IF(NOT(ISNUMBER(F334)),"No evaluable",IF(OR(J334=1,I334&gt;=$B$8),"Prioridad",IF(G334=1,"Observar","Sin umbral")))</x:f>
        <x:v>Sin umbral</x:v>
      </x:c>
      <x:c r="L334" s="2" t="str">
        <x:f>IF(K334="No evaluable","Faltan datos",IF(J334=1,"Magnitud",IF(I334&gt;=$B$8,"Persistencia",IF(G334=1,"Cambio del mes","Sin umbral"))))</x:f>
        <x:v>Sin umbral</x:v>
      </x:c>
      <x:c r="M334" s="2" t="n">
        <x:f>ROW()-40</x:f>
        <x:v>294</x:v>
      </x:c>
    </x:row>
    <x:row r="335" ht="48" customHeight="1">
      <x:c r="A335" s="4" t="n">
        <x:v>45566</x:v>
      </x:c>
      <x:c r="B335" s="32" t="str">
        <x:v>Cargas y puertos</x:v>
      </x:c>
      <x:c r="C335" s="10" t="n">
        <x:f>IF(ISNUMBER('Actividades'!F472),'Actividades'!F472,"n.a.")</x:f>
        <x:v>9.916600806451614</x:v>
      </x:c>
      <x:c r="D335" s="10" t="n">
        <x:f>IF(ISNUMBER('Actividades'!G472),'Actividades'!G472,"n.a.")</x:f>
        <x:v>9.658463709677418</x:v>
      </x:c>
      <x:c r="E335" s="10" t="n">
        <x:f>IF(AND(ISNUMBER(C335),ISNUMBER(D335),C335&gt;=0,D335&gt;0),C335-D335,"n.a.")</x:f>
        <x:v>0.2581370967741954</x:v>
      </x:c>
      <x:c r="F335" s="12" t="n">
        <x:f>IF(ISNUMBER(E335),E335/D335,"n.a.")</x:f>
        <x:v>0.02672651723229562</x:v>
      </x:c>
      <x:c r="G335" s="2" t="n">
        <x:f>IF(ISNUMBER(F335),IF(AND(ABS(F335)+0.00000000001&gt;=$B$6,ABS(E335)+0.000000001&gt;=$D$6),1,0),"n.a.")</x:f>
        <x:v>0</x:v>
      </x:c>
      <x:c r="H335" s="2" t="n">
        <x:f>IF(ISNUMBER(E335),SIGN(E335),"n.a.")</x:f>
        <x:v>1</x:v>
      </x:c>
      <x:c r="I335" s="2" t="n">
        <x:f>IF(NOT(ISNUMBER(G335)),"n.a.",IF(G335=0,0,IF(AND(B335=B321,A335=EDATE(A321,1),H335=H321,ISNUMBER(I321)),I321+1,1)))</x:f>
        <x:v>0</x:v>
      </x:c>
      <x:c r="J335" s="2" t="n">
        <x:f>IF(ISNUMBER(F335),IF(AND(ABS(F335)+0.00000000001&gt;=$B$7,ABS(E335)+0.000000001&gt;=$D$7),1,0),"n.a.")</x:f>
        <x:v>0</x:v>
      </x:c>
      <x:c r="K335" s="2" t="str">
        <x:f>IF(NOT(ISNUMBER(F335)),"No evaluable",IF(OR(J335=1,I335&gt;=$B$8),"Prioridad",IF(G335=1,"Observar","Sin umbral")))</x:f>
        <x:v>Sin umbral</x:v>
      </x:c>
      <x:c r="L335" s="2" t="str">
        <x:f>IF(K335="No evaluable","Faltan datos",IF(J335=1,"Magnitud",IF(I335&gt;=$B$8,"Persistencia",IF(G335=1,"Cambio del mes","Sin umbral"))))</x:f>
        <x:v>Sin umbral</x:v>
      </x:c>
      <x:c r="M335" s="2" t="n">
        <x:f>ROW()-40</x:f>
        <x:v>295</x:v>
      </x:c>
    </x:row>
    <x:row r="336" ht="48" customHeight="1">
      <x:c r="A336" s="4" t="n">
        <x:v>45566</x:v>
      </x:c>
      <x:c r="B336" s="32" t="str">
        <x:v>Comercio y servicios: principalmente supermercados y centros comerciales</x:v>
      </x:c>
      <x:c r="C336" s="10" t="n">
        <x:f>IF(ISNUMBER('Actividades'!F473),'Actividades'!F473,"n.a.")</x:f>
        <x:v>43.676810483870966</x:v>
      </x:c>
      <x:c r="D336" s="10" t="n">
        <x:f>IF(ISNUMBER('Actividades'!G473),'Actividades'!G473,"n.a.")</x:f>
        <x:v>30.093684139784948</x:v>
      </x:c>
      <x:c r="E336" s="10" t="n">
        <x:f>IF(AND(ISNUMBER(C336),ISNUMBER(D336),C336&gt;=0,D336&gt;0),C336-D336,"n.a.")</x:f>
        <x:v>13.583126344086018</x:v>
      </x:c>
      <x:c r="F336" s="12" t="n">
        <x:f>IF(ISNUMBER(E336),E336/D336,"n.a.")</x:f>
        <x:v>0.4513613647632006</x:v>
      </x:c>
      <x:c r="G336" s="2" t="n">
        <x:f>IF(ISNUMBER(F336),IF(AND(ABS(F336)+0.00000000001&gt;=$B$6,ABS(E336)+0.000000001&gt;=$D$6),1,0),"n.a.")</x:f>
        <x:v>1</x:v>
      </x:c>
      <x:c r="H336" s="2" t="n">
        <x:f>IF(ISNUMBER(E336),SIGN(E336),"n.a.")</x:f>
        <x:v>1</x:v>
      </x:c>
      <x:c r="I336" s="2" t="n">
        <x:f>IF(NOT(ISNUMBER(G336)),"n.a.",IF(G336=0,0,IF(AND(B336=B322,A336=EDATE(A322,1),H336=H322,ISNUMBER(I322)),I322+1,1)))</x:f>
        <x:v>1</x:v>
      </x:c>
      <x:c r="J336" s="2" t="n">
        <x:f>IF(ISNUMBER(F336),IF(AND(ABS(F336)+0.00000000001&gt;=$B$7,ABS(E336)+0.000000001&gt;=$D$7),1,0),"n.a.")</x:f>
        <x:v>1</x:v>
      </x:c>
      <x:c r="K336" s="2" t="str">
        <x:f>IF(NOT(ISNUMBER(F336)),"No evaluable",IF(OR(J336=1,I336&gt;=$B$8),"Prioridad",IF(G336=1,"Observar","Sin umbral")))</x:f>
        <x:v>Prioridad</x:v>
      </x:c>
      <x:c r="L336" s="2" t="str">
        <x:f>IF(K336="No evaluable","Faltan datos",IF(J336=1,"Magnitud",IF(I336&gt;=$B$8,"Persistencia",IF(G336=1,"Cambio del mes","Sin umbral"))))</x:f>
        <x:v>Magnitud</x:v>
      </x:c>
      <x:c r="M336" s="2" t="n">
        <x:f>ROW()-40</x:f>
        <x:v>296</x:v>
      </x:c>
    </x:row>
    <x:row r="337" ht="48" customHeight="1">
      <x:c r="A337" s="4" t="n">
        <x:v>45566</x:v>
      </x:c>
      <x:c r="B337" s="32" t="str">
        <x:v>Alimentación y artículos de consumo masivo</x:v>
      </x:c>
      <x:c r="C337" s="10" t="n">
        <x:f>IF(ISNUMBER('Actividades'!F474),'Actividades'!F474,"n.a.")</x:f>
        <x:v>287.3545564516129</x:v>
      </x:c>
      <x:c r="D337" s="10" t="n">
        <x:f>IF(ISNUMBER('Actividades'!G474),'Actividades'!G474,"n.a.")</x:f>
        <x:v>251.34576209677414</x:v>
      </x:c>
      <x:c r="E337" s="10" t="n">
        <x:f>IF(AND(ISNUMBER(C337),ISNUMBER(D337),C337&gt;=0,D337&gt;0),C337-D337,"n.a.")</x:f>
        <x:v>36.008794354838756</x:v>
      </x:c>
      <x:c r="F337" s="12" t="n">
        <x:f>IF(ISNUMBER(E337),E337/D337,"n.a.")</x:f>
        <x:v>0.1432639804803015</x:v>
      </x:c>
      <x:c r="G337" s="2" t="n">
        <x:f>IF(ISNUMBER(F337),IF(AND(ABS(F337)+0.00000000001&gt;=$B$6,ABS(E337)+0.000000001&gt;=$D$6),1,0),"n.a.")</x:f>
        <x:v>1</x:v>
      </x:c>
      <x:c r="H337" s="2" t="n">
        <x:f>IF(ISNUMBER(E337),SIGN(E337),"n.a.")</x:f>
        <x:v>1</x:v>
      </x:c>
      <x:c r="I337" s="2" t="n">
        <x:f>IF(NOT(ISNUMBER(G337)),"n.a.",IF(G337=0,0,IF(AND(B337=B323,A337=EDATE(A323,1),H337=H323,ISNUMBER(I323)),I323+1,1)))</x:f>
        <x:v>2</x:v>
      </x:c>
      <x:c r="J337" s="2" t="n">
        <x:f>IF(ISNUMBER(F337),IF(AND(ABS(F337)+0.00000000001&gt;=$B$7,ABS(E337)+0.000000001&gt;=$D$7),1,0),"n.a.")</x:f>
        <x:v>0</x:v>
      </x:c>
      <x:c r="K337" s="2" t="str">
        <x:f>IF(NOT(ISNUMBER(F337)),"No evaluable",IF(OR(J337=1,I337&gt;=$B$8),"Prioridad",IF(G337=1,"Observar","Sin umbral")))</x:f>
        <x:v>Observar</x:v>
      </x:c>
      <x:c r="L337" s="2" t="str">
        <x:f>IF(K337="No evaluable","Faltan datos",IF(J337=1,"Magnitud",IF(I337&gt;=$B$8,"Persistencia",IF(G337=1,"Cambio del mes","Sin umbral"))))</x:f>
        <x:v>Cambio del mes</x:v>
      </x:c>
      <x:c r="M337" s="2" t="n">
        <x:f>ROW()-40</x:f>
        <x:v>297</x:v>
      </x:c>
    </x:row>
    <x:row r="338" ht="48" customHeight="1">
      <x:c r="A338" s="4" t="n">
        <x:v>45566</x:v>
      </x:c>
      <x:c r="B338" s="32" t="str">
        <x:v>Servicios públicos y transporte: agua y transporte en GBA</x:v>
      </x:c>
      <x:c r="C338" s="10" t="n">
        <x:f>IF(ISNUMBER('Actividades'!F475),'Actividades'!F475,"n.a.")</x:f>
        <x:v>73.76425537634408</x:v>
      </x:c>
      <x:c r="D338" s="10" t="n">
        <x:f>IF(ISNUMBER('Actividades'!G475),'Actividades'!G475,"n.a.")</x:f>
        <x:v>86.44149731182794</x:v>
      </x:c>
      <x:c r="E338" s="10" t="n">
        <x:f>IF(AND(ISNUMBER(C338),ISNUMBER(D338),C338&gt;=0,D338&gt;0),C338-D338,"n.a.")</x:f>
        <x:v>-12.677241935483863</x:v>
      </x:c>
      <x:c r="F338" s="12" t="n">
        <x:f>IF(ISNUMBER(E338),E338/D338,"n.a.")</x:f>
        <x:v>-0.1466568989400096</x:v>
      </x:c>
      <x:c r="G338" s="2" t="n">
        <x:f>IF(ISNUMBER(F338),IF(AND(ABS(F338)+0.00000000001&gt;=$B$6,ABS(E338)+0.000000001&gt;=$D$6),1,0),"n.a.")</x:f>
        <x:v>1</x:v>
      </x:c>
      <x:c r="H338" s="2" t="n">
        <x:f>IF(ISNUMBER(E338),SIGN(E338),"n.a.")</x:f>
        <x:v>-1</x:v>
      </x:c>
      <x:c r="I338" s="2" t="n">
        <x:f>IF(NOT(ISNUMBER(G338)),"n.a.",IF(G338=0,0,IF(AND(B338=B324,A338=EDATE(A324,1),H338=H324,ISNUMBER(I324)),I324+1,1)))</x:f>
        <x:v>1</x:v>
      </x:c>
      <x:c r="J338" s="2" t="n">
        <x:f>IF(ISNUMBER(F338),IF(AND(ABS(F338)+0.00000000001&gt;=$B$7,ABS(E338)+0.000000001&gt;=$D$7),1,0),"n.a.")</x:f>
        <x:v>0</x:v>
      </x:c>
      <x:c r="K338" s="2" t="str">
        <x:f>IF(NOT(ISNUMBER(F338)),"No evaluable",IF(OR(J338=1,I338&gt;=$B$8),"Prioridad",IF(G338=1,"Observar","Sin umbral")))</x:f>
        <x:v>Observar</x:v>
      </x:c>
      <x:c r="L338" s="2" t="str">
        <x:f>IF(K338="No evaluable","Faltan datos",IF(J338=1,"Magnitud",IF(I338&gt;=$B$8,"Persistencia",IF(G338=1,"Cambio del mes","Sin umbral"))))</x:f>
        <x:v>Cambio del mes</x:v>
      </x:c>
      <x:c r="M338" s="2" t="n">
        <x:f>ROW()-40</x:f>
        <x:v>298</x:v>
      </x:c>
    </x:row>
    <x:row r="339" ht="48" customHeight="1">
      <x:c r="A339" s="4" t="n">
        <x:v>45566</x:v>
      </x:c>
      <x:c r="B339" s="32" t="str">
        <x:v>Industria automotriz</x:v>
      </x:c>
      <x:c r="C339" s="10" t="n">
        <x:f>IF(ISNUMBER('Actividades'!F476),'Actividades'!F476,"n.a.")</x:f>
        <x:v>42.818172043010755</x:v>
      </x:c>
      <x:c r="D339" s="10" t="n">
        <x:f>IF(ISNUMBER('Actividades'!G476),'Actividades'!G476,"n.a.")</x:f>
        <x:v>37.03747311827957</x:v>
      </x:c>
      <x:c r="E339" s="10" t="n">
        <x:f>IF(AND(ISNUMBER(C339),ISNUMBER(D339),C339&gt;=0,D339&gt;0),C339-D339,"n.a.")</x:f>
        <x:v>5.780698924731183</x:v>
      </x:c>
      <x:c r="F339" s="12" t="n">
        <x:f>IF(ISNUMBER(E339),E339/D339,"n.a.")</x:f>
        <x:v>0.15607703328654357</x:v>
      </x:c>
      <x:c r="G339" s="2" t="n">
        <x:f>IF(ISNUMBER(F339),IF(AND(ABS(F339)+0.00000000001&gt;=$B$6,ABS(E339)+0.000000001&gt;=$D$6),1,0),"n.a.")</x:f>
        <x:v>1</x:v>
      </x:c>
      <x:c r="H339" s="2" t="n">
        <x:f>IF(ISNUMBER(E339),SIGN(E339),"n.a.")</x:f>
        <x:v>1</x:v>
      </x:c>
      <x:c r="I339" s="2" t="n">
        <x:f>IF(NOT(ISNUMBER(G339)),"n.a.",IF(G339=0,0,IF(AND(B339=B325,A339=EDATE(A325,1),H339=H325,ISNUMBER(I325)),I325+1,1)))</x:f>
        <x:v>1</x:v>
      </x:c>
      <x:c r="J339" s="2" t="n">
        <x:f>IF(ISNUMBER(F339),IF(AND(ABS(F339)+0.00000000001&gt;=$B$7,ABS(E339)+0.000000001&gt;=$D$7),1,0),"n.a.")</x:f>
        <x:v>0</x:v>
      </x:c>
      <x:c r="K339" s="2" t="str">
        <x:f>IF(NOT(ISNUMBER(F339)),"No evaluable",IF(OR(J339=1,I339&gt;=$B$8),"Prioridad",IF(G339=1,"Observar","Sin umbral")))</x:f>
        <x:v>Observar</x:v>
      </x:c>
      <x:c r="L339" s="2" t="str">
        <x:f>IF(K339="No evaluable","Faltan datos",IF(J339=1,"Magnitud",IF(I339&gt;=$B$8,"Persistencia",IF(G339=1,"Cambio del mes","Sin umbral"))))</x:f>
        <x:v>Cambio del mes</x:v>
      </x:c>
      <x:c r="M339" s="2" t="n">
        <x:f>ROW()-40</x:f>
        <x:v>299</x:v>
      </x:c>
    </x:row>
    <x:row r="340" ht="48" customHeight="1">
      <x:c r="A340" s="4" t="n">
        <x:v>45566</x:v>
      </x:c>
      <x:c r="B340" s="32" t="str">
        <x:v>Derivados de petróleo</x:v>
      </x:c>
      <x:c r="C340" s="10" t="n">
        <x:f>IF(ISNUMBER('Actividades'!F477),'Actividades'!F477,"n.a.")</x:f>
        <x:v>149.40455913978496</x:v>
      </x:c>
      <x:c r="D340" s="10" t="n">
        <x:f>IF(ISNUMBER('Actividades'!G477),'Actividades'!G477,"n.a.")</x:f>
        <x:v>140.4176370967742</x:v>
      </x:c>
      <x:c r="E340" s="10" t="n">
        <x:f>IF(AND(ISNUMBER(C340),ISNUMBER(D340),C340&gt;=0,D340&gt;0),C340-D340,"n.a.")</x:f>
        <x:v>8.986922043010765</x:v>
      </x:c>
      <x:c r="F340" s="12" t="n">
        <x:f>IF(ISNUMBER(E340),E340/D340,"n.a.")</x:f>
        <x:v>0.06400137638562514</x:v>
      </x:c>
      <x:c r="G340" s="2" t="n">
        <x:f>IF(ISNUMBER(F340),IF(AND(ABS(F340)+0.00000000001&gt;=$B$6,ABS(E340)+0.000000001&gt;=$D$6),1,0),"n.a.")</x:f>
        <x:v>0</x:v>
      </x:c>
      <x:c r="H340" s="2" t="n">
        <x:f>IF(ISNUMBER(E340),SIGN(E340),"n.a.")</x:f>
        <x:v>1</x:v>
      </x:c>
      <x:c r="I340" s="2" t="n">
        <x:f>IF(NOT(ISNUMBER(G340)),"n.a.",IF(G340=0,0,IF(AND(B340=B326,A340=EDATE(A326,1),H340=H326,ISNUMBER(I326)),I326+1,1)))</x:f>
        <x:v>0</x:v>
      </x:c>
      <x:c r="J340" s="2" t="n">
        <x:f>IF(ISNUMBER(F340),IF(AND(ABS(F340)+0.00000000001&gt;=$B$7,ABS(E340)+0.000000001&gt;=$D$7),1,0),"n.a.")</x:f>
        <x:v>0</x:v>
      </x:c>
      <x:c r="K340" s="2" t="str">
        <x:f>IF(NOT(ISNUMBER(F340)),"No evaluable",IF(OR(J340=1,I340&gt;=$B$8),"Prioridad",IF(G340=1,"Observar","Sin umbral")))</x:f>
        <x:v>Sin umbral</x:v>
      </x:c>
      <x:c r="L340" s="2" t="str">
        <x:f>IF(K340="No evaluable","Faltan datos",IF(J340=1,"Magnitud",IF(I340&gt;=$B$8,"Persistencia",IF(G340=1,"Cambio del mes","Sin umbral"))))</x:f>
        <x:v>Sin umbral</x:v>
      </x:c>
      <x:c r="M340" s="2" t="n">
        <x:f>ROW()-40</x:f>
        <x:v>300</x:v>
      </x:c>
    </x:row>
    <x:row r="341" ht="48" customHeight="1">
      <x:c r="A341" s="4" t="n">
        <x:v>45566</x:v>
      </x:c>
      <x:c r="B341" s="32" t="str">
        <x:v>Construcción: elaboración de cemento y canteras</x:v>
      </x:c>
      <x:c r="C341" s="10" t="n">
        <x:f>IF(ISNUMBER('Actividades'!F478),'Actividades'!F478,"n.a.")</x:f>
        <x:v>172.92159543010752</x:v>
      </x:c>
      <x:c r="D341" s="10" t="n">
        <x:f>IF(ISNUMBER('Actividades'!G478),'Actividades'!G478,"n.a.")</x:f>
        <x:v>188.02799731182796</x:v>
      </x:c>
      <x:c r="E341" s="10" t="n">
        <x:f>IF(AND(ISNUMBER(C341),ISNUMBER(D341),C341&gt;=0,D341&gt;0),C341-D341,"n.a.")</x:f>
        <x:v>-15.106401881720444</x:v>
      </x:c>
      <x:c r="F341" s="12" t="n">
        <x:f>IF(ISNUMBER(E341),E341/D341,"n.a.")</x:f>
        <x:v>-0.08034123693115659</x:v>
      </x:c>
      <x:c r="G341" s="2" t="n">
        <x:f>IF(ISNUMBER(F341),IF(AND(ABS(F341)+0.00000000001&gt;=$B$6,ABS(E341)+0.000000001&gt;=$D$6),1,0),"n.a.")</x:f>
        <x:v>0</x:v>
      </x:c>
      <x:c r="H341" s="2" t="n">
        <x:f>IF(ISNUMBER(E341),SIGN(E341),"n.a.")</x:f>
        <x:v>-1</x:v>
      </x:c>
      <x:c r="I341" s="2" t="n">
        <x:f>IF(NOT(ISNUMBER(G341)),"n.a.",IF(G341=0,0,IF(AND(B341=B327,A341=EDATE(A327,1),H341=H327,ISNUMBER(I327)),I327+1,1)))</x:f>
        <x:v>0</x:v>
      </x:c>
      <x:c r="J341" s="2" t="n">
        <x:f>IF(ISNUMBER(F341),IF(AND(ABS(F341)+0.00000000001&gt;=$B$7,ABS(E341)+0.000000001&gt;=$D$7),1,0),"n.a.")</x:f>
        <x:v>0</x:v>
      </x:c>
      <x:c r="K341" s="2" t="str">
        <x:f>IF(NOT(ISNUMBER(F341)),"No evaluable",IF(OR(J341=1,I341&gt;=$B$8),"Prioridad",IF(G341=1,"Observar","Sin umbral")))</x:f>
        <x:v>Sin umbral</x:v>
      </x:c>
      <x:c r="L341" s="2" t="str">
        <x:f>IF(K341="No evaluable","Faltan datos",IF(J341=1,"Magnitud",IF(I341&gt;=$B$8,"Persistencia",IF(G341=1,"Cambio del mes","Sin umbral"))))</x:f>
        <x:v>Sin umbral</x:v>
      </x:c>
      <x:c r="M341" s="2" t="n">
        <x:f>ROW()-40</x:f>
        <x:v>301</x:v>
      </x:c>
    </x:row>
    <x:row r="342" ht="48" customHeight="1">
      <x:c r="A342" s="4" t="n">
        <x:v>45566</x:v>
      </x:c>
      <x:c r="B342" s="32" t="str">
        <x:v>Madera y papel</x:v>
      </x:c>
      <x:c r="C342" s="10" t="n">
        <x:f>IF(ISNUMBER('Actividades'!F479),'Actividades'!F479,"n.a.")</x:f>
        <x:v>98.67534005376345</x:v>
      </x:c>
      <x:c r="D342" s="10" t="n">
        <x:f>IF(ISNUMBER('Actividades'!G479),'Actividades'!G479,"n.a.")</x:f>
        <x:v>106.23979569892474</x:v>
      </x:c>
      <x:c r="E342" s="10" t="n">
        <x:f>IF(AND(ISNUMBER(C342),ISNUMBER(D342),C342&gt;=0,D342&gt;0),C342-D342,"n.a.")</x:f>
        <x:v>-7.5644556451612885</x:v>
      </x:c>
      <x:c r="F342" s="12" t="n">
        <x:f>IF(ISNUMBER(E342),E342/D342,"n.a.")</x:f>
        <x:v>-0.0712017149072685</x:v>
      </x:c>
      <x:c r="G342" s="2" t="n">
        <x:f>IF(ISNUMBER(F342),IF(AND(ABS(F342)+0.00000000001&gt;=$B$6,ABS(E342)+0.000000001&gt;=$D$6),1,0),"n.a.")</x:f>
        <x:v>0</x:v>
      </x:c>
      <x:c r="H342" s="2" t="n">
        <x:f>IF(ISNUMBER(E342),SIGN(E342),"n.a.")</x:f>
        <x:v>-1</x:v>
      </x:c>
      <x:c r="I342" s="2" t="n">
        <x:f>IF(NOT(ISNUMBER(G342)),"n.a.",IF(G342=0,0,IF(AND(B342=B328,A342=EDATE(A328,1),H342=H328,ISNUMBER(I328)),I328+1,1)))</x:f>
        <x:v>0</x:v>
      </x:c>
      <x:c r="J342" s="2" t="n">
        <x:f>IF(ISNUMBER(F342),IF(AND(ABS(F342)+0.00000000001&gt;=$B$7,ABS(E342)+0.000000001&gt;=$D$7),1,0),"n.a.")</x:f>
        <x:v>0</x:v>
      </x:c>
      <x:c r="K342" s="2" t="str">
        <x:f>IF(NOT(ISNUMBER(F342)),"No evaluable",IF(OR(J342=1,I342&gt;=$B$8),"Prioridad",IF(G342=1,"Observar","Sin umbral")))</x:f>
        <x:v>Sin umbral</x:v>
      </x:c>
      <x:c r="L342" s="2" t="str">
        <x:f>IF(K342="No evaluable","Faltan datos",IF(J342=1,"Magnitud",IF(I342&gt;=$B$8,"Persistencia",IF(G342=1,"Cambio del mes","Sin umbral"))))</x:f>
        <x:v>Sin umbral</x:v>
      </x:c>
      <x:c r="M342" s="2" t="n">
        <x:f>ROW()-40</x:f>
        <x:v>302</x:v>
      </x:c>
    </x:row>
    <x:row r="343" ht="48" customHeight="1">
      <x:c r="A343" s="4" t="n">
        <x:v>45566</x:v>
      </x:c>
      <x:c r="B343" s="32" t="str">
        <x:v>Productos metálicos no automotores</x:v>
      </x:c>
      <x:c r="C343" s="10" t="n">
        <x:f>IF(ISNUMBER('Actividades'!F480),'Actividades'!F480,"n.a.")</x:f>
        <x:v>43.676311827956994</x:v>
      </x:c>
      <x:c r="D343" s="10" t="n">
        <x:f>IF(ISNUMBER('Actividades'!G480),'Actividades'!G480,"n.a.")</x:f>
        <x:v>50.29255510752688</x:v>
      </x:c>
      <x:c r="E343" s="10" t="n">
        <x:f>IF(AND(ISNUMBER(C343),ISNUMBER(D343),C343&gt;=0,D343&gt;0),C343-D343,"n.a.")</x:f>
        <x:v>-6.616243279569886</x:v>
      </x:c>
      <x:c r="F343" s="12" t="n">
        <x:f>IF(ISNUMBER(E343),E343/D343,"n.a.")</x:f>
        <x:v>-0.13155512312755185</x:v>
      </x:c>
      <x:c r="G343" s="2" t="n">
        <x:f>IF(ISNUMBER(F343),IF(AND(ABS(F343)+0.00000000001&gt;=$B$6,ABS(E343)+0.000000001&gt;=$D$6),1,0),"n.a.")</x:f>
        <x:v>1</x:v>
      </x:c>
      <x:c r="H343" s="2" t="n">
        <x:f>IF(ISNUMBER(E343),SIGN(E343),"n.a.")</x:f>
        <x:v>-1</x:v>
      </x:c>
      <x:c r="I343" s="2" t="n">
        <x:f>IF(NOT(ISNUMBER(G343)),"n.a.",IF(G343=0,0,IF(AND(B343=B329,A343=EDATE(A329,1),H343=H329,ISNUMBER(I329)),I329+1,1)))</x:f>
        <x:v>8</x:v>
      </x:c>
      <x:c r="J343" s="2" t="n">
        <x:f>IF(ISNUMBER(F343),IF(AND(ABS(F343)+0.00000000001&gt;=$B$7,ABS(E343)+0.000000001&gt;=$D$7),1,0),"n.a.")</x:f>
        <x:v>0</x:v>
      </x:c>
      <x:c r="K343" s="2" t="str">
        <x:f>IF(NOT(ISNUMBER(F343)),"No evaluable",IF(OR(J343=1,I343&gt;=$B$8),"Prioridad",IF(G343=1,"Observar","Sin umbral")))</x:f>
        <x:v>Prioridad</x:v>
      </x:c>
      <x:c r="L343" s="2" t="str">
        <x:f>IF(K343="No evaluable","Faltan datos",IF(J343=1,"Magnitud",IF(I343&gt;=$B$8,"Persistencia",IF(G343=1,"Cambio del mes","Sin umbral"))))</x:f>
        <x:v>Persistencia</x:v>
      </x:c>
      <x:c r="M343" s="2" t="n">
        <x:f>ROW()-40</x:f>
        <x:v>303</x:v>
      </x:c>
    </x:row>
    <x:row r="344" ht="48" customHeight="1">
      <x:c r="A344" s="4" t="n">
        <x:v>45566</x:v>
      </x:c>
      <x:c r="B344" s="32" t="str">
        <x:v>Gran siderurgia</x:v>
      </x:c>
      <x:c r="C344" s="10" t="n">
        <x:f>IF(ISNUMBER('Actividades'!F481),'Actividades'!F481,"n.a.")</x:f>
        <x:v>295.38708467741935</x:v>
      </x:c>
      <x:c r="D344" s="10" t="n">
        <x:f>IF(ISNUMBER('Actividades'!G481),'Actividades'!G481,"n.a.")</x:f>
        <x:v>373.34215860215056</x:v>
      </x:c>
      <x:c r="E344" s="10" t="n">
        <x:f>IF(AND(ISNUMBER(C344),ISNUMBER(D344),C344&gt;=0,D344&gt;0),C344-D344,"n.a.")</x:f>
        <x:v>-77.95507392473121</x:v>
      </x:c>
      <x:c r="F344" s="12" t="n">
        <x:f>IF(ISNUMBER(E344),E344/D344,"n.a.")</x:f>
        <x:v>-0.20880329780222728</x:v>
      </x:c>
      <x:c r="G344" s="2" t="n">
        <x:f>IF(ISNUMBER(F344),IF(AND(ABS(F344)+0.00000000001&gt;=$B$6,ABS(E344)+0.000000001&gt;=$D$6),1,0),"n.a.")</x:f>
        <x:v>1</x:v>
      </x:c>
      <x:c r="H344" s="2" t="n">
        <x:f>IF(ISNUMBER(E344),SIGN(E344),"n.a.")</x:f>
        <x:v>-1</x:v>
      </x:c>
      <x:c r="I344" s="2" t="n">
        <x:f>IF(NOT(ISNUMBER(G344)),"n.a.",IF(G344=0,0,IF(AND(B344=B330,A344=EDATE(A330,1),H344=H330,ISNUMBER(I330)),I330+1,1)))</x:f>
        <x:v>3</x:v>
      </x:c>
      <x:c r="J344" s="2" t="n">
        <x:f>IF(ISNUMBER(F344),IF(AND(ABS(F344)+0.00000000001&gt;=$B$7,ABS(E344)+0.000000001&gt;=$D$7),1,0),"n.a.")</x:f>
        <x:v>1</x:v>
      </x:c>
      <x:c r="K344" s="2" t="str">
        <x:f>IF(NOT(ISNUMBER(F344)),"No evaluable",IF(OR(J344=1,I344&gt;=$B$8),"Prioridad",IF(G344=1,"Observar","Sin umbral")))</x:f>
        <x:v>Prioridad</x:v>
      </x:c>
      <x:c r="L344" s="2" t="str">
        <x:f>IF(K344="No evaluable","Faltan datos",IF(J344=1,"Magnitud",IF(I344&gt;=$B$8,"Persistencia",IF(G344=1,"Cambio del mes","Sin umbral"))))</x:f>
        <x:v>Magnitud</x:v>
      </x:c>
      <x:c r="M344" s="2" t="n">
        <x:f>ROW()-40</x:f>
        <x:v>304</x:v>
      </x:c>
    </x:row>
    <x:row r="345" ht="48" customHeight="1">
      <x:c r="A345" s="4" t="n">
        <x:v>45566</x:v>
      </x:c>
      <x:c r="B345" s="32" t="str">
        <x:v>Industria textil</x:v>
      </x:c>
      <x:c r="C345" s="10" t="n">
        <x:f>IF(ISNUMBER('Actividades'!F482),'Actividades'!F482,"n.a.")</x:f>
        <x:v>58.80636155913979</x:v>
      </x:c>
      <x:c r="D345" s="10" t="n">
        <x:f>IF(ISNUMBER('Actividades'!G482),'Actividades'!G482,"n.a.")</x:f>
        <x:v>62.87235080645161</x:v>
      </x:c>
      <x:c r="E345" s="10" t="n">
        <x:f>IF(AND(ISNUMBER(C345),ISNUMBER(D345),C345&gt;=0,D345&gt;0),C345-D345,"n.a.")</x:f>
        <x:v>-4.065989247311819</x:v>
      </x:c>
      <x:c r="F345" s="12" t="n">
        <x:f>IF(ISNUMBER(E345),E345/D345,"n.a.")</x:f>
        <x:v>-0.06467054587840528</x:v>
      </x:c>
      <x:c r="G345" s="2" t="n">
        <x:f>IF(ISNUMBER(F345),IF(AND(ABS(F345)+0.00000000001&gt;=$B$6,ABS(E345)+0.000000001&gt;=$D$6),1,0),"n.a.")</x:f>
        <x:v>0</x:v>
      </x:c>
      <x:c r="H345" s="2" t="n">
        <x:f>IF(ISNUMBER(E345),SIGN(E345),"n.a.")</x:f>
        <x:v>-1</x:v>
      </x:c>
      <x:c r="I345" s="2" t="n">
        <x:f>IF(NOT(ISNUMBER(G345)),"n.a.",IF(G345=0,0,IF(AND(B345=B331,A345=EDATE(A331,1),H345=H331,ISNUMBER(I331)),I331+1,1)))</x:f>
        <x:v>0</x:v>
      </x:c>
      <x:c r="J345" s="2" t="n">
        <x:f>IF(ISNUMBER(F345),IF(AND(ABS(F345)+0.00000000001&gt;=$B$7,ABS(E345)+0.000000001&gt;=$D$7),1,0),"n.a.")</x:f>
        <x:v>0</x:v>
      </x:c>
      <x:c r="K345" s="2" t="str">
        <x:f>IF(NOT(ISNUMBER(F345)),"No evaluable",IF(OR(J345=1,I345&gt;=$B$8),"Prioridad",IF(G345=1,"Observar","Sin umbral")))</x:f>
        <x:v>Sin umbral</x:v>
      </x:c>
      <x:c r="L345" s="2" t="str">
        <x:f>IF(K345="No evaluable","Faltan datos",IF(J345=1,"Magnitud",IF(I345&gt;=$B$8,"Persistencia",IF(G345=1,"Cambio del mes","Sin umbral"))))</x:f>
        <x:v>Sin umbral</x:v>
      </x:c>
      <x:c r="M345" s="2" t="n">
        <x:f>ROW()-40</x:f>
        <x:v>305</x:v>
      </x:c>
    </x:row>
    <x:row r="346" ht="48" customHeight="1">
      <x:c r="A346" s="4" t="n">
        <x:v>45566</x:v>
      </x:c>
      <x:c r="B346" s="32" t="str">
        <x:v>Químicas, caucho, plástico y otros minerales no metálicos</x:v>
      </x:c>
      <x:c r="C346" s="10" t="n">
        <x:f>IF(ISNUMBER('Actividades'!F483),'Actividades'!F483,"n.a.")</x:f>
        <x:v>298.94210887096773</x:v>
      </x:c>
      <x:c r="D346" s="10" t="n">
        <x:f>IF(ISNUMBER('Actividades'!G483),'Actividades'!G483,"n.a.")</x:f>
        <x:v>343.069125</x:v>
      </x:c>
      <x:c r="E346" s="10" t="n">
        <x:f>IF(AND(ISNUMBER(C346),ISNUMBER(D346),C346&gt;=0,D346&gt;0),C346-D346,"n.a.")</x:f>
        <x:v>-44.127016129032256</x:v>
      </x:c>
      <x:c r="F346" s="12" t="n">
        <x:f>IF(ISNUMBER(E346),E346/D346,"n.a.")</x:f>
        <x:v>-0.12862427106791455</x:v>
      </x:c>
      <x:c r="G346" s="2" t="n">
        <x:f>IF(ISNUMBER(F346),IF(AND(ABS(F346)+0.00000000001&gt;=$B$6,ABS(E346)+0.000000001&gt;=$D$6),1,0),"n.a.")</x:f>
        <x:v>1</x:v>
      </x:c>
      <x:c r="H346" s="2" t="n">
        <x:f>IF(ISNUMBER(E346),SIGN(E346),"n.a.")</x:f>
        <x:v>-1</x:v>
      </x:c>
      <x:c r="I346" s="2" t="n">
        <x:f>IF(NOT(ISNUMBER(G346)),"n.a.",IF(G346=0,0,IF(AND(B346=B332,A346=EDATE(A332,1),H346=H332,ISNUMBER(I332)),I332+1,1)))</x:f>
        <x:v>1</x:v>
      </x:c>
      <x:c r="J346" s="2" t="n">
        <x:f>IF(ISNUMBER(F346),IF(AND(ABS(F346)+0.00000000001&gt;=$B$7,ABS(E346)+0.000000001&gt;=$D$7),1,0),"n.a.")</x:f>
        <x:v>0</x:v>
      </x:c>
      <x:c r="K346" s="2" t="str">
        <x:f>IF(NOT(ISNUMBER(F346)),"No evaluable",IF(OR(J346=1,I346&gt;=$B$8),"Prioridad",IF(G346=1,"Observar","Sin umbral")))</x:f>
        <x:v>Observar</x:v>
      </x:c>
      <x:c r="L346" s="2" t="str">
        <x:f>IF(K346="No evaluable","Faltan datos",IF(J346=1,"Magnitud",IF(I346&gt;=$B$8,"Persistencia",IF(G346=1,"Cambio del mes","Sin umbral"))))</x:f>
        <x:v>Cambio del mes</x:v>
      </x:c>
      <x:c r="M346" s="2" t="n">
        <x:f>ROW()-40</x:f>
        <x:v>306</x:v>
      </x:c>
    </x:row>
    <x:row r="347" ht="48" customHeight="1">
      <x:c r="A347" s="4" t="n">
        <x:v>45566</x:v>
      </x:c>
      <x:c r="B347" s="32" t="str">
        <x:v>Extracción de minerales</x:v>
      </x:c>
      <x:c r="C347" s="10" t="n">
        <x:f>IF(ISNUMBER('Actividades'!F484),'Actividades'!F484,"n.a.")</x:f>
        <x:v>24.063864247311827</x:v>
      </x:c>
      <x:c r="D347" s="10" t="n">
        <x:f>IF(ISNUMBER('Actividades'!G484),'Actividades'!G484,"n.a.")</x:f>
        <x:v>22.651575268817204</x:v>
      </x:c>
      <x:c r="E347" s="10" t="n">
        <x:f>IF(AND(ISNUMBER(C347),ISNUMBER(D347),C347&gt;=0,D347&gt;0),C347-D347,"n.a.")</x:f>
        <x:v>1.4122889784946224</x:v>
      </x:c>
      <x:c r="F347" s="12" t="n">
        <x:f>IF(ISNUMBER(E347),E347/D347,"n.a.")</x:f>
        <x:v>0.062348378059110934</x:v>
      </x:c>
      <x:c r="G347" s="2" t="n">
        <x:f>IF(ISNUMBER(F347),IF(AND(ABS(F347)+0.00000000001&gt;=$B$6,ABS(E347)+0.000000001&gt;=$D$6),1,0),"n.a.")</x:f>
        <x:v>0</x:v>
      </x:c>
      <x:c r="H347" s="2" t="n">
        <x:f>IF(ISNUMBER(E347),SIGN(E347),"n.a.")</x:f>
        <x:v>1</x:v>
      </x:c>
      <x:c r="I347" s="2" t="n">
        <x:f>IF(NOT(ISNUMBER(G347)),"n.a.",IF(G347=0,0,IF(AND(B347=B333,A347=EDATE(A333,1),H347=H333,ISNUMBER(I333)),I333+1,1)))</x:f>
        <x:v>0</x:v>
      </x:c>
      <x:c r="J347" s="2" t="n">
        <x:f>IF(ISNUMBER(F347),IF(AND(ABS(F347)+0.00000000001&gt;=$B$7,ABS(E347)+0.000000001&gt;=$D$7),1,0),"n.a.")</x:f>
        <x:v>0</x:v>
      </x:c>
      <x:c r="K347" s="2" t="str">
        <x:f>IF(NOT(ISNUMBER(F347)),"No evaluable",IF(OR(J347=1,I347&gt;=$B$8),"Prioridad",IF(G347=1,"Observar","Sin umbral")))</x:f>
        <x:v>Sin umbral</x:v>
      </x:c>
      <x:c r="L347" s="2" t="str">
        <x:f>IF(K347="No evaluable","Faltan datos",IF(J347=1,"Magnitud",IF(I347&gt;=$B$8,"Persistencia",IF(G347=1,"Cambio del mes","Sin umbral"))))</x:f>
        <x:v>Sin umbral</x:v>
      </x:c>
      <x:c r="M347" s="2" t="n">
        <x:f>ROW()-40</x:f>
        <x:v>307</x:v>
      </x:c>
    </x:row>
    <x:row r="348" ht="48" customHeight="1">
      <x:c r="A348" s="4" t="n">
        <x:v>45566</x:v>
      </x:c>
      <x:c r="B348" s="32" t="str">
        <x:v>Extracción de petróleo</x:v>
      </x:c>
      <x:c r="C348" s="10" t="n">
        <x:f>IF(ISNUMBER('Actividades'!F485),'Actividades'!F485,"n.a.")</x:f>
        <x:v>149.80320295698925</x:v>
      </x:c>
      <x:c r="D348" s="10" t="n">
        <x:f>IF(ISNUMBER('Actividades'!G485),'Actividades'!G485,"n.a.")</x:f>
        <x:v>152.40779704301076</x:v>
      </x:c>
      <x:c r="E348" s="10" t="n">
        <x:f>IF(AND(ISNUMBER(C348),ISNUMBER(D348),C348&gt;=0,D348&gt;0),C348-D348,"n.a.")</x:f>
        <x:v>-2.604594086021507</x:v>
      </x:c>
      <x:c r="F348" s="12" t="n">
        <x:f>IF(ISNUMBER(E348),E348/D348,"n.a.")</x:f>
        <x:v>-0.01708963804054243</x:v>
      </x:c>
      <x:c r="G348" s="2" t="n">
        <x:f>IF(ISNUMBER(F348),IF(AND(ABS(F348)+0.00000000001&gt;=$B$6,ABS(E348)+0.000000001&gt;=$D$6),1,0),"n.a.")</x:f>
        <x:v>0</x:v>
      </x:c>
      <x:c r="H348" s="2" t="n">
        <x:f>IF(ISNUMBER(E348),SIGN(E348),"n.a.")</x:f>
        <x:v>-1</x:v>
      </x:c>
      <x:c r="I348" s="2" t="n">
        <x:f>IF(NOT(ISNUMBER(G348)),"n.a.",IF(G348=0,0,IF(AND(B348=B334,A348=EDATE(A334,1),H348=H334,ISNUMBER(I334)),I334+1,1)))</x:f>
        <x:v>0</x:v>
      </x:c>
      <x:c r="J348" s="2" t="n">
        <x:f>IF(ISNUMBER(F348),IF(AND(ABS(F348)+0.00000000001&gt;=$B$7,ABS(E348)+0.000000001&gt;=$D$7),1,0),"n.a.")</x:f>
        <x:v>0</x:v>
      </x:c>
      <x:c r="K348" s="2" t="str">
        <x:f>IF(NOT(ISNUMBER(F348)),"No evaluable",IF(OR(J348=1,I348&gt;=$B$8),"Prioridad",IF(G348=1,"Observar","Sin umbral")))</x:f>
        <x:v>Sin umbral</x:v>
      </x:c>
      <x:c r="L348" s="2" t="str">
        <x:f>IF(K348="No evaluable","Faltan datos",IF(J348=1,"Magnitud",IF(I348&gt;=$B$8,"Persistencia",IF(G348=1,"Cambio del mes","Sin umbral"))))</x:f>
        <x:v>Sin umbral</x:v>
      </x:c>
      <x:c r="M348" s="2" t="n">
        <x:f>ROW()-40</x:f>
        <x:v>308</x:v>
      </x:c>
    </x:row>
    <x:row r="349" ht="48" customHeight="1">
      <x:c r="A349" s="4" t="n">
        <x:v>45597</x:v>
      </x:c>
      <x:c r="B349" s="32" t="str">
        <x:v>Cargas y puertos</x:v>
      </x:c>
      <x:c r="C349" s="10" t="n">
        <x:f>IF(ISNUMBER('Actividades'!F486),'Actividades'!F486,"n.a.")</x:f>
        <x:v>10.34502638888889</x:v>
      </x:c>
      <x:c r="D349" s="10" t="n">
        <x:f>IF(ISNUMBER('Actividades'!G486),'Actividades'!G486,"n.a.")</x:f>
        <x:v>10.10809861111111</x:v>
      </x:c>
      <x:c r="E349" s="10" t="n">
        <x:f>IF(AND(ISNUMBER(C349),ISNUMBER(D349),C349&gt;=0,D349&gt;0),C349-D349,"n.a.")</x:f>
        <x:v>0.23692777777777962</x:v>
      </x:c>
      <x:c r="F349" s="12" t="n">
        <x:f>IF(ISNUMBER(E349),E349/D349,"n.a.")</x:f>
        <x:v>0.023439401107280638</x:v>
      </x:c>
      <x:c r="G349" s="2" t="n">
        <x:f>IF(ISNUMBER(F349),IF(AND(ABS(F349)+0.00000000001&gt;=$B$6,ABS(E349)+0.000000001&gt;=$D$6),1,0),"n.a.")</x:f>
        <x:v>0</x:v>
      </x:c>
      <x:c r="H349" s="2" t="n">
        <x:f>IF(ISNUMBER(E349),SIGN(E349),"n.a.")</x:f>
        <x:v>1</x:v>
      </x:c>
      <x:c r="I349" s="2" t="n">
        <x:f>IF(NOT(ISNUMBER(G349)),"n.a.",IF(G349=0,0,IF(AND(B349=B335,A349=EDATE(A335,1),H349=H335,ISNUMBER(I335)),I335+1,1)))</x:f>
        <x:v>0</x:v>
      </x:c>
      <x:c r="J349" s="2" t="n">
        <x:f>IF(ISNUMBER(F349),IF(AND(ABS(F349)+0.00000000001&gt;=$B$7,ABS(E349)+0.000000001&gt;=$D$7),1,0),"n.a.")</x:f>
        <x:v>0</x:v>
      </x:c>
      <x:c r="K349" s="2" t="str">
        <x:f>IF(NOT(ISNUMBER(F349)),"No evaluable",IF(OR(J349=1,I349&gt;=$B$8),"Prioridad",IF(G349=1,"Observar","Sin umbral")))</x:f>
        <x:v>Sin umbral</x:v>
      </x:c>
      <x:c r="L349" s="2" t="str">
        <x:f>IF(K349="No evaluable","Faltan datos",IF(J349=1,"Magnitud",IF(I349&gt;=$B$8,"Persistencia",IF(G349=1,"Cambio del mes","Sin umbral"))))</x:f>
        <x:v>Sin umbral</x:v>
      </x:c>
      <x:c r="M349" s="2" t="n">
        <x:f>ROW()-40</x:f>
        <x:v>309</x:v>
      </x:c>
    </x:row>
    <x:row r="350" ht="48" customHeight="1">
      <x:c r="A350" s="4" t="n">
        <x:v>45597</x:v>
      </x:c>
      <x:c r="B350" s="32" t="str">
        <x:v>Comercio y servicios: principalmente supermercados y centros comerciales</x:v>
      </x:c>
      <x:c r="C350" s="10" t="n">
        <x:f>IF(ISNUMBER('Actividades'!F487),'Actividades'!F487,"n.a.")</x:f>
        <x:v>48.0542125</x:v>
      </x:c>
      <x:c r="D350" s="10" t="n">
        <x:f>IF(ISNUMBER('Actividades'!G487),'Actividades'!G487,"n.a.")</x:f>
        <x:v>36.82725</x:v>
      </x:c>
      <x:c r="E350" s="10" t="n">
        <x:f>IF(AND(ISNUMBER(C350),ISNUMBER(D350),C350&gt;=0,D350&gt;0),C350-D350,"n.a.")</x:f>
        <x:v>11.226962499999999</x:v>
      </x:c>
      <x:c r="F350" s="12" t="n">
        <x:f>IF(ISNUMBER(E350),E350/D350,"n.a.")</x:f>
        <x:v>0.3048547610804499</x:v>
      </x:c>
      <x:c r="G350" s="2" t="n">
        <x:f>IF(ISNUMBER(F350),IF(AND(ABS(F350)+0.00000000001&gt;=$B$6,ABS(E350)+0.000000001&gt;=$D$6),1,0),"n.a.")</x:f>
        <x:v>1</x:v>
      </x:c>
      <x:c r="H350" s="2" t="n">
        <x:f>IF(ISNUMBER(E350),SIGN(E350),"n.a.")</x:f>
        <x:v>1</x:v>
      </x:c>
      <x:c r="I350" s="2" t="n">
        <x:f>IF(NOT(ISNUMBER(G350)),"n.a.",IF(G350=0,0,IF(AND(B350=B336,A350=EDATE(A336,1),H350=H336,ISNUMBER(I336)),I336+1,1)))</x:f>
        <x:v>2</x:v>
      </x:c>
      <x:c r="J350" s="2" t="n">
        <x:f>IF(ISNUMBER(F350),IF(AND(ABS(F350)+0.00000000001&gt;=$B$7,ABS(E350)+0.000000001&gt;=$D$7),1,0),"n.a.")</x:f>
        <x:v>1</x:v>
      </x:c>
      <x:c r="K350" s="2" t="str">
        <x:f>IF(NOT(ISNUMBER(F350)),"No evaluable",IF(OR(J350=1,I350&gt;=$B$8),"Prioridad",IF(G350=1,"Observar","Sin umbral")))</x:f>
        <x:v>Prioridad</x:v>
      </x:c>
      <x:c r="L350" s="2" t="str">
        <x:f>IF(K350="No evaluable","Faltan datos",IF(J350=1,"Magnitud",IF(I350&gt;=$B$8,"Persistencia",IF(G350=1,"Cambio del mes","Sin umbral"))))</x:f>
        <x:v>Magnitud</x:v>
      </x:c>
      <x:c r="M350" s="2" t="n">
        <x:f>ROW()-40</x:f>
        <x:v>310</x:v>
      </x:c>
    </x:row>
    <x:row r="351" ht="48" customHeight="1">
      <x:c r="A351" s="4" t="n">
        <x:v>45597</x:v>
      </x:c>
      <x:c r="B351" s="32" t="str">
        <x:v>Alimentación y artículos de consumo masivo</x:v>
      </x:c>
      <x:c r="C351" s="10" t="n">
        <x:f>IF(ISNUMBER('Actividades'!F488),'Actividades'!F488,"n.a.")</x:f>
        <x:v>294.1251888888889</x:v>
      </x:c>
      <x:c r="D351" s="10" t="n">
        <x:f>IF(ISNUMBER('Actividades'!G488),'Actividades'!G488,"n.a.")</x:f>
        <x:v>261.1768861111111</x:v>
      </x:c>
      <x:c r="E351" s="10" t="n">
        <x:f>IF(AND(ISNUMBER(C351),ISNUMBER(D351),C351&gt;=0,D351&gt;0),C351-D351,"n.a.")</x:f>
        <x:v>32.94830277777777</x:v>
      </x:c>
      <x:c r="F351" s="12" t="n">
        <x:f>IF(ISNUMBER(E351),E351/D351,"n.a.")</x:f>
        <x:v>0.12615321083107156</x:v>
      </x:c>
      <x:c r="G351" s="2" t="n">
        <x:f>IF(ISNUMBER(F351),IF(AND(ABS(F351)+0.00000000001&gt;=$B$6,ABS(E351)+0.000000001&gt;=$D$6),1,0),"n.a.")</x:f>
        <x:v>1</x:v>
      </x:c>
      <x:c r="H351" s="2" t="n">
        <x:f>IF(ISNUMBER(E351),SIGN(E351),"n.a.")</x:f>
        <x:v>1</x:v>
      </x:c>
      <x:c r="I351" s="2" t="n">
        <x:f>IF(NOT(ISNUMBER(G351)),"n.a.",IF(G351=0,0,IF(AND(B351=B337,A351=EDATE(A337,1),H351=H337,ISNUMBER(I337)),I337+1,1)))</x:f>
        <x:v>3</x:v>
      </x:c>
      <x:c r="J351" s="2" t="n">
        <x:f>IF(ISNUMBER(F351),IF(AND(ABS(F351)+0.00000000001&gt;=$B$7,ABS(E351)+0.000000001&gt;=$D$7),1,0),"n.a.")</x:f>
        <x:v>0</x:v>
      </x:c>
      <x:c r="K351" s="2" t="str">
        <x:f>IF(NOT(ISNUMBER(F351)),"No evaluable",IF(OR(J351=1,I351&gt;=$B$8),"Prioridad",IF(G351=1,"Observar","Sin umbral")))</x:f>
        <x:v>Prioridad</x:v>
      </x:c>
      <x:c r="L351" s="2" t="str">
        <x:f>IF(K351="No evaluable","Faltan datos",IF(J351=1,"Magnitud",IF(I351&gt;=$B$8,"Persistencia",IF(G351=1,"Cambio del mes","Sin umbral"))))</x:f>
        <x:v>Persistencia</x:v>
      </x:c>
      <x:c r="M351" s="2" t="n">
        <x:f>ROW()-40</x:f>
        <x:v>311</x:v>
      </x:c>
    </x:row>
    <x:row r="352" ht="48" customHeight="1">
      <x:c r="A352" s="4" t="n">
        <x:v>45597</x:v>
      </x:c>
      <x:c r="B352" s="32" t="str">
        <x:v>Servicios públicos y transporte: agua y transporte en GBA</x:v>
      </x:c>
      <x:c r="C352" s="10" t="n">
        <x:f>IF(ISNUMBER('Actividades'!F489),'Actividades'!F489,"n.a.")</x:f>
        <x:v>74.77258888888888</x:v>
      </x:c>
      <x:c r="D352" s="10" t="n">
        <x:f>IF(ISNUMBER('Actividades'!G489),'Actividades'!G489,"n.a.")</x:f>
        <x:v>87.20690555555555</x:v>
      </x:c>
      <x:c r="E352" s="10" t="n">
        <x:f>IF(AND(ISNUMBER(C352),ISNUMBER(D352),C352&gt;=0,D352&gt;0),C352-D352,"n.a.")</x:f>
        <x:v>-12.434316666666675</x:v>
      </x:c>
      <x:c r="F352" s="12" t="n">
        <x:f>IF(ISNUMBER(E352),E352/D352,"n.a.")</x:f>
        <x:v>-0.14258408307751888</x:v>
      </x:c>
      <x:c r="G352" s="2" t="n">
        <x:f>IF(ISNUMBER(F352),IF(AND(ABS(F352)+0.00000000001&gt;=$B$6,ABS(E352)+0.000000001&gt;=$D$6),1,0),"n.a.")</x:f>
        <x:v>1</x:v>
      </x:c>
      <x:c r="H352" s="2" t="n">
        <x:f>IF(ISNUMBER(E352),SIGN(E352),"n.a.")</x:f>
        <x:v>-1</x:v>
      </x:c>
      <x:c r="I352" s="2" t="n">
        <x:f>IF(NOT(ISNUMBER(G352)),"n.a.",IF(G352=0,0,IF(AND(B352=B338,A352=EDATE(A338,1),H352=H338,ISNUMBER(I338)),I338+1,1)))</x:f>
        <x:v>2</x:v>
      </x:c>
      <x:c r="J352" s="2" t="n">
        <x:f>IF(ISNUMBER(F352),IF(AND(ABS(F352)+0.00000000001&gt;=$B$7,ABS(E352)+0.000000001&gt;=$D$7),1,0),"n.a.")</x:f>
        <x:v>0</x:v>
      </x:c>
      <x:c r="K352" s="2" t="str">
        <x:f>IF(NOT(ISNUMBER(F352)),"No evaluable",IF(OR(J352=1,I352&gt;=$B$8),"Prioridad",IF(G352=1,"Observar","Sin umbral")))</x:f>
        <x:v>Observar</x:v>
      </x:c>
      <x:c r="L352" s="2" t="str">
        <x:f>IF(K352="No evaluable","Faltan datos",IF(J352=1,"Magnitud",IF(I352&gt;=$B$8,"Persistencia",IF(G352=1,"Cambio del mes","Sin umbral"))))</x:f>
        <x:v>Cambio del mes</x:v>
      </x:c>
      <x:c r="M352" s="2" t="n">
        <x:f>ROW()-40</x:f>
        <x:v>312</x:v>
      </x:c>
    </x:row>
    <x:row r="353" ht="48" customHeight="1">
      <x:c r="A353" s="4" t="n">
        <x:v>45597</x:v>
      </x:c>
      <x:c r="B353" s="32" t="str">
        <x:v>Industria automotriz</x:v>
      </x:c>
      <x:c r="C353" s="10" t="n">
        <x:f>IF(ISNUMBER('Actividades'!F490),'Actividades'!F490,"n.a.")</x:f>
        <x:v>45.94604583333333</x:v>
      </x:c>
      <x:c r="D353" s="10" t="n">
        <x:f>IF(ISNUMBER('Actividades'!G490),'Actividades'!G490,"n.a.")</x:f>
        <x:v>46.246047222222224</x:v>
      </x:c>
      <x:c r="E353" s="10" t="n">
        <x:f>IF(AND(ISNUMBER(C353),ISNUMBER(D353),C353&gt;=0,D353&gt;0),C353-D353,"n.a.")</x:f>
        <x:v>-0.3000013888888944</x:v>
      </x:c>
      <x:c r="F353" s="12" t="n">
        <x:f>IF(ISNUMBER(E353),E353/D353,"n.a.")</x:f>
        <x:v>-0.006487070937053778</x:v>
      </x:c>
      <x:c r="G353" s="2" t="n">
        <x:f>IF(ISNUMBER(F353),IF(AND(ABS(F353)+0.00000000001&gt;=$B$6,ABS(E353)+0.000000001&gt;=$D$6),1,0),"n.a.")</x:f>
        <x:v>0</x:v>
      </x:c>
      <x:c r="H353" s="2" t="n">
        <x:f>IF(ISNUMBER(E353),SIGN(E353),"n.a.")</x:f>
        <x:v>-1</x:v>
      </x:c>
      <x:c r="I353" s="2" t="n">
        <x:f>IF(NOT(ISNUMBER(G353)),"n.a.",IF(G353=0,0,IF(AND(B353=B339,A353=EDATE(A339,1),H353=H339,ISNUMBER(I339)),I339+1,1)))</x:f>
        <x:v>0</x:v>
      </x:c>
      <x:c r="J353" s="2" t="n">
        <x:f>IF(ISNUMBER(F353),IF(AND(ABS(F353)+0.00000000001&gt;=$B$7,ABS(E353)+0.000000001&gt;=$D$7),1,0),"n.a.")</x:f>
        <x:v>0</x:v>
      </x:c>
      <x:c r="K353" s="2" t="str">
        <x:f>IF(NOT(ISNUMBER(F353)),"No evaluable",IF(OR(J353=1,I353&gt;=$B$8),"Prioridad",IF(G353=1,"Observar","Sin umbral")))</x:f>
        <x:v>Sin umbral</x:v>
      </x:c>
      <x:c r="L353" s="2" t="str">
        <x:f>IF(K353="No evaluable","Faltan datos",IF(J353=1,"Magnitud",IF(I353&gt;=$B$8,"Persistencia",IF(G353=1,"Cambio del mes","Sin umbral"))))</x:f>
        <x:v>Sin umbral</x:v>
      </x:c>
      <x:c r="M353" s="2" t="n">
        <x:f>ROW()-40</x:f>
        <x:v>313</x:v>
      </x:c>
    </x:row>
    <x:row r="354" ht="48" customHeight="1">
      <x:c r="A354" s="4" t="n">
        <x:v>45597</x:v>
      </x:c>
      <x:c r="B354" s="32" t="str">
        <x:v>Derivados de petróleo</x:v>
      </x:c>
      <x:c r="C354" s="10" t="n">
        <x:f>IF(ISNUMBER('Actividades'!F491),'Actividades'!F491,"n.a.")</x:f>
        <x:v>165.5309777777778</x:v>
      </x:c>
      <x:c r="D354" s="10" t="n">
        <x:f>IF(ISNUMBER('Actividades'!G491),'Actividades'!G491,"n.a.")</x:f>
        <x:v>166.46679444444445</x:v>
      </x:c>
      <x:c r="E354" s="10" t="n">
        <x:f>IF(AND(ISNUMBER(C354),ISNUMBER(D354),C354&gt;=0,D354&gt;0),C354-D354,"n.a.")</x:f>
        <x:v>-0.9358166666666534</x:v>
      </x:c>
      <x:c r="F354" s="12" t="n">
        <x:f>IF(ISNUMBER(E354),E354/D354,"n.a.")</x:f>
        <x:v>-0.005621641660066728</x:v>
      </x:c>
      <x:c r="G354" s="2" t="n">
        <x:f>IF(ISNUMBER(F354),IF(AND(ABS(F354)+0.00000000001&gt;=$B$6,ABS(E354)+0.000000001&gt;=$D$6),1,0),"n.a.")</x:f>
        <x:v>0</x:v>
      </x:c>
      <x:c r="H354" s="2" t="n">
        <x:f>IF(ISNUMBER(E354),SIGN(E354),"n.a.")</x:f>
        <x:v>-1</x:v>
      </x:c>
      <x:c r="I354" s="2" t="n">
        <x:f>IF(NOT(ISNUMBER(G354)),"n.a.",IF(G354=0,0,IF(AND(B354=B340,A354=EDATE(A340,1),H354=H340,ISNUMBER(I340)),I340+1,1)))</x:f>
        <x:v>0</x:v>
      </x:c>
      <x:c r="J354" s="2" t="n">
        <x:f>IF(ISNUMBER(F354),IF(AND(ABS(F354)+0.00000000001&gt;=$B$7,ABS(E354)+0.000000001&gt;=$D$7),1,0),"n.a.")</x:f>
        <x:v>0</x:v>
      </x:c>
      <x:c r="K354" s="2" t="str">
        <x:f>IF(NOT(ISNUMBER(F354)),"No evaluable",IF(OR(J354=1,I354&gt;=$B$8),"Prioridad",IF(G354=1,"Observar","Sin umbral")))</x:f>
        <x:v>Sin umbral</x:v>
      </x:c>
      <x:c r="L354" s="2" t="str">
        <x:f>IF(K354="No evaluable","Faltan datos",IF(J354=1,"Magnitud",IF(I354&gt;=$B$8,"Persistencia",IF(G354=1,"Cambio del mes","Sin umbral"))))</x:f>
        <x:v>Sin umbral</x:v>
      </x:c>
      <x:c r="M354" s="2" t="n">
        <x:f>ROW()-40</x:f>
        <x:v>314</x:v>
      </x:c>
    </x:row>
    <x:row r="355" ht="48" customHeight="1">
      <x:c r="A355" s="4" t="n">
        <x:v>45597</x:v>
      </x:c>
      <x:c r="B355" s="32" t="str">
        <x:v>Construcción: elaboración de cemento y canteras</x:v>
      </x:c>
      <x:c r="C355" s="10" t="n">
        <x:f>IF(ISNUMBER('Actividades'!F492),'Actividades'!F492,"n.a.")</x:f>
        <x:v>163.7979222222222</x:v>
      </x:c>
      <x:c r="D355" s="10" t="n">
        <x:f>IF(ISNUMBER('Actividades'!G492),'Actividades'!G492,"n.a.")</x:f>
        <x:v>181.767525</x:v>
      </x:c>
      <x:c r="E355" s="10" t="n">
        <x:f>IF(AND(ISNUMBER(C355),ISNUMBER(D355),C355&gt;=0,D355&gt;0),C355-D355,"n.a.")</x:f>
        <x:v>-17.969602777777794</x:v>
      </x:c>
      <x:c r="F355" s="12" t="n">
        <x:f>IF(ISNUMBER(E355),E355/D355,"n.a.")</x:f>
        <x:v>-0.09886035900955241</x:v>
      </x:c>
      <x:c r="G355" s="2" t="n">
        <x:f>IF(ISNUMBER(F355),IF(AND(ABS(F355)+0.00000000001&gt;=$B$6,ABS(E355)+0.000000001&gt;=$D$6),1,0),"n.a.")</x:f>
        <x:v>0</x:v>
      </x:c>
      <x:c r="H355" s="2" t="n">
        <x:f>IF(ISNUMBER(E355),SIGN(E355),"n.a.")</x:f>
        <x:v>-1</x:v>
      </x:c>
      <x:c r="I355" s="2" t="n">
        <x:f>IF(NOT(ISNUMBER(G355)),"n.a.",IF(G355=0,0,IF(AND(B355=B341,A355=EDATE(A341,1),H355=H341,ISNUMBER(I341)),I341+1,1)))</x:f>
        <x:v>0</x:v>
      </x:c>
      <x:c r="J355" s="2" t="n">
        <x:f>IF(ISNUMBER(F355),IF(AND(ABS(F355)+0.00000000001&gt;=$B$7,ABS(E355)+0.000000001&gt;=$D$7),1,0),"n.a.")</x:f>
        <x:v>0</x:v>
      </x:c>
      <x:c r="K355" s="2" t="str">
        <x:f>IF(NOT(ISNUMBER(F355)),"No evaluable",IF(OR(J355=1,I355&gt;=$B$8),"Prioridad",IF(G355=1,"Observar","Sin umbral")))</x:f>
        <x:v>Sin umbral</x:v>
      </x:c>
      <x:c r="L355" s="2" t="str">
        <x:f>IF(K355="No evaluable","Faltan datos",IF(J355=1,"Magnitud",IF(I355&gt;=$B$8,"Persistencia",IF(G355=1,"Cambio del mes","Sin umbral"))))</x:f>
        <x:v>Sin umbral</x:v>
      </x:c>
      <x:c r="M355" s="2" t="n">
        <x:f>ROW()-40</x:f>
        <x:v>315</x:v>
      </x:c>
    </x:row>
    <x:row r="356" ht="48" customHeight="1">
      <x:c r="A356" s="4" t="n">
        <x:v>45597</x:v>
      </x:c>
      <x:c r="B356" s="32" t="str">
        <x:v>Madera y papel</x:v>
      </x:c>
      <x:c r="C356" s="10" t="n">
        <x:f>IF(ISNUMBER('Actividades'!F493),'Actividades'!F493,"n.a.")</x:f>
        <x:v>108.59955416666666</x:v>
      </x:c>
      <x:c r="D356" s="10" t="n">
        <x:f>IF(ISNUMBER('Actividades'!G493),'Actividades'!G493,"n.a.")</x:f>
        <x:v>111.24213333333334</x:v>
      </x:c>
      <x:c r="E356" s="10" t="n">
        <x:f>IF(AND(ISNUMBER(C356),ISNUMBER(D356),C356&gt;=0,D356&gt;0),C356-D356,"n.a.")</x:f>
        <x:v>-2.6425791666666782</x:v>
      </x:c>
      <x:c r="F356" s="12" t="n">
        <x:f>IF(ISNUMBER(E356),E356/D356,"n.a.")</x:f>
        <x:v>-0.02375520036772648</x:v>
      </x:c>
      <x:c r="G356" s="2" t="n">
        <x:f>IF(ISNUMBER(F356),IF(AND(ABS(F356)+0.00000000001&gt;=$B$6,ABS(E356)+0.000000001&gt;=$D$6),1,0),"n.a.")</x:f>
        <x:v>0</x:v>
      </x:c>
      <x:c r="H356" s="2" t="n">
        <x:f>IF(ISNUMBER(E356),SIGN(E356),"n.a.")</x:f>
        <x:v>-1</x:v>
      </x:c>
      <x:c r="I356" s="2" t="n">
        <x:f>IF(NOT(ISNUMBER(G356)),"n.a.",IF(G356=0,0,IF(AND(B356=B342,A356=EDATE(A342,1),H356=H342,ISNUMBER(I342)),I342+1,1)))</x:f>
        <x:v>0</x:v>
      </x:c>
      <x:c r="J356" s="2" t="n">
        <x:f>IF(ISNUMBER(F356),IF(AND(ABS(F356)+0.00000000001&gt;=$B$7,ABS(E356)+0.000000001&gt;=$D$7),1,0),"n.a.")</x:f>
        <x:v>0</x:v>
      </x:c>
      <x:c r="K356" s="2" t="str">
        <x:f>IF(NOT(ISNUMBER(F356)),"No evaluable",IF(OR(J356=1,I356&gt;=$B$8),"Prioridad",IF(G356=1,"Observar","Sin umbral")))</x:f>
        <x:v>Sin umbral</x:v>
      </x:c>
      <x:c r="L356" s="2" t="str">
        <x:f>IF(K356="No evaluable","Faltan datos",IF(J356=1,"Magnitud",IF(I356&gt;=$B$8,"Persistencia",IF(G356=1,"Cambio del mes","Sin umbral"))))</x:f>
        <x:v>Sin umbral</x:v>
      </x:c>
      <x:c r="M356" s="2" t="n">
        <x:f>ROW()-40</x:f>
        <x:v>316</x:v>
      </x:c>
    </x:row>
    <x:row r="357" ht="48" customHeight="1">
      <x:c r="A357" s="4" t="n">
        <x:v>45597</x:v>
      </x:c>
      <x:c r="B357" s="32" t="str">
        <x:v>Productos metálicos no automotores</x:v>
      </x:c>
      <x:c r="C357" s="10" t="n">
        <x:f>IF(ISNUMBER('Actividades'!F494),'Actividades'!F494,"n.a.")</x:f>
        <x:v>44.630475000000004</x:v>
      </x:c>
      <x:c r="D357" s="10" t="n">
        <x:f>IF(ISNUMBER('Actividades'!G494),'Actividades'!G494,"n.a.")</x:f>
        <x:v>49.571956944444445</x:v>
      </x:c>
      <x:c r="E357" s="10" t="n">
        <x:f>IF(AND(ISNUMBER(C357),ISNUMBER(D357),C357&gt;=0,D357&gt;0),C357-D357,"n.a.")</x:f>
        <x:v>-4.94148194444444</x:v>
      </x:c>
      <x:c r="F357" s="12" t="n">
        <x:f>IF(ISNUMBER(E357),E357/D357,"n.a.")</x:f>
        <x:v>-0.09968301130379795</x:v>
      </x:c>
      <x:c r="G357" s="2" t="n">
        <x:f>IF(ISNUMBER(F357),IF(AND(ABS(F357)+0.00000000001&gt;=$B$6,ABS(E357)+0.000000001&gt;=$D$6),1,0),"n.a.")</x:f>
        <x:v>0</x:v>
      </x:c>
      <x:c r="H357" s="2" t="n">
        <x:f>IF(ISNUMBER(E357),SIGN(E357),"n.a.")</x:f>
        <x:v>-1</x:v>
      </x:c>
      <x:c r="I357" s="2" t="n">
        <x:f>IF(NOT(ISNUMBER(G357)),"n.a.",IF(G357=0,0,IF(AND(B357=B343,A357=EDATE(A343,1),H357=H343,ISNUMBER(I343)),I343+1,1)))</x:f>
        <x:v>0</x:v>
      </x:c>
      <x:c r="J357" s="2" t="n">
        <x:f>IF(ISNUMBER(F357),IF(AND(ABS(F357)+0.00000000001&gt;=$B$7,ABS(E357)+0.000000001&gt;=$D$7),1,0),"n.a.")</x:f>
        <x:v>0</x:v>
      </x:c>
      <x:c r="K357" s="2" t="str">
        <x:f>IF(NOT(ISNUMBER(F357)),"No evaluable",IF(OR(J357=1,I357&gt;=$B$8),"Prioridad",IF(G357=1,"Observar","Sin umbral")))</x:f>
        <x:v>Sin umbral</x:v>
      </x:c>
      <x:c r="L357" s="2" t="str">
        <x:f>IF(K357="No evaluable","Faltan datos",IF(J357=1,"Magnitud",IF(I357&gt;=$B$8,"Persistencia",IF(G357=1,"Cambio del mes","Sin umbral"))))</x:f>
        <x:v>Sin umbral</x:v>
      </x:c>
      <x:c r="M357" s="2" t="n">
        <x:f>ROW()-40</x:f>
        <x:v>317</x:v>
      </x:c>
    </x:row>
    <x:row r="358" ht="48" customHeight="1">
      <x:c r="A358" s="4" t="n">
        <x:v>45597</x:v>
      </x:c>
      <x:c r="B358" s="32" t="str">
        <x:v>Gran siderurgia</x:v>
      </x:c>
      <x:c r="C358" s="10" t="n">
        <x:f>IF(ISNUMBER('Actividades'!F495),'Actividades'!F495,"n.a.")</x:f>
        <x:v>292.23266944444447</x:v>
      </x:c>
      <x:c r="D358" s="10" t="n">
        <x:f>IF(ISNUMBER('Actividades'!G495),'Actividades'!G495,"n.a.")</x:f>
        <x:v>351.0860930555555</x:v>
      </x:c>
      <x:c r="E358" s="10" t="n">
        <x:f>IF(AND(ISNUMBER(C358),ISNUMBER(D358),C358&gt;=0,D358&gt;0),C358-D358,"n.a.")</x:f>
        <x:v>-58.853423611111054</x:v>
      </x:c>
      <x:c r="F358" s="12" t="n">
        <x:f>IF(ISNUMBER(E358),E358/D358,"n.a.")</x:f>
        <x:v>-0.16763245476031471</x:v>
      </x:c>
      <x:c r="G358" s="2" t="n">
        <x:f>IF(ISNUMBER(F358),IF(AND(ABS(F358)+0.00000000001&gt;=$B$6,ABS(E358)+0.000000001&gt;=$D$6),1,0),"n.a.")</x:f>
        <x:v>1</x:v>
      </x:c>
      <x:c r="H358" s="2" t="n">
        <x:f>IF(ISNUMBER(E358),SIGN(E358),"n.a.")</x:f>
        <x:v>-1</x:v>
      </x:c>
      <x:c r="I358" s="2" t="n">
        <x:f>IF(NOT(ISNUMBER(G358)),"n.a.",IF(G358=0,0,IF(AND(B358=B344,A358=EDATE(A344,1),H358=H344,ISNUMBER(I344)),I344+1,1)))</x:f>
        <x:v>4</x:v>
      </x:c>
      <x:c r="J358" s="2" t="n">
        <x:f>IF(ISNUMBER(F358),IF(AND(ABS(F358)+0.00000000001&gt;=$B$7,ABS(E358)+0.000000001&gt;=$D$7),1,0),"n.a.")</x:f>
        <x:v>0</x:v>
      </x:c>
      <x:c r="K358" s="2" t="str">
        <x:f>IF(NOT(ISNUMBER(F358)),"No evaluable",IF(OR(J358=1,I358&gt;=$B$8),"Prioridad",IF(G358=1,"Observar","Sin umbral")))</x:f>
        <x:v>Prioridad</x:v>
      </x:c>
      <x:c r="L358" s="2" t="str">
        <x:f>IF(K358="No evaluable","Faltan datos",IF(J358=1,"Magnitud",IF(I358&gt;=$B$8,"Persistencia",IF(G358=1,"Cambio del mes","Sin umbral"))))</x:f>
        <x:v>Persistencia</x:v>
      </x:c>
      <x:c r="M358" s="2" t="n">
        <x:f>ROW()-40</x:f>
        <x:v>318</x:v>
      </x:c>
    </x:row>
    <x:row r="359" ht="48" customHeight="1">
      <x:c r="A359" s="4" t="n">
        <x:v>45597</x:v>
      </x:c>
      <x:c r="B359" s="32" t="str">
        <x:v>Industria textil</x:v>
      </x:c>
      <x:c r="C359" s="10" t="n">
        <x:f>IF(ISNUMBER('Actividades'!F496),'Actividades'!F496,"n.a.")</x:f>
        <x:v>60.52300138888889</x:v>
      </x:c>
      <x:c r="D359" s="10" t="n">
        <x:f>IF(ISNUMBER('Actividades'!G496),'Actividades'!G496,"n.a.")</x:f>
        <x:v>66.27253750000001</x:v>
      </x:c>
      <x:c r="E359" s="10" t="n">
        <x:f>IF(AND(ISNUMBER(C359),ISNUMBER(D359),C359&gt;=0,D359&gt;0),C359-D359,"n.a.")</x:f>
        <x:v>-5.749536111111119</x:v>
      </x:c>
      <x:c r="F359" s="12" t="n">
        <x:f>IF(ISNUMBER(E359),E359/D359,"n.a.")</x:f>
        <x:v>-0.08675593734601031</x:v>
      </x:c>
      <x:c r="G359" s="2" t="n">
        <x:f>IF(ISNUMBER(F359),IF(AND(ABS(F359)+0.00000000001&gt;=$B$6,ABS(E359)+0.000000001&gt;=$D$6),1,0),"n.a.")</x:f>
        <x:v>0</x:v>
      </x:c>
      <x:c r="H359" s="2" t="n">
        <x:f>IF(ISNUMBER(E359),SIGN(E359),"n.a.")</x:f>
        <x:v>-1</x:v>
      </x:c>
      <x:c r="I359" s="2" t="n">
        <x:f>IF(NOT(ISNUMBER(G359)),"n.a.",IF(G359=0,0,IF(AND(B359=B345,A359=EDATE(A345,1),H359=H345,ISNUMBER(I345)),I345+1,1)))</x:f>
        <x:v>0</x:v>
      </x:c>
      <x:c r="J359" s="2" t="n">
        <x:f>IF(ISNUMBER(F359),IF(AND(ABS(F359)+0.00000000001&gt;=$B$7,ABS(E359)+0.000000001&gt;=$D$7),1,0),"n.a.")</x:f>
        <x:v>0</x:v>
      </x:c>
      <x:c r="K359" s="2" t="str">
        <x:f>IF(NOT(ISNUMBER(F359)),"No evaluable",IF(OR(J359=1,I359&gt;=$B$8),"Prioridad",IF(G359=1,"Observar","Sin umbral")))</x:f>
        <x:v>Sin umbral</x:v>
      </x:c>
      <x:c r="L359" s="2" t="str">
        <x:f>IF(K359="No evaluable","Faltan datos",IF(J359=1,"Magnitud",IF(I359&gt;=$B$8,"Persistencia",IF(G359=1,"Cambio del mes","Sin umbral"))))</x:f>
        <x:v>Sin umbral</x:v>
      </x:c>
      <x:c r="M359" s="2" t="n">
        <x:f>ROW()-40</x:f>
        <x:v>319</x:v>
      </x:c>
    </x:row>
    <x:row r="360" ht="48" customHeight="1">
      <x:c r="A360" s="4" t="n">
        <x:v>45597</x:v>
      </x:c>
      <x:c r="B360" s="32" t="str">
        <x:v>Químicas, caucho, plástico y otros minerales no metálicos</x:v>
      </x:c>
      <x:c r="C360" s="10" t="n">
        <x:f>IF(ISNUMBER('Actividades'!F497),'Actividades'!F497,"n.a.")</x:f>
        <x:v>317.8063902777778</x:v>
      </x:c>
      <x:c r="D360" s="10" t="n">
        <x:f>IF(ISNUMBER('Actividades'!G497),'Actividades'!G497,"n.a.")</x:f>
        <x:v>332.10415555555556</x:v>
      </x:c>
      <x:c r="E360" s="10" t="n">
        <x:f>IF(AND(ISNUMBER(C360),ISNUMBER(D360),C360&gt;=0,D360&gt;0),C360-D360,"n.a.")</x:f>
        <x:v>-14.297765277777785</x:v>
      </x:c>
      <x:c r="F360" s="12" t="n">
        <x:f>IF(ISNUMBER(E360),E360/D360,"n.a.")</x:f>
        <x:v>-0.04305205170907897</x:v>
      </x:c>
      <x:c r="G360" s="2" t="n">
        <x:f>IF(ISNUMBER(F360),IF(AND(ABS(F360)+0.00000000001&gt;=$B$6,ABS(E360)+0.000000001&gt;=$D$6),1,0),"n.a.")</x:f>
        <x:v>0</x:v>
      </x:c>
      <x:c r="H360" s="2" t="n">
        <x:f>IF(ISNUMBER(E360),SIGN(E360),"n.a.")</x:f>
        <x:v>-1</x:v>
      </x:c>
      <x:c r="I360" s="2" t="n">
        <x:f>IF(NOT(ISNUMBER(G360)),"n.a.",IF(G360=0,0,IF(AND(B360=B346,A360=EDATE(A346,1),H360=H346,ISNUMBER(I346)),I346+1,1)))</x:f>
        <x:v>0</x:v>
      </x:c>
      <x:c r="J360" s="2" t="n">
        <x:f>IF(ISNUMBER(F360),IF(AND(ABS(F360)+0.00000000001&gt;=$B$7,ABS(E360)+0.000000001&gt;=$D$7),1,0),"n.a.")</x:f>
        <x:v>0</x:v>
      </x:c>
      <x:c r="K360" s="2" t="str">
        <x:f>IF(NOT(ISNUMBER(F360)),"No evaluable",IF(OR(J360=1,I360&gt;=$B$8),"Prioridad",IF(G360=1,"Observar","Sin umbral")))</x:f>
        <x:v>Sin umbral</x:v>
      </x:c>
      <x:c r="L360" s="2" t="str">
        <x:f>IF(K360="No evaluable","Faltan datos",IF(J360=1,"Magnitud",IF(I360&gt;=$B$8,"Persistencia",IF(G360=1,"Cambio del mes","Sin umbral"))))</x:f>
        <x:v>Sin umbral</x:v>
      </x:c>
      <x:c r="M360" s="2" t="n">
        <x:f>ROW()-40</x:f>
        <x:v>320</x:v>
      </x:c>
    </x:row>
    <x:row r="361" ht="48" customHeight="1">
      <x:c r="A361" s="4" t="n">
        <x:v>45597</x:v>
      </x:c>
      <x:c r="B361" s="32" t="str">
        <x:v>Extracción de minerales</x:v>
      </x:c>
      <x:c r="C361" s="10" t="n">
        <x:f>IF(ISNUMBER('Actividades'!F498),'Actividades'!F498,"n.a.")</x:f>
        <x:v>24.36278472222222</x:v>
      </x:c>
      <x:c r="D361" s="10" t="n">
        <x:f>IF(ISNUMBER('Actividades'!G498),'Actividades'!G498,"n.a.")</x:f>
        <x:v>22.9203875</x:v>
      </x:c>
      <x:c r="E361" s="10" t="n">
        <x:f>IF(AND(ISNUMBER(C361),ISNUMBER(D361),C361&gt;=0,D361&gt;0),C361-D361,"n.a.")</x:f>
        <x:v>1.442397222222219</x:v>
      </x:c>
      <x:c r="F361" s="12" t="n">
        <x:f>IF(ISNUMBER(E361),E361/D361,"n.a.")</x:f>
        <x:v>0.06293075203123066</x:v>
      </x:c>
      <x:c r="G361" s="2" t="n">
        <x:f>IF(ISNUMBER(F361),IF(AND(ABS(F361)+0.00000000001&gt;=$B$6,ABS(E361)+0.000000001&gt;=$D$6),1,0),"n.a.")</x:f>
        <x:v>0</x:v>
      </x:c>
      <x:c r="H361" s="2" t="n">
        <x:f>IF(ISNUMBER(E361),SIGN(E361),"n.a.")</x:f>
        <x:v>1</x:v>
      </x:c>
      <x:c r="I361" s="2" t="n">
        <x:f>IF(NOT(ISNUMBER(G361)),"n.a.",IF(G361=0,0,IF(AND(B361=B347,A361=EDATE(A347,1),H361=H347,ISNUMBER(I347)),I347+1,1)))</x:f>
        <x:v>0</x:v>
      </x:c>
      <x:c r="J361" s="2" t="n">
        <x:f>IF(ISNUMBER(F361),IF(AND(ABS(F361)+0.00000000001&gt;=$B$7,ABS(E361)+0.000000001&gt;=$D$7),1,0),"n.a.")</x:f>
        <x:v>0</x:v>
      </x:c>
      <x:c r="K361" s="2" t="str">
        <x:f>IF(NOT(ISNUMBER(F361)),"No evaluable",IF(OR(J361=1,I361&gt;=$B$8),"Prioridad",IF(G361=1,"Observar","Sin umbral")))</x:f>
        <x:v>Sin umbral</x:v>
      </x:c>
      <x:c r="L361" s="2" t="str">
        <x:f>IF(K361="No evaluable","Faltan datos",IF(J361=1,"Magnitud",IF(I361&gt;=$B$8,"Persistencia",IF(G361=1,"Cambio del mes","Sin umbral"))))</x:f>
        <x:v>Sin umbral</x:v>
      </x:c>
      <x:c r="M361" s="2" t="n">
        <x:f>ROW()-40</x:f>
        <x:v>321</x:v>
      </x:c>
    </x:row>
    <x:row r="362" ht="48" customHeight="1">
      <x:c r="A362" s="4" t="n">
        <x:v>45597</x:v>
      </x:c>
      <x:c r="B362" s="32" t="str">
        <x:v>Extracción de petróleo</x:v>
      </x:c>
      <x:c r="C362" s="10" t="n">
        <x:f>IF(ISNUMBER('Actividades'!F499),'Actividades'!F499,"n.a.")</x:f>
        <x:v>146.2797388888889</x:v>
      </x:c>
      <x:c r="D362" s="10" t="n">
        <x:f>IF(ISNUMBER('Actividades'!G499),'Actividades'!G499,"n.a.")</x:f>
        <x:v>143.01479027777776</x:v>
      </x:c>
      <x:c r="E362" s="10" t="n">
        <x:f>IF(AND(ISNUMBER(C362),ISNUMBER(D362),C362&gt;=0,D362&gt;0),C362-D362,"n.a.")</x:f>
        <x:v>3.264948611111123</x:v>
      </x:c>
      <x:c r="F362" s="12" t="n">
        <x:f>IF(ISNUMBER(E362),E362/D362,"n.a.")</x:f>
        <x:v>0.022829447253459662</x:v>
      </x:c>
      <x:c r="G362" s="2" t="n">
        <x:f>IF(ISNUMBER(F362),IF(AND(ABS(F362)+0.00000000001&gt;=$B$6,ABS(E362)+0.000000001&gt;=$D$6),1,0),"n.a.")</x:f>
        <x:v>0</x:v>
      </x:c>
      <x:c r="H362" s="2" t="n">
        <x:f>IF(ISNUMBER(E362),SIGN(E362),"n.a.")</x:f>
        <x:v>1</x:v>
      </x:c>
      <x:c r="I362" s="2" t="n">
        <x:f>IF(NOT(ISNUMBER(G362)),"n.a.",IF(G362=0,0,IF(AND(B362=B348,A362=EDATE(A348,1),H362=H348,ISNUMBER(I348)),I348+1,1)))</x:f>
        <x:v>0</x:v>
      </x:c>
      <x:c r="J362" s="2" t="n">
        <x:f>IF(ISNUMBER(F362),IF(AND(ABS(F362)+0.00000000001&gt;=$B$7,ABS(E362)+0.000000001&gt;=$D$7),1,0),"n.a.")</x:f>
        <x:v>0</x:v>
      </x:c>
      <x:c r="K362" s="2" t="str">
        <x:f>IF(NOT(ISNUMBER(F362)),"No evaluable",IF(OR(J362=1,I362&gt;=$B$8),"Prioridad",IF(G362=1,"Observar","Sin umbral")))</x:f>
        <x:v>Sin umbral</x:v>
      </x:c>
      <x:c r="L362" s="2" t="str">
        <x:f>IF(K362="No evaluable","Faltan datos",IF(J362=1,"Magnitud",IF(I362&gt;=$B$8,"Persistencia",IF(G362=1,"Cambio del mes","Sin umbral"))))</x:f>
        <x:v>Sin umbral</x:v>
      </x:c>
      <x:c r="M362" s="2" t="n">
        <x:f>ROW()-40</x:f>
        <x:v>322</x:v>
      </x:c>
    </x:row>
    <x:row r="363" ht="48" customHeight="1">
      <x:c r="A363" s="4" t="n">
        <x:v>45627</x:v>
      </x:c>
      <x:c r="B363" s="32" t="str">
        <x:v>Cargas y puertos</x:v>
      </x:c>
      <x:c r="C363" s="10" t="n">
        <x:f>IF(ISNUMBER('Actividades'!F500),'Actividades'!F500,"n.a.")</x:f>
        <x:v>10.494112903225806</x:v>
      </x:c>
      <x:c r="D363" s="10" t="n">
        <x:f>IF(ISNUMBER('Actividades'!G500),'Actividades'!G500,"n.a.")</x:f>
        <x:v>10.850903225806452</x:v>
      </x:c>
      <x:c r="E363" s="10" t="n">
        <x:f>IF(AND(ISNUMBER(C363),ISNUMBER(D363),C363&gt;=0,D363&gt;0),C363-D363,"n.a.")</x:f>
        <x:v>-0.356790322580645</x:v>
      </x:c>
      <x:c r="F363" s="12" t="n">
        <x:f>IF(ISNUMBER(E363),E363/D363,"n.a.")</x:f>
        <x:v>-0.032881163453020106</x:v>
      </x:c>
      <x:c r="G363" s="2" t="n">
        <x:f>IF(ISNUMBER(F363),IF(AND(ABS(F363)+0.00000000001&gt;=$B$6,ABS(E363)+0.000000001&gt;=$D$6),1,0),"n.a.")</x:f>
        <x:v>0</x:v>
      </x:c>
      <x:c r="H363" s="2" t="n">
        <x:f>IF(ISNUMBER(E363),SIGN(E363),"n.a.")</x:f>
        <x:v>-1</x:v>
      </x:c>
      <x:c r="I363" s="2" t="n">
        <x:f>IF(NOT(ISNUMBER(G363)),"n.a.",IF(G363=0,0,IF(AND(B363=B349,A363=EDATE(A349,1),H363=H349,ISNUMBER(I349)),I349+1,1)))</x:f>
        <x:v>0</x:v>
      </x:c>
      <x:c r="J363" s="2" t="n">
        <x:f>IF(ISNUMBER(F363),IF(AND(ABS(F363)+0.00000000001&gt;=$B$7,ABS(E363)+0.000000001&gt;=$D$7),1,0),"n.a.")</x:f>
        <x:v>0</x:v>
      </x:c>
      <x:c r="K363" s="2" t="str">
        <x:f>IF(NOT(ISNUMBER(F363)),"No evaluable",IF(OR(J363=1,I363&gt;=$B$8),"Prioridad",IF(G363=1,"Observar","Sin umbral")))</x:f>
        <x:v>Sin umbral</x:v>
      </x:c>
      <x:c r="L363" s="2" t="str">
        <x:f>IF(K363="No evaluable","Faltan datos",IF(J363=1,"Magnitud",IF(I363&gt;=$B$8,"Persistencia",IF(G363=1,"Cambio del mes","Sin umbral"))))</x:f>
        <x:v>Sin umbral</x:v>
      </x:c>
      <x:c r="M363" s="2" t="n">
        <x:f>ROW()-40</x:f>
        <x:v>323</x:v>
      </x:c>
    </x:row>
    <x:row r="364" ht="48" customHeight="1">
      <x:c r="A364" s="4" t="n">
        <x:v>45627</x:v>
      </x:c>
      <x:c r="B364" s="32" t="str">
        <x:v>Comercio y servicios: principalmente supermercados y centros comerciales</x:v>
      </x:c>
      <x:c r="C364" s="10" t="n">
        <x:f>IF(ISNUMBER('Actividades'!F501),'Actividades'!F501,"n.a.")</x:f>
        <x:v>49.697990591397854</x:v>
      </x:c>
      <x:c r="D364" s="10" t="n">
        <x:f>IF(ISNUMBER('Actividades'!G501),'Actividades'!G501,"n.a.")</x:f>
        <x:v>39.50687903225806</x:v>
      </x:c>
      <x:c r="E364" s="10" t="n">
        <x:f>IF(AND(ISNUMBER(C364),ISNUMBER(D364),C364&gt;=0,D364&gt;0),C364-D364,"n.a.")</x:f>
        <x:v>10.191111559139792</x:v>
      </x:c>
      <x:c r="F364" s="12" t="n">
        <x:f>IF(ISNUMBER(E364),E364/D364,"n.a.")</x:f>
        <x:v>0.25795790021324055</x:v>
      </x:c>
      <x:c r="G364" s="2" t="n">
        <x:f>IF(ISNUMBER(F364),IF(AND(ABS(F364)+0.00000000001&gt;=$B$6,ABS(E364)+0.000000001&gt;=$D$6),1,0),"n.a.")</x:f>
        <x:v>1</x:v>
      </x:c>
      <x:c r="H364" s="2" t="n">
        <x:f>IF(ISNUMBER(E364),SIGN(E364),"n.a.")</x:f>
        <x:v>1</x:v>
      </x:c>
      <x:c r="I364" s="2" t="n">
        <x:f>IF(NOT(ISNUMBER(G364)),"n.a.",IF(G364=0,0,IF(AND(B364=B350,A364=EDATE(A350,1),H364=H350,ISNUMBER(I350)),I350+1,1)))</x:f>
        <x:v>3</x:v>
      </x:c>
      <x:c r="J364" s="2" t="n">
        <x:f>IF(ISNUMBER(F364),IF(AND(ABS(F364)+0.00000000001&gt;=$B$7,ABS(E364)+0.000000001&gt;=$D$7),1,0),"n.a.")</x:f>
        <x:v>1</x:v>
      </x:c>
      <x:c r="K364" s="2" t="str">
        <x:f>IF(NOT(ISNUMBER(F364)),"No evaluable",IF(OR(J364=1,I364&gt;=$B$8),"Prioridad",IF(G364=1,"Observar","Sin umbral")))</x:f>
        <x:v>Prioridad</x:v>
      </x:c>
      <x:c r="L364" s="2" t="str">
        <x:f>IF(K364="No evaluable","Faltan datos",IF(J364=1,"Magnitud",IF(I364&gt;=$B$8,"Persistencia",IF(G364=1,"Cambio del mes","Sin umbral"))))</x:f>
        <x:v>Magnitud</x:v>
      </x:c>
      <x:c r="M364" s="2" t="n">
        <x:f>ROW()-40</x:f>
        <x:v>324</x:v>
      </x:c>
    </x:row>
    <x:row r="365" ht="48" customHeight="1">
      <x:c r="A365" s="4" t="n">
        <x:v>45627</x:v>
      </x:c>
      <x:c r="B365" s="32" t="str">
        <x:v>Alimentación y artículos de consumo masivo</x:v>
      </x:c>
      <x:c r="C365" s="10" t="n">
        <x:f>IF(ISNUMBER('Actividades'!F502),'Actividades'!F502,"n.a.")</x:f>
        <x:v>265.6165067204301</x:v>
      </x:c>
      <x:c r="D365" s="10" t="n">
        <x:f>IF(ISNUMBER('Actividades'!G502),'Actividades'!G502,"n.a.")</x:f>
        <x:v>253.93697983870965</x:v>
      </x:c>
      <x:c r="E365" s="10" t="n">
        <x:f>IF(AND(ISNUMBER(C365),ISNUMBER(D365),C365&gt;=0,D365&gt;0),C365-D365,"n.a.")</x:f>
        <x:v>11.679526881720449</x:v>
      </x:c>
      <x:c r="F365" s="12" t="n">
        <x:f>IF(ISNUMBER(E365),E365/D365,"n.a.")</x:f>
        <x:v>0.04599380086011421</x:v>
      </x:c>
      <x:c r="G365" s="2" t="n">
        <x:f>IF(ISNUMBER(F365),IF(AND(ABS(F365)+0.00000000001&gt;=$B$6,ABS(E365)+0.000000001&gt;=$D$6),1,0),"n.a.")</x:f>
        <x:v>0</x:v>
      </x:c>
      <x:c r="H365" s="2" t="n">
        <x:f>IF(ISNUMBER(E365),SIGN(E365),"n.a.")</x:f>
        <x:v>1</x:v>
      </x:c>
      <x:c r="I365" s="2" t="n">
        <x:f>IF(NOT(ISNUMBER(G365)),"n.a.",IF(G365=0,0,IF(AND(B365=B351,A365=EDATE(A351,1),H365=H351,ISNUMBER(I351)),I351+1,1)))</x:f>
        <x:v>0</x:v>
      </x:c>
      <x:c r="J365" s="2" t="n">
        <x:f>IF(ISNUMBER(F365),IF(AND(ABS(F365)+0.00000000001&gt;=$B$7,ABS(E365)+0.000000001&gt;=$D$7),1,0),"n.a.")</x:f>
        <x:v>0</x:v>
      </x:c>
      <x:c r="K365" s="2" t="str">
        <x:f>IF(NOT(ISNUMBER(F365)),"No evaluable",IF(OR(J365=1,I365&gt;=$B$8),"Prioridad",IF(G365=1,"Observar","Sin umbral")))</x:f>
        <x:v>Sin umbral</x:v>
      </x:c>
      <x:c r="L365" s="2" t="str">
        <x:f>IF(K365="No evaluable","Faltan datos",IF(J365=1,"Magnitud",IF(I365&gt;=$B$8,"Persistencia",IF(G365=1,"Cambio del mes","Sin umbral"))))</x:f>
        <x:v>Sin umbral</x:v>
      </x:c>
      <x:c r="M365" s="2" t="n">
        <x:f>ROW()-40</x:f>
        <x:v>325</x:v>
      </x:c>
    </x:row>
    <x:row r="366" ht="48" customHeight="1">
      <x:c r="A366" s="4" t="n">
        <x:v>45627</x:v>
      </x:c>
      <x:c r="B366" s="32" t="str">
        <x:v>Servicios públicos y transporte: agua y transporte en GBA</x:v>
      </x:c>
      <x:c r="C366" s="10" t="n">
        <x:f>IF(ISNUMBER('Actividades'!F503),'Actividades'!F503,"n.a.")</x:f>
        <x:v>74.30209139784945</x:v>
      </x:c>
      <x:c r="D366" s="10" t="n">
        <x:f>IF(ISNUMBER('Actividades'!G503),'Actividades'!G503,"n.a.")</x:f>
        <x:v>87.48374059139785</x:v>
      </x:c>
      <x:c r="E366" s="10" t="n">
        <x:f>IF(AND(ISNUMBER(C366),ISNUMBER(D366),C366&gt;=0,D366&gt;0),C366-D366,"n.a.")</x:f>
        <x:v>-13.181649193548395</x:v>
      </x:c>
      <x:c r="F366" s="12" t="n">
        <x:f>IF(ISNUMBER(E366),E366/D366,"n.a.")</x:f>
        <x:v>-0.15067541813415017</x:v>
      </x:c>
      <x:c r="G366" s="2" t="n">
        <x:f>IF(ISNUMBER(F366),IF(AND(ABS(F366)+0.00000000001&gt;=$B$6,ABS(E366)+0.000000001&gt;=$D$6),1,0),"n.a.")</x:f>
        <x:v>1</x:v>
      </x:c>
      <x:c r="H366" s="2" t="n">
        <x:f>IF(ISNUMBER(E366),SIGN(E366),"n.a.")</x:f>
        <x:v>-1</x:v>
      </x:c>
      <x:c r="I366" s="2" t="n">
        <x:f>IF(NOT(ISNUMBER(G366)),"n.a.",IF(G366=0,0,IF(AND(B366=B352,A366=EDATE(A352,1),H366=H352,ISNUMBER(I352)),I352+1,1)))</x:f>
        <x:v>3</x:v>
      </x:c>
      <x:c r="J366" s="2" t="n">
        <x:f>IF(ISNUMBER(F366),IF(AND(ABS(F366)+0.00000000001&gt;=$B$7,ABS(E366)+0.000000001&gt;=$D$7),1,0),"n.a.")</x:f>
        <x:v>0</x:v>
      </x:c>
      <x:c r="K366" s="2" t="str">
        <x:f>IF(NOT(ISNUMBER(F366)),"No evaluable",IF(OR(J366=1,I366&gt;=$B$8),"Prioridad",IF(G366=1,"Observar","Sin umbral")))</x:f>
        <x:v>Prioridad</x:v>
      </x:c>
      <x:c r="L366" s="2" t="str">
        <x:f>IF(K366="No evaluable","Faltan datos",IF(J366=1,"Magnitud",IF(I366&gt;=$B$8,"Persistencia",IF(G366=1,"Cambio del mes","Sin umbral"))))</x:f>
        <x:v>Persistencia</x:v>
      </x:c>
      <x:c r="M366" s="2" t="n">
        <x:f>ROW()-40</x:f>
        <x:v>326</x:v>
      </x:c>
    </x:row>
    <x:row r="367" ht="48" customHeight="1">
      <x:c r="A367" s="4" t="n">
        <x:v>45627</x:v>
      </x:c>
      <x:c r="B367" s="32" t="str">
        <x:v>Industria automotriz</x:v>
      </x:c>
      <x:c r="C367" s="10" t="n">
        <x:f>IF(ISNUMBER('Actividades'!F504),'Actividades'!F504,"n.a.")</x:f>
        <x:v>38.89055107526882</x:v>
      </x:c>
      <x:c r="D367" s="10" t="n">
        <x:f>IF(ISNUMBER('Actividades'!G504),'Actividades'!G504,"n.a.")</x:f>
        <x:v>37.83376075268817</x:v>
      </x:c>
      <x:c r="E367" s="10" t="n">
        <x:f>IF(AND(ISNUMBER(C367),ISNUMBER(D367),C367&gt;=0,D367&gt;0),C367-D367,"n.a.")</x:f>
        <x:v>1.056790322580646</x:v>
      </x:c>
      <x:c r="F367" s="12" t="n">
        <x:f>IF(ISNUMBER(E367),E367/D367,"n.a.")</x:f>
        <x:v>0.027932468291711098</x:v>
      </x:c>
      <x:c r="G367" s="2" t="n">
        <x:f>IF(ISNUMBER(F367),IF(AND(ABS(F367)+0.00000000001&gt;=$B$6,ABS(E367)+0.000000001&gt;=$D$6),1,0),"n.a.")</x:f>
        <x:v>0</x:v>
      </x:c>
      <x:c r="H367" s="2" t="n">
        <x:f>IF(ISNUMBER(E367),SIGN(E367),"n.a.")</x:f>
        <x:v>1</x:v>
      </x:c>
      <x:c r="I367" s="2" t="n">
        <x:f>IF(NOT(ISNUMBER(G367)),"n.a.",IF(G367=0,0,IF(AND(B367=B353,A367=EDATE(A353,1),H367=H353,ISNUMBER(I353)),I353+1,1)))</x:f>
        <x:v>0</x:v>
      </x:c>
      <x:c r="J367" s="2" t="n">
        <x:f>IF(ISNUMBER(F367),IF(AND(ABS(F367)+0.00000000001&gt;=$B$7,ABS(E367)+0.000000001&gt;=$D$7),1,0),"n.a.")</x:f>
        <x:v>0</x:v>
      </x:c>
      <x:c r="K367" s="2" t="str">
        <x:f>IF(NOT(ISNUMBER(F367)),"No evaluable",IF(OR(J367=1,I367&gt;=$B$8),"Prioridad",IF(G367=1,"Observar","Sin umbral")))</x:f>
        <x:v>Sin umbral</x:v>
      </x:c>
      <x:c r="L367" s="2" t="str">
        <x:f>IF(K367="No evaluable","Faltan datos",IF(J367=1,"Magnitud",IF(I367&gt;=$B$8,"Persistencia",IF(G367=1,"Cambio del mes","Sin umbral"))))</x:f>
        <x:v>Sin umbral</x:v>
      </x:c>
      <x:c r="M367" s="2" t="n">
        <x:f>ROW()-40</x:f>
        <x:v>327</x:v>
      </x:c>
    </x:row>
    <x:row r="368" ht="48" customHeight="1">
      <x:c r="A368" s="4" t="n">
        <x:v>45627</x:v>
      </x:c>
      <x:c r="B368" s="32" t="str">
        <x:v>Derivados de petróleo</x:v>
      </x:c>
      <x:c r="C368" s="10" t="n">
        <x:f>IF(ISNUMBER('Actividades'!F505),'Actividades'!F505,"n.a.")</x:f>
        <x:v>155.36422177419357</x:v>
      </x:c>
      <x:c r="D368" s="10" t="n">
        <x:f>IF(ISNUMBER('Actividades'!G505),'Actividades'!G505,"n.a.")</x:f>
        <x:v>149.47365860215055</x:v>
      </x:c>
      <x:c r="E368" s="10" t="n">
        <x:f>IF(AND(ISNUMBER(C368),ISNUMBER(D368),C368&gt;=0,D368&gt;0),C368-D368,"n.a.")</x:f>
        <x:v>5.8905631720430165</x:v>
      </x:c>
      <x:c r="F368" s="12" t="n">
        <x:f>IF(ISNUMBER(E368),E368/D368,"n.a.")</x:f>
        <x:v>0.039408704029395225</x:v>
      </x:c>
      <x:c r="G368" s="2" t="n">
        <x:f>IF(ISNUMBER(F368),IF(AND(ABS(F368)+0.00000000001&gt;=$B$6,ABS(E368)+0.000000001&gt;=$D$6),1,0),"n.a.")</x:f>
        <x:v>0</x:v>
      </x:c>
      <x:c r="H368" s="2" t="n">
        <x:f>IF(ISNUMBER(E368),SIGN(E368),"n.a.")</x:f>
        <x:v>1</x:v>
      </x:c>
      <x:c r="I368" s="2" t="n">
        <x:f>IF(NOT(ISNUMBER(G368)),"n.a.",IF(G368=0,0,IF(AND(B368=B354,A368=EDATE(A354,1),H368=H354,ISNUMBER(I354)),I354+1,1)))</x:f>
        <x:v>0</x:v>
      </x:c>
      <x:c r="J368" s="2" t="n">
        <x:f>IF(ISNUMBER(F368),IF(AND(ABS(F368)+0.00000000001&gt;=$B$7,ABS(E368)+0.000000001&gt;=$D$7),1,0),"n.a.")</x:f>
        <x:v>0</x:v>
      </x:c>
      <x:c r="K368" s="2" t="str">
        <x:f>IF(NOT(ISNUMBER(F368)),"No evaluable",IF(OR(J368=1,I368&gt;=$B$8),"Prioridad",IF(G368=1,"Observar","Sin umbral")))</x:f>
        <x:v>Sin umbral</x:v>
      </x:c>
      <x:c r="L368" s="2" t="str">
        <x:f>IF(K368="No evaluable","Faltan datos",IF(J368=1,"Magnitud",IF(I368&gt;=$B$8,"Persistencia",IF(G368=1,"Cambio del mes","Sin umbral"))))</x:f>
        <x:v>Sin umbral</x:v>
      </x:c>
      <x:c r="M368" s="2" t="n">
        <x:f>ROW()-40</x:f>
        <x:v>328</x:v>
      </x:c>
    </x:row>
    <x:row r="369" ht="48" customHeight="1">
      <x:c r="A369" s="4" t="n">
        <x:v>45627</x:v>
      </x:c>
      <x:c r="B369" s="32" t="str">
        <x:v>Construcción: elaboración de cemento y canteras</x:v>
      </x:c>
      <x:c r="C369" s="10" t="n">
        <x:f>IF(ISNUMBER('Actividades'!F506),'Actividades'!F506,"n.a.")</x:f>
        <x:v>145.2862392473118</x:v>
      </x:c>
      <x:c r="D369" s="10" t="n">
        <x:f>IF(ISNUMBER('Actividades'!G506),'Actividades'!G506,"n.a.")</x:f>
        <x:v>170.31919086021506</x:v>
      </x:c>
      <x:c r="E369" s="10" t="n">
        <x:f>IF(AND(ISNUMBER(C369),ISNUMBER(D369),C369&gt;=0,D369&gt;0),C369-D369,"n.a.")</x:f>
        <x:v>-25.032951612903247</x:v>
      </x:c>
      <x:c r="F369" s="12" t="n">
        <x:f>IF(ISNUMBER(E369),E369/D369,"n.a.")</x:f>
        <x:v>-0.14697669409108674</x:v>
      </x:c>
      <x:c r="G369" s="2" t="n">
        <x:f>IF(ISNUMBER(F369),IF(AND(ABS(F369)+0.00000000001&gt;=$B$6,ABS(E369)+0.000000001&gt;=$D$6),1,0),"n.a.")</x:f>
        <x:v>1</x:v>
      </x:c>
      <x:c r="H369" s="2" t="n">
        <x:f>IF(ISNUMBER(E369),SIGN(E369),"n.a.")</x:f>
        <x:v>-1</x:v>
      </x:c>
      <x:c r="I369" s="2" t="n">
        <x:f>IF(NOT(ISNUMBER(G369)),"n.a.",IF(G369=0,0,IF(AND(B369=B355,A369=EDATE(A355,1),H369=H355,ISNUMBER(I355)),I355+1,1)))</x:f>
        <x:v>1</x:v>
      </x:c>
      <x:c r="J369" s="2" t="n">
        <x:f>IF(ISNUMBER(F369),IF(AND(ABS(F369)+0.00000000001&gt;=$B$7,ABS(E369)+0.000000001&gt;=$D$7),1,0),"n.a.")</x:f>
        <x:v>0</x:v>
      </x:c>
      <x:c r="K369" s="2" t="str">
        <x:f>IF(NOT(ISNUMBER(F369)),"No evaluable",IF(OR(J369=1,I369&gt;=$B$8),"Prioridad",IF(G369=1,"Observar","Sin umbral")))</x:f>
        <x:v>Observar</x:v>
      </x:c>
      <x:c r="L369" s="2" t="str">
        <x:f>IF(K369="No evaluable","Faltan datos",IF(J369=1,"Magnitud",IF(I369&gt;=$B$8,"Persistencia",IF(G369=1,"Cambio del mes","Sin umbral"))))</x:f>
        <x:v>Cambio del mes</x:v>
      </x:c>
      <x:c r="M369" s="2" t="n">
        <x:f>ROW()-40</x:f>
        <x:v>329</x:v>
      </x:c>
    </x:row>
    <x:row r="370" ht="48" customHeight="1">
      <x:c r="A370" s="4" t="n">
        <x:v>45627</x:v>
      </x:c>
      <x:c r="B370" s="32" t="str">
        <x:v>Madera y papel</x:v>
      </x:c>
      <x:c r="C370" s="10" t="n">
        <x:f>IF(ISNUMBER('Actividades'!F507),'Actividades'!F507,"n.a.")</x:f>
        <x:v>102.41868951612904</x:v>
      </x:c>
      <x:c r="D370" s="10" t="n">
        <x:f>IF(ISNUMBER('Actividades'!G507),'Actividades'!G507,"n.a.")</x:f>
        <x:v>101.91472849462365</x:v>
      </x:c>
      <x:c r="E370" s="10" t="n">
        <x:f>IF(AND(ISNUMBER(C370),ISNUMBER(D370),C370&gt;=0,D370&gt;0),C370-D370,"n.a.")</x:f>
        <x:v>0.5039610215053898</x:v>
      </x:c>
      <x:c r="F370" s="12" t="n">
        <x:f>IF(ISNUMBER(E370),E370/D370,"n.a.")</x:f>
        <x:v>0.004944928264534164</x:v>
      </x:c>
      <x:c r="G370" s="2" t="n">
        <x:f>IF(ISNUMBER(F370),IF(AND(ABS(F370)+0.00000000001&gt;=$B$6,ABS(E370)+0.000000001&gt;=$D$6),1,0),"n.a.")</x:f>
        <x:v>0</x:v>
      </x:c>
      <x:c r="H370" s="2" t="n">
        <x:f>IF(ISNUMBER(E370),SIGN(E370),"n.a.")</x:f>
        <x:v>1</x:v>
      </x:c>
      <x:c r="I370" s="2" t="n">
        <x:f>IF(NOT(ISNUMBER(G370)),"n.a.",IF(G370=0,0,IF(AND(B370=B356,A370=EDATE(A356,1),H370=H356,ISNUMBER(I356)),I356+1,1)))</x:f>
        <x:v>0</x:v>
      </x:c>
      <x:c r="J370" s="2" t="n">
        <x:f>IF(ISNUMBER(F370),IF(AND(ABS(F370)+0.00000000001&gt;=$B$7,ABS(E370)+0.000000001&gt;=$D$7),1,0),"n.a.")</x:f>
        <x:v>0</x:v>
      </x:c>
      <x:c r="K370" s="2" t="str">
        <x:f>IF(NOT(ISNUMBER(F370)),"No evaluable",IF(OR(J370=1,I370&gt;=$B$8),"Prioridad",IF(G370=1,"Observar","Sin umbral")))</x:f>
        <x:v>Sin umbral</x:v>
      </x:c>
      <x:c r="L370" s="2" t="str">
        <x:f>IF(K370="No evaluable","Faltan datos",IF(J370=1,"Magnitud",IF(I370&gt;=$B$8,"Persistencia",IF(G370=1,"Cambio del mes","Sin umbral"))))</x:f>
        <x:v>Sin umbral</x:v>
      </x:c>
      <x:c r="M370" s="2" t="n">
        <x:f>ROW()-40</x:f>
        <x:v>330</x:v>
      </x:c>
    </x:row>
    <x:row r="371" ht="48" customHeight="1">
      <x:c r="A371" s="4" t="n">
        <x:v>45627</x:v>
      </x:c>
      <x:c r="B371" s="32" t="str">
        <x:v>Productos metálicos no automotores</x:v>
      </x:c>
      <x:c r="C371" s="10" t="n">
        <x:f>IF(ISNUMBER('Actividades'!F508),'Actividades'!F508,"n.a.")</x:f>
        <x:v>40.96575268817204</x:v>
      </x:c>
      <x:c r="D371" s="10" t="n">
        <x:f>IF(ISNUMBER('Actividades'!G508),'Actividades'!G508,"n.a.")</x:f>
        <x:v>40.546857526881716</x:v>
      </x:c>
      <x:c r="E371" s="10" t="n">
        <x:f>IF(AND(ISNUMBER(C371),ISNUMBER(D371),C371&gt;=0,D371&gt;0),C371-D371,"n.a.")</x:f>
        <x:v>0.41889516129032245</x:v>
      </x:c>
      <x:c r="F371" s="12" t="n">
        <x:f>IF(ISNUMBER(E371),E371/D371,"n.a.")</x:f>
        <x:v>0.010331137524347079</x:v>
      </x:c>
      <x:c r="G371" s="2" t="n">
        <x:f>IF(ISNUMBER(F371),IF(AND(ABS(F371)+0.00000000001&gt;=$B$6,ABS(E371)+0.000000001&gt;=$D$6),1,0),"n.a.")</x:f>
        <x:v>0</x:v>
      </x:c>
      <x:c r="H371" s="2" t="n">
        <x:f>IF(ISNUMBER(E371),SIGN(E371),"n.a.")</x:f>
        <x:v>1</x:v>
      </x:c>
      <x:c r="I371" s="2" t="n">
        <x:f>IF(NOT(ISNUMBER(G371)),"n.a.",IF(G371=0,0,IF(AND(B371=B357,A371=EDATE(A357,1),H371=H357,ISNUMBER(I357)),I357+1,1)))</x:f>
        <x:v>0</x:v>
      </x:c>
      <x:c r="J371" s="2" t="n">
        <x:f>IF(ISNUMBER(F371),IF(AND(ABS(F371)+0.00000000001&gt;=$B$7,ABS(E371)+0.000000001&gt;=$D$7),1,0),"n.a.")</x:f>
        <x:v>0</x:v>
      </x:c>
      <x:c r="K371" s="2" t="str">
        <x:f>IF(NOT(ISNUMBER(F371)),"No evaluable",IF(OR(J371=1,I371&gt;=$B$8),"Prioridad",IF(G371=1,"Observar","Sin umbral")))</x:f>
        <x:v>Sin umbral</x:v>
      </x:c>
      <x:c r="L371" s="2" t="str">
        <x:f>IF(K371="No evaluable","Faltan datos",IF(J371=1,"Magnitud",IF(I371&gt;=$B$8,"Persistencia",IF(G371=1,"Cambio del mes","Sin umbral"))))</x:f>
        <x:v>Sin umbral</x:v>
      </x:c>
      <x:c r="M371" s="2" t="n">
        <x:f>ROW()-40</x:f>
        <x:v>331</x:v>
      </x:c>
    </x:row>
    <x:row r="372" ht="48" customHeight="1">
      <x:c r="A372" s="4" t="n">
        <x:v>45627</x:v>
      </x:c>
      <x:c r="B372" s="32" t="str">
        <x:v>Gran siderurgia</x:v>
      </x:c>
      <x:c r="C372" s="10" t="n">
        <x:f>IF(ISNUMBER('Actividades'!F509),'Actividades'!F509,"n.a.")</x:f>
        <x:v>156.9784879032258</x:v>
      </x:c>
      <x:c r="D372" s="10" t="n">
        <x:f>IF(ISNUMBER('Actividades'!G509),'Actividades'!G509,"n.a.")</x:f>
        <x:v>271.11159005376345</x:v>
      </x:c>
      <x:c r="E372" s="10" t="n">
        <x:f>IF(AND(ISNUMBER(C372),ISNUMBER(D372),C372&gt;=0,D372&gt;0),C372-D372,"n.a.")</x:f>
        <x:v>-114.13310215053764</x:v>
      </x:c>
      <x:c r="F372" s="12" t="n">
        <x:f>IF(ISNUMBER(E372),E372/D372,"n.a.")</x:f>
        <x:v>-0.42098201013060416</x:v>
      </x:c>
      <x:c r="G372" s="2" t="n">
        <x:f>IF(ISNUMBER(F372),IF(AND(ABS(F372)+0.00000000001&gt;=$B$6,ABS(E372)+0.000000001&gt;=$D$6),1,0),"n.a.")</x:f>
        <x:v>1</x:v>
      </x:c>
      <x:c r="H372" s="2" t="n">
        <x:f>IF(ISNUMBER(E372),SIGN(E372),"n.a.")</x:f>
        <x:v>-1</x:v>
      </x:c>
      <x:c r="I372" s="2" t="n">
        <x:f>IF(NOT(ISNUMBER(G372)),"n.a.",IF(G372=0,0,IF(AND(B372=B358,A372=EDATE(A358,1),H372=H358,ISNUMBER(I358)),I358+1,1)))</x:f>
        <x:v>5</x:v>
      </x:c>
      <x:c r="J372" s="2" t="n">
        <x:f>IF(ISNUMBER(F372),IF(AND(ABS(F372)+0.00000000001&gt;=$B$7,ABS(E372)+0.000000001&gt;=$D$7),1,0),"n.a.")</x:f>
        <x:v>1</x:v>
      </x:c>
      <x:c r="K372" s="2" t="str">
        <x:f>IF(NOT(ISNUMBER(F372)),"No evaluable",IF(OR(J372=1,I372&gt;=$B$8),"Prioridad",IF(G372=1,"Observar","Sin umbral")))</x:f>
        <x:v>Prioridad</x:v>
      </x:c>
      <x:c r="L372" s="2" t="str">
        <x:f>IF(K372="No evaluable","Faltan datos",IF(J372=1,"Magnitud",IF(I372&gt;=$B$8,"Persistencia",IF(G372=1,"Cambio del mes","Sin umbral"))))</x:f>
        <x:v>Magnitud</x:v>
      </x:c>
      <x:c r="M372" s="2" t="n">
        <x:f>ROW()-40</x:f>
        <x:v>332</x:v>
      </x:c>
    </x:row>
    <x:row r="373" ht="48" customHeight="1">
      <x:c r="A373" s="4" t="n">
        <x:v>45627</x:v>
      </x:c>
      <x:c r="B373" s="32" t="str">
        <x:v>Industria textil</x:v>
      </x:c>
      <x:c r="C373" s="10" t="n">
        <x:f>IF(ISNUMBER('Actividades'!F510),'Actividades'!F510,"n.a.")</x:f>
        <x:v>47.334602150537634</x:v>
      </x:c>
      <x:c r="D373" s="10" t="n">
        <x:f>IF(ISNUMBER('Actividades'!G510),'Actividades'!G510,"n.a.")</x:f>
        <x:v>50.00543951612903</x:v>
      </x:c>
      <x:c r="E373" s="10" t="n">
        <x:f>IF(AND(ISNUMBER(C373),ISNUMBER(D373),C373&gt;=0,D373&gt;0),C373-D373,"n.a.")</x:f>
        <x:v>-2.670837365591396</x:v>
      </x:c>
      <x:c r="F373" s="12" t="n">
        <x:f>IF(ISNUMBER(E373),E373/D373,"n.a.")</x:f>
        <x:v>-0.05341093671879295</x:v>
      </x:c>
      <x:c r="G373" s="2" t="n">
        <x:f>IF(ISNUMBER(F373),IF(AND(ABS(F373)+0.00000000001&gt;=$B$6,ABS(E373)+0.000000001&gt;=$D$6),1,0),"n.a.")</x:f>
        <x:v>0</x:v>
      </x:c>
      <x:c r="H373" s="2" t="n">
        <x:f>IF(ISNUMBER(E373),SIGN(E373),"n.a.")</x:f>
        <x:v>-1</x:v>
      </x:c>
      <x:c r="I373" s="2" t="n">
        <x:f>IF(NOT(ISNUMBER(G373)),"n.a.",IF(G373=0,0,IF(AND(B373=B359,A373=EDATE(A359,1),H373=H359,ISNUMBER(I359)),I359+1,1)))</x:f>
        <x:v>0</x:v>
      </x:c>
      <x:c r="J373" s="2" t="n">
        <x:f>IF(ISNUMBER(F373),IF(AND(ABS(F373)+0.00000000001&gt;=$B$7,ABS(E373)+0.000000001&gt;=$D$7),1,0),"n.a.")</x:f>
        <x:v>0</x:v>
      </x:c>
      <x:c r="K373" s="2" t="str">
        <x:f>IF(NOT(ISNUMBER(F373)),"No evaluable",IF(OR(J373=1,I373&gt;=$B$8),"Prioridad",IF(G373=1,"Observar","Sin umbral")))</x:f>
        <x:v>Sin umbral</x:v>
      </x:c>
      <x:c r="L373" s="2" t="str">
        <x:f>IF(K373="No evaluable","Faltan datos",IF(J373=1,"Magnitud",IF(I373&gt;=$B$8,"Persistencia",IF(G373=1,"Cambio del mes","Sin umbral"))))</x:f>
        <x:v>Sin umbral</x:v>
      </x:c>
      <x:c r="M373" s="2" t="n">
        <x:f>ROW()-40</x:f>
        <x:v>333</x:v>
      </x:c>
    </x:row>
    <x:row r="374" ht="48" customHeight="1">
      <x:c r="A374" s="4" t="n">
        <x:v>45627</x:v>
      </x:c>
      <x:c r="B374" s="32" t="str">
        <x:v>Químicas, caucho, plástico y otros minerales no metálicos</x:v>
      </x:c>
      <x:c r="C374" s="10" t="n">
        <x:f>IF(ISNUMBER('Actividades'!F511),'Actividades'!F511,"n.a.")</x:f>
        <x:v>304.2543051075269</x:v>
      </x:c>
      <x:c r="D374" s="10" t="n">
        <x:f>IF(ISNUMBER('Actividades'!G511),'Actividades'!G511,"n.a.")</x:f>
        <x:v>303.3661639784946</x:v>
      </x:c>
      <x:c r="E374" s="10" t="n">
        <x:f>IF(AND(ISNUMBER(C374),ISNUMBER(D374),C374&gt;=0,D374&gt;0),C374-D374,"n.a.")</x:f>
        <x:v>0.888141129032249</x:v>
      </x:c>
      <x:c r="F374" s="12" t="n">
        <x:f>IF(ISNUMBER(E374),E374/D374,"n.a.")</x:f>
        <x:v>0.0029276209231271044</x:v>
      </x:c>
      <x:c r="G374" s="2" t="n">
        <x:f>IF(ISNUMBER(F374),IF(AND(ABS(F374)+0.00000000001&gt;=$B$6,ABS(E374)+0.000000001&gt;=$D$6),1,0),"n.a.")</x:f>
        <x:v>0</x:v>
      </x:c>
      <x:c r="H374" s="2" t="n">
        <x:f>IF(ISNUMBER(E374),SIGN(E374),"n.a.")</x:f>
        <x:v>1</x:v>
      </x:c>
      <x:c r="I374" s="2" t="n">
        <x:f>IF(NOT(ISNUMBER(G374)),"n.a.",IF(G374=0,0,IF(AND(B374=B360,A374=EDATE(A360,1),H374=H360,ISNUMBER(I360)),I360+1,1)))</x:f>
        <x:v>0</x:v>
      </x:c>
      <x:c r="J374" s="2" t="n">
        <x:f>IF(ISNUMBER(F374),IF(AND(ABS(F374)+0.00000000001&gt;=$B$7,ABS(E374)+0.000000001&gt;=$D$7),1,0),"n.a.")</x:f>
        <x:v>0</x:v>
      </x:c>
      <x:c r="K374" s="2" t="str">
        <x:f>IF(NOT(ISNUMBER(F374)),"No evaluable",IF(OR(J374=1,I374&gt;=$B$8),"Prioridad",IF(G374=1,"Observar","Sin umbral")))</x:f>
        <x:v>Sin umbral</x:v>
      </x:c>
      <x:c r="L374" s="2" t="str">
        <x:f>IF(K374="No evaluable","Faltan datos",IF(J374=1,"Magnitud",IF(I374&gt;=$B$8,"Persistencia",IF(G374=1,"Cambio del mes","Sin umbral"))))</x:f>
        <x:v>Sin umbral</x:v>
      </x:c>
      <x:c r="M374" s="2" t="n">
        <x:f>ROW()-40</x:f>
        <x:v>334</x:v>
      </x:c>
    </x:row>
    <x:row r="375" ht="48" customHeight="1">
      <x:c r="A375" s="4" t="n">
        <x:v>45627</x:v>
      </x:c>
      <x:c r="B375" s="32" t="str">
        <x:v>Extracción de minerales</x:v>
      </x:c>
      <x:c r="C375" s="10" t="n">
        <x:f>IF(ISNUMBER('Actividades'!F512),'Actividades'!F512,"n.a.")</x:f>
        <x:v>24.296728494623654</x:v>
      </x:c>
      <x:c r="D375" s="10" t="n">
        <x:f>IF(ISNUMBER('Actividades'!G512),'Actividades'!G512,"n.a.")</x:f>
        <x:v>20.7108185483871</x:v>
      </x:c>
      <x:c r="E375" s="10" t="n">
        <x:f>IF(AND(ISNUMBER(C375),ISNUMBER(D375),C375&gt;=0,D375&gt;0),C375-D375,"n.a.")</x:f>
        <x:v>3.585909946236555</x:v>
      </x:c>
      <x:c r="F375" s="12" t="n">
        <x:f>IF(ISNUMBER(E375),E375/D375,"n.a.")</x:f>
        <x:v>0.17314187451638968</x:v>
      </x:c>
      <x:c r="G375" s="2" t="n">
        <x:f>IF(ISNUMBER(F375),IF(AND(ABS(F375)+0.00000000001&gt;=$B$6,ABS(E375)+0.000000001&gt;=$D$6),1,0),"n.a.")</x:f>
        <x:v>0</x:v>
      </x:c>
      <x:c r="H375" s="2" t="n">
        <x:f>IF(ISNUMBER(E375),SIGN(E375),"n.a.")</x:f>
        <x:v>1</x:v>
      </x:c>
      <x:c r="I375" s="2" t="n">
        <x:f>IF(NOT(ISNUMBER(G375)),"n.a.",IF(G375=0,0,IF(AND(B375=B361,A375=EDATE(A361,1),H375=H361,ISNUMBER(I361)),I361+1,1)))</x:f>
        <x:v>0</x:v>
      </x:c>
      <x:c r="J375" s="2" t="n">
        <x:f>IF(ISNUMBER(F375),IF(AND(ABS(F375)+0.00000000001&gt;=$B$7,ABS(E375)+0.000000001&gt;=$D$7),1,0),"n.a.")</x:f>
        <x:v>0</x:v>
      </x:c>
      <x:c r="K375" s="2" t="str">
        <x:f>IF(NOT(ISNUMBER(F375)),"No evaluable",IF(OR(J375=1,I375&gt;=$B$8),"Prioridad",IF(G375=1,"Observar","Sin umbral")))</x:f>
        <x:v>Sin umbral</x:v>
      </x:c>
      <x:c r="L375" s="2" t="str">
        <x:f>IF(K375="No evaluable","Faltan datos",IF(J375=1,"Magnitud",IF(I375&gt;=$B$8,"Persistencia",IF(G375=1,"Cambio del mes","Sin umbral"))))</x:f>
        <x:v>Sin umbral</x:v>
      </x:c>
      <x:c r="M375" s="2" t="n">
        <x:f>ROW()-40</x:f>
        <x:v>335</x:v>
      </x:c>
    </x:row>
    <x:row r="376" ht="48" customHeight="1">
      <x:c r="A376" s="4" t="n">
        <x:v>45627</x:v>
      </x:c>
      <x:c r="B376" s="32" t="str">
        <x:v>Extracción de petróleo</x:v>
      </x:c>
      <x:c r="C376" s="10" t="n">
        <x:f>IF(ISNUMBER('Actividades'!F513),'Actividades'!F513,"n.a.")</x:f>
        <x:v>147.85826747311827</x:v>
      </x:c>
      <x:c r="D376" s="10" t="n">
        <x:f>IF(ISNUMBER('Actividades'!G513),'Actividades'!G513,"n.a.")</x:f>
        <x:v>138.14910215053766</x:v>
      </x:c>
      <x:c r="E376" s="10" t="n">
        <x:f>IF(AND(ISNUMBER(C376),ISNUMBER(D376),C376&gt;=0,D376&gt;0),C376-D376,"n.a.")</x:f>
        <x:v>9.709165322580617</x:v>
      </x:c>
      <x:c r="F376" s="12" t="n">
        <x:f>IF(ISNUMBER(E376),E376/D376,"n.a.")</x:f>
        <x:v>0.07028033603867204</x:v>
      </x:c>
      <x:c r="G376" s="2" t="n">
        <x:f>IF(ISNUMBER(F376),IF(AND(ABS(F376)+0.00000000001&gt;=$B$6,ABS(E376)+0.000000001&gt;=$D$6),1,0),"n.a.")</x:f>
        <x:v>0</x:v>
      </x:c>
      <x:c r="H376" s="2" t="n">
        <x:f>IF(ISNUMBER(E376),SIGN(E376),"n.a.")</x:f>
        <x:v>1</x:v>
      </x:c>
      <x:c r="I376" s="2" t="n">
        <x:f>IF(NOT(ISNUMBER(G376)),"n.a.",IF(G376=0,0,IF(AND(B376=B362,A376=EDATE(A362,1),H376=H362,ISNUMBER(I362)),I362+1,1)))</x:f>
        <x:v>0</x:v>
      </x:c>
      <x:c r="J376" s="2" t="n">
        <x:f>IF(ISNUMBER(F376),IF(AND(ABS(F376)+0.00000000001&gt;=$B$7,ABS(E376)+0.000000001&gt;=$D$7),1,0),"n.a.")</x:f>
        <x:v>0</x:v>
      </x:c>
      <x:c r="K376" s="2" t="str">
        <x:f>IF(NOT(ISNUMBER(F376)),"No evaluable",IF(OR(J376=1,I376&gt;=$B$8),"Prioridad",IF(G376=1,"Observar","Sin umbral")))</x:f>
        <x:v>Sin umbral</x:v>
      </x:c>
      <x:c r="L376" s="2" t="str">
        <x:f>IF(K376="No evaluable","Faltan datos",IF(J376=1,"Magnitud",IF(I376&gt;=$B$8,"Persistencia",IF(G376=1,"Cambio del mes","Sin umbral"))))</x:f>
        <x:v>Sin umbral</x:v>
      </x:c>
      <x:c r="M376" s="2" t="n">
        <x:f>ROW()-40</x:f>
        <x:v>336</x:v>
      </x:c>
    </x:row>
    <x:row r="377" ht="48" customHeight="1">
      <x:c r="A377" s="4" t="n">
        <x:v>45658</x:v>
      </x:c>
      <x:c r="B377" s="32" t="str">
        <x:v>Cargas y puertos</x:v>
      </x:c>
      <x:c r="C377" s="10" t="n">
        <x:f>IF(ISNUMBER('Actividades'!F514),'Actividades'!F514,"n.a.")</x:f>
        <x:v>11.843099462365592</x:v>
      </x:c>
      <x:c r="D377" s="10" t="n">
        <x:f>IF(ISNUMBER('Actividades'!G514),'Actividades'!G514,"n.a.")</x:f>
        <x:v>12.258646505376344</x:v>
      </x:c>
      <x:c r="E377" s="10" t="n">
        <x:f>IF(AND(ISNUMBER(C377),ISNUMBER(D377),C377&gt;=0,D377&gt;0),C377-D377,"n.a.")</x:f>
        <x:v>-0.4155470430107524</x:v>
      </x:c>
      <x:c r="F377" s="12" t="n">
        <x:f>IF(ISNUMBER(E377),E377/D377,"n.a.")</x:f>
        <x:v>-0.03389828092591654</x:v>
      </x:c>
      <x:c r="G377" s="2" t="n">
        <x:f>IF(ISNUMBER(F377),IF(AND(ABS(F377)+0.00000000001&gt;=$B$6,ABS(E377)+0.000000001&gt;=$D$6),1,0),"n.a.")</x:f>
        <x:v>0</x:v>
      </x:c>
      <x:c r="H377" s="2" t="n">
        <x:f>IF(ISNUMBER(E377),SIGN(E377),"n.a.")</x:f>
        <x:v>-1</x:v>
      </x:c>
      <x:c r="I377" s="2" t="n">
        <x:f>IF(NOT(ISNUMBER(G377)),"n.a.",IF(G377=0,0,IF(AND(B377=B363,A377=EDATE(A363,1),H377=H363,ISNUMBER(I363)),I363+1,1)))</x:f>
        <x:v>0</x:v>
      </x:c>
      <x:c r="J377" s="2" t="n">
        <x:f>IF(ISNUMBER(F377),IF(AND(ABS(F377)+0.00000000001&gt;=$B$7,ABS(E377)+0.000000001&gt;=$D$7),1,0),"n.a.")</x:f>
        <x:v>0</x:v>
      </x:c>
      <x:c r="K377" s="2" t="str">
        <x:f>IF(NOT(ISNUMBER(F377)),"No evaluable",IF(OR(J377=1,I377&gt;=$B$8),"Prioridad",IF(G377=1,"Observar","Sin umbral")))</x:f>
        <x:v>Sin umbral</x:v>
      </x:c>
      <x:c r="L377" s="2" t="str">
        <x:f>IF(K377="No evaluable","Faltan datos",IF(J377=1,"Magnitud",IF(I377&gt;=$B$8,"Persistencia",IF(G377=1,"Cambio del mes","Sin umbral"))))</x:f>
        <x:v>Sin umbral</x:v>
      </x:c>
      <x:c r="M377" s="2" t="n">
        <x:f>ROW()-40</x:f>
        <x:v>337</x:v>
      </x:c>
    </x:row>
    <x:row r="378" ht="48" customHeight="1">
      <x:c r="A378" s="4" t="n">
        <x:v>45658</x:v>
      </x:c>
      <x:c r="B378" s="32" t="str">
        <x:v>Comercio y servicios: principalmente supermercados y centros comerciales</x:v>
      </x:c>
      <x:c r="C378" s="10" t="n">
        <x:f>IF(ISNUMBER('Actividades'!F515),'Actividades'!F515,"n.a.")</x:f>
        <x:v>55.509069892473114</x:v>
      </x:c>
      <x:c r="D378" s="10" t="n">
        <x:f>IF(ISNUMBER('Actividades'!G515),'Actividades'!G515,"n.a.")</x:f>
        <x:v>42.51775403225807</x:v>
      </x:c>
      <x:c r="E378" s="10" t="n">
        <x:f>IF(AND(ISNUMBER(C378),ISNUMBER(D378),C378&gt;=0,D378&gt;0),C378-D378,"n.a.")</x:f>
        <x:v>12.991315860215046</x:v>
      </x:c>
      <x:c r="F378" s="12" t="n">
        <x:f>IF(ISNUMBER(E378),E378/D378,"n.a.")</x:f>
        <x:v>0.30555037903362864</x:v>
      </x:c>
      <x:c r="G378" s="2" t="n">
        <x:f>IF(ISNUMBER(F378),IF(AND(ABS(F378)+0.00000000001&gt;=$B$6,ABS(E378)+0.000000001&gt;=$D$6),1,0),"n.a.")</x:f>
        <x:v>1</x:v>
      </x:c>
      <x:c r="H378" s="2" t="n">
        <x:f>IF(ISNUMBER(E378),SIGN(E378),"n.a.")</x:f>
        <x:v>1</x:v>
      </x:c>
      <x:c r="I378" s="2" t="n">
        <x:f>IF(NOT(ISNUMBER(G378)),"n.a.",IF(G378=0,0,IF(AND(B378=B364,A378=EDATE(A364,1),H378=H364,ISNUMBER(I364)),I364+1,1)))</x:f>
        <x:v>4</x:v>
      </x:c>
      <x:c r="J378" s="2" t="n">
        <x:f>IF(ISNUMBER(F378),IF(AND(ABS(F378)+0.00000000001&gt;=$B$7,ABS(E378)+0.000000001&gt;=$D$7),1,0),"n.a.")</x:f>
        <x:v>1</x:v>
      </x:c>
      <x:c r="K378" s="2" t="str">
        <x:f>IF(NOT(ISNUMBER(F378)),"No evaluable",IF(OR(J378=1,I378&gt;=$B$8),"Prioridad",IF(G378=1,"Observar","Sin umbral")))</x:f>
        <x:v>Prioridad</x:v>
      </x:c>
      <x:c r="L378" s="2" t="str">
        <x:f>IF(K378="No evaluable","Faltan datos",IF(J378=1,"Magnitud",IF(I378&gt;=$B$8,"Persistencia",IF(G378=1,"Cambio del mes","Sin umbral"))))</x:f>
        <x:v>Magnitud</x:v>
      </x:c>
      <x:c r="M378" s="2" t="n">
        <x:f>ROW()-40</x:f>
        <x:v>338</x:v>
      </x:c>
    </x:row>
    <x:row r="379" ht="48" customHeight="1">
      <x:c r="A379" s="4" t="n">
        <x:v>45658</x:v>
      </x:c>
      <x:c r="B379" s="32" t="str">
        <x:v>Alimentación y artículos de consumo masivo</x:v>
      </x:c>
      <x:c r="C379" s="10" t="n">
        <x:f>IF(ISNUMBER('Actividades'!F516),'Actividades'!F516,"n.a.")</x:f>
        <x:v>268.5709946236559</x:v>
      </x:c>
      <x:c r="D379" s="10" t="n">
        <x:f>IF(ISNUMBER('Actividades'!G516),'Actividades'!G516,"n.a.")</x:f>
        <x:v>257.9740793010753</x:v>
      </x:c>
      <x:c r="E379" s="10" t="n">
        <x:f>IF(AND(ISNUMBER(C379),ISNUMBER(D379),C379&gt;=0,D379&gt;0),C379-D379,"n.a.")</x:f>
        <x:v>10.596915322580628</x:v>
      </x:c>
      <x:c r="F379" s="12" t="n">
        <x:f>IF(ISNUMBER(E379),E379/D379,"n.a.")</x:f>
        <x:v>0.04107744216508367</x:v>
      </x:c>
      <x:c r="G379" s="2" t="n">
        <x:f>IF(ISNUMBER(F379),IF(AND(ABS(F379)+0.00000000001&gt;=$B$6,ABS(E379)+0.000000001&gt;=$D$6),1,0),"n.a.")</x:f>
        <x:v>0</x:v>
      </x:c>
      <x:c r="H379" s="2" t="n">
        <x:f>IF(ISNUMBER(E379),SIGN(E379),"n.a.")</x:f>
        <x:v>1</x:v>
      </x:c>
      <x:c r="I379" s="2" t="n">
        <x:f>IF(NOT(ISNUMBER(G379)),"n.a.",IF(G379=0,0,IF(AND(B379=B365,A379=EDATE(A365,1),H379=H365,ISNUMBER(I365)),I365+1,1)))</x:f>
        <x:v>0</x:v>
      </x:c>
      <x:c r="J379" s="2" t="n">
        <x:f>IF(ISNUMBER(F379),IF(AND(ABS(F379)+0.00000000001&gt;=$B$7,ABS(E379)+0.000000001&gt;=$D$7),1,0),"n.a.")</x:f>
        <x:v>0</x:v>
      </x:c>
      <x:c r="K379" s="2" t="str">
        <x:f>IF(NOT(ISNUMBER(F379)),"No evaluable",IF(OR(J379=1,I379&gt;=$B$8),"Prioridad",IF(G379=1,"Observar","Sin umbral")))</x:f>
        <x:v>Sin umbral</x:v>
      </x:c>
      <x:c r="L379" s="2" t="str">
        <x:f>IF(K379="No evaluable","Faltan datos",IF(J379=1,"Magnitud",IF(I379&gt;=$B$8,"Persistencia",IF(G379=1,"Cambio del mes","Sin umbral"))))</x:f>
        <x:v>Sin umbral</x:v>
      </x:c>
      <x:c r="M379" s="2" t="n">
        <x:f>ROW()-40</x:f>
        <x:v>339</x:v>
      </x:c>
    </x:row>
    <x:row r="380" ht="48" customHeight="1">
      <x:c r="A380" s="4" t="n">
        <x:v>45658</x:v>
      </x:c>
      <x:c r="B380" s="32" t="str">
        <x:v>Servicios públicos y transporte: agua y transporte en GBA</x:v>
      </x:c>
      <x:c r="C380" s="10" t="n">
        <x:f>IF(ISNUMBER('Actividades'!F517),'Actividades'!F517,"n.a.")</x:f>
        <x:v>75.60832526881721</x:v>
      </x:c>
      <x:c r="D380" s="10" t="n">
        <x:f>IF(ISNUMBER('Actividades'!G517),'Actividades'!G517,"n.a.")</x:f>
        <x:v>87.43953360215055</x:v>
      </x:c>
      <x:c r="E380" s="10" t="n">
        <x:f>IF(AND(ISNUMBER(C380),ISNUMBER(D380),C380&gt;=0,D380&gt;0),C380-D380,"n.a.")</x:f>
        <x:v>-11.831208333333336</x:v>
      </x:c>
      <x:c r="F380" s="12" t="n">
        <x:f>IF(ISNUMBER(E380),E380/D380,"n.a.")</x:f>
        <x:v>-0.1353073129045413</x:v>
      </x:c>
      <x:c r="G380" s="2" t="n">
        <x:f>IF(ISNUMBER(F380),IF(AND(ABS(F380)+0.00000000001&gt;=$B$6,ABS(E380)+0.000000001&gt;=$D$6),1,0),"n.a.")</x:f>
        <x:v>1</x:v>
      </x:c>
      <x:c r="H380" s="2" t="n">
        <x:f>IF(ISNUMBER(E380),SIGN(E380),"n.a.")</x:f>
        <x:v>-1</x:v>
      </x:c>
      <x:c r="I380" s="2" t="n">
        <x:f>IF(NOT(ISNUMBER(G380)),"n.a.",IF(G380=0,0,IF(AND(B380=B366,A380=EDATE(A366,1),H380=H366,ISNUMBER(I366)),I366+1,1)))</x:f>
        <x:v>4</x:v>
      </x:c>
      <x:c r="J380" s="2" t="n">
        <x:f>IF(ISNUMBER(F380),IF(AND(ABS(F380)+0.00000000001&gt;=$B$7,ABS(E380)+0.000000001&gt;=$D$7),1,0),"n.a.")</x:f>
        <x:v>0</x:v>
      </x:c>
      <x:c r="K380" s="2" t="str">
        <x:f>IF(NOT(ISNUMBER(F380)),"No evaluable",IF(OR(J380=1,I380&gt;=$B$8),"Prioridad",IF(G380=1,"Observar","Sin umbral")))</x:f>
        <x:v>Prioridad</x:v>
      </x:c>
      <x:c r="L380" s="2" t="str">
        <x:f>IF(K380="No evaluable","Faltan datos",IF(J380=1,"Magnitud",IF(I380&gt;=$B$8,"Persistencia",IF(G380=1,"Cambio del mes","Sin umbral"))))</x:f>
        <x:v>Persistencia</x:v>
      </x:c>
      <x:c r="M380" s="2" t="n">
        <x:f>ROW()-40</x:f>
        <x:v>340</x:v>
      </x:c>
    </x:row>
    <x:row r="381" ht="48" customHeight="1">
      <x:c r="A381" s="4" t="n">
        <x:v>45658</x:v>
      </x:c>
      <x:c r="B381" s="32" t="str">
        <x:v>Industria automotriz</x:v>
      </x:c>
      <x:c r="C381" s="10" t="n">
        <x:f>IF(ISNUMBER('Actividades'!F518),'Actividades'!F518,"n.a.")</x:f>
        <x:v>34.79801344086021</x:v>
      </x:c>
      <x:c r="D381" s="10" t="n">
        <x:f>IF(ISNUMBER('Actividades'!G518),'Actividades'!G518,"n.a.")</x:f>
        <x:v>31.595293010752687</x:v>
      </x:c>
      <x:c r="E381" s="10" t="n">
        <x:f>IF(AND(ISNUMBER(C381),ISNUMBER(D381),C381&gt;=0,D381&gt;0),C381-D381,"n.a.")</x:f>
        <x:v>3.2027204301075223</x:v>
      </x:c>
      <x:c r="F381" s="12" t="n">
        <x:f>IF(ISNUMBER(E381),E381/D381,"n.a.")</x:f>
        <x:v>0.10136701150445272</x:v>
      </x:c>
      <x:c r="G381" s="2" t="n">
        <x:f>IF(ISNUMBER(F381),IF(AND(ABS(F381)+0.00000000001&gt;=$B$6,ABS(E381)+0.000000001&gt;=$D$6),1,0),"n.a.")</x:f>
        <x:v>0</x:v>
      </x:c>
      <x:c r="H381" s="2" t="n">
        <x:f>IF(ISNUMBER(E381),SIGN(E381),"n.a.")</x:f>
        <x:v>1</x:v>
      </x:c>
      <x:c r="I381" s="2" t="n">
        <x:f>IF(NOT(ISNUMBER(G381)),"n.a.",IF(G381=0,0,IF(AND(B381=B367,A381=EDATE(A367,1),H381=H367,ISNUMBER(I367)),I367+1,1)))</x:f>
        <x:v>0</x:v>
      </x:c>
      <x:c r="J381" s="2" t="n">
        <x:f>IF(ISNUMBER(F381),IF(AND(ABS(F381)+0.00000000001&gt;=$B$7,ABS(E381)+0.000000001&gt;=$D$7),1,0),"n.a.")</x:f>
        <x:v>0</x:v>
      </x:c>
      <x:c r="K381" s="2" t="str">
        <x:f>IF(NOT(ISNUMBER(F381)),"No evaluable",IF(OR(J381=1,I381&gt;=$B$8),"Prioridad",IF(G381=1,"Observar","Sin umbral")))</x:f>
        <x:v>Sin umbral</x:v>
      </x:c>
      <x:c r="L381" s="2" t="str">
        <x:f>IF(K381="No evaluable","Faltan datos",IF(J381=1,"Magnitud",IF(I381&gt;=$B$8,"Persistencia",IF(G381=1,"Cambio del mes","Sin umbral"))))</x:f>
        <x:v>Sin umbral</x:v>
      </x:c>
      <x:c r="M381" s="2" t="n">
        <x:f>ROW()-40</x:f>
        <x:v>341</x:v>
      </x:c>
    </x:row>
    <x:row r="382" ht="48" customHeight="1">
      <x:c r="A382" s="4" t="n">
        <x:v>45658</x:v>
      </x:c>
      <x:c r="B382" s="32" t="str">
        <x:v>Derivados de petróleo</x:v>
      </x:c>
      <x:c r="C382" s="10" t="n">
        <x:f>IF(ISNUMBER('Actividades'!F519),'Actividades'!F519,"n.a.")</x:f>
        <x:v>158.24590456989247</x:v>
      </x:c>
      <x:c r="D382" s="10" t="n">
        <x:f>IF(ISNUMBER('Actividades'!G519),'Actividades'!G519,"n.a.")</x:f>
        <x:v>155.5409502688172</x:v>
      </x:c>
      <x:c r="E382" s="10" t="n">
        <x:f>IF(AND(ISNUMBER(C382),ISNUMBER(D382),C382&gt;=0,D382&gt;0),C382-D382,"n.a.")</x:f>
        <x:v>2.7049543010752757</x:v>
      </x:c>
      <x:c r="F382" s="12" t="n">
        <x:f>IF(ISNUMBER(E382),E382/D382,"n.a.")</x:f>
        <x:v>0.017390624760877292</x:v>
      </x:c>
      <x:c r="G382" s="2" t="n">
        <x:f>IF(ISNUMBER(F382),IF(AND(ABS(F382)+0.00000000001&gt;=$B$6,ABS(E382)+0.000000001&gt;=$D$6),1,0),"n.a.")</x:f>
        <x:v>0</x:v>
      </x:c>
      <x:c r="H382" s="2" t="n">
        <x:f>IF(ISNUMBER(E382),SIGN(E382),"n.a.")</x:f>
        <x:v>1</x:v>
      </x:c>
      <x:c r="I382" s="2" t="n">
        <x:f>IF(NOT(ISNUMBER(G382)),"n.a.",IF(G382=0,0,IF(AND(B382=B368,A382=EDATE(A368,1),H382=H368,ISNUMBER(I368)),I368+1,1)))</x:f>
        <x:v>0</x:v>
      </x:c>
      <x:c r="J382" s="2" t="n">
        <x:f>IF(ISNUMBER(F382),IF(AND(ABS(F382)+0.00000000001&gt;=$B$7,ABS(E382)+0.000000001&gt;=$D$7),1,0),"n.a.")</x:f>
        <x:v>0</x:v>
      </x:c>
      <x:c r="K382" s="2" t="str">
        <x:f>IF(NOT(ISNUMBER(F382)),"No evaluable",IF(OR(J382=1,I382&gt;=$B$8),"Prioridad",IF(G382=1,"Observar","Sin umbral")))</x:f>
        <x:v>Sin umbral</x:v>
      </x:c>
      <x:c r="L382" s="2" t="str">
        <x:f>IF(K382="No evaluable","Faltan datos",IF(J382=1,"Magnitud",IF(I382&gt;=$B$8,"Persistencia",IF(G382=1,"Cambio del mes","Sin umbral"))))</x:f>
        <x:v>Sin umbral</x:v>
      </x:c>
      <x:c r="M382" s="2" t="n">
        <x:f>ROW()-40</x:f>
        <x:v>342</x:v>
      </x:c>
    </x:row>
    <x:row r="383" ht="48" customHeight="1">
      <x:c r="A383" s="4" t="n">
        <x:v>45658</x:v>
      </x:c>
      <x:c r="B383" s="32" t="str">
        <x:v>Construcción: elaboración de cemento y canteras</x:v>
      </x:c>
      <x:c r="C383" s="10" t="n">
        <x:f>IF(ISNUMBER('Actividades'!F520),'Actividades'!F520,"n.a.")</x:f>
        <x:v>145.85207123655914</x:v>
      </x:c>
      <x:c r="D383" s="10" t="n">
        <x:f>IF(ISNUMBER('Actividades'!G520),'Actividades'!G520,"n.a.")</x:f>
        <x:v>133.46189112903227</x:v>
      </x:c>
      <x:c r="E383" s="10" t="n">
        <x:f>IF(AND(ISNUMBER(C383),ISNUMBER(D383),C383&gt;=0,D383&gt;0),C383-D383,"n.a.")</x:f>
        <x:v>12.390180107526874</x:v>
      </x:c>
      <x:c r="F383" s="12" t="n">
        <x:f>IF(ISNUMBER(E383),E383/D383,"n.a.")</x:f>
        <x:v>0.09283683906103148</x:v>
      </x:c>
      <x:c r="G383" s="2" t="n">
        <x:f>IF(ISNUMBER(F383),IF(AND(ABS(F383)+0.00000000001&gt;=$B$6,ABS(E383)+0.000000001&gt;=$D$6),1,0),"n.a.")</x:f>
        <x:v>0</x:v>
      </x:c>
      <x:c r="H383" s="2" t="n">
        <x:f>IF(ISNUMBER(E383),SIGN(E383),"n.a.")</x:f>
        <x:v>1</x:v>
      </x:c>
      <x:c r="I383" s="2" t="n">
        <x:f>IF(NOT(ISNUMBER(G383)),"n.a.",IF(G383=0,0,IF(AND(B383=B369,A383=EDATE(A369,1),H383=H369,ISNUMBER(I369)),I369+1,1)))</x:f>
        <x:v>0</x:v>
      </x:c>
      <x:c r="J383" s="2" t="n">
        <x:f>IF(ISNUMBER(F383),IF(AND(ABS(F383)+0.00000000001&gt;=$B$7,ABS(E383)+0.000000001&gt;=$D$7),1,0),"n.a.")</x:f>
        <x:v>0</x:v>
      </x:c>
      <x:c r="K383" s="2" t="str">
        <x:f>IF(NOT(ISNUMBER(F383)),"No evaluable",IF(OR(J383=1,I383&gt;=$B$8),"Prioridad",IF(G383=1,"Observar","Sin umbral")))</x:f>
        <x:v>Sin umbral</x:v>
      </x:c>
      <x:c r="L383" s="2" t="str">
        <x:f>IF(K383="No evaluable","Faltan datos",IF(J383=1,"Magnitud",IF(I383&gt;=$B$8,"Persistencia",IF(G383=1,"Cambio del mes","Sin umbral"))))</x:f>
        <x:v>Sin umbral</x:v>
      </x:c>
      <x:c r="M383" s="2" t="n">
        <x:f>ROW()-40</x:f>
        <x:v>343</x:v>
      </x:c>
    </x:row>
    <x:row r="384" ht="48" customHeight="1">
      <x:c r="A384" s="4" t="n">
        <x:v>45658</x:v>
      </x:c>
      <x:c r="B384" s="32" t="str">
        <x:v>Madera y papel</x:v>
      </x:c>
      <x:c r="C384" s="10" t="n">
        <x:f>IF(ISNUMBER('Actividades'!F521),'Actividades'!F521,"n.a.")</x:f>
        <x:v>92.00697983870968</x:v>
      </x:c>
      <x:c r="D384" s="10" t="n">
        <x:f>IF(ISNUMBER('Actividades'!G521),'Actividades'!G521,"n.a.")</x:f>
        <x:v>105.33960752688172</x:v>
      </x:c>
      <x:c r="E384" s="10" t="n">
        <x:f>IF(AND(ISNUMBER(C384),ISNUMBER(D384),C384&gt;=0,D384&gt;0),C384-D384,"n.a.")</x:f>
        <x:v>-13.332627688172039</x:v>
      </x:c>
      <x:c r="F384" s="12" t="n">
        <x:f>IF(ISNUMBER(E384),E384/D384,"n.a.")</x:f>
        <x:v>-0.12656804027649024</x:v>
      </x:c>
      <x:c r="G384" s="2" t="n">
        <x:f>IF(ISNUMBER(F384),IF(AND(ABS(F384)+0.00000000001&gt;=$B$6,ABS(E384)+0.000000001&gt;=$D$6),1,0),"n.a.")</x:f>
        <x:v>1</x:v>
      </x:c>
      <x:c r="H384" s="2" t="n">
        <x:f>IF(ISNUMBER(E384),SIGN(E384),"n.a.")</x:f>
        <x:v>-1</x:v>
      </x:c>
      <x:c r="I384" s="2" t="n">
        <x:f>IF(NOT(ISNUMBER(G384)),"n.a.",IF(G384=0,0,IF(AND(B384=B370,A384=EDATE(A370,1),H384=H370,ISNUMBER(I370)),I370+1,1)))</x:f>
        <x:v>1</x:v>
      </x:c>
      <x:c r="J384" s="2" t="n">
        <x:f>IF(ISNUMBER(F384),IF(AND(ABS(F384)+0.00000000001&gt;=$B$7,ABS(E384)+0.000000001&gt;=$D$7),1,0),"n.a.")</x:f>
        <x:v>0</x:v>
      </x:c>
      <x:c r="K384" s="2" t="str">
        <x:f>IF(NOT(ISNUMBER(F384)),"No evaluable",IF(OR(J384=1,I384&gt;=$B$8),"Prioridad",IF(G384=1,"Observar","Sin umbral")))</x:f>
        <x:v>Observar</x:v>
      </x:c>
      <x:c r="L384" s="2" t="str">
        <x:f>IF(K384="No evaluable","Faltan datos",IF(J384=1,"Magnitud",IF(I384&gt;=$B$8,"Persistencia",IF(G384=1,"Cambio del mes","Sin umbral"))))</x:f>
        <x:v>Cambio del mes</x:v>
      </x:c>
      <x:c r="M384" s="2" t="n">
        <x:f>ROW()-40</x:f>
        <x:v>344</x:v>
      </x:c>
    </x:row>
    <x:row r="385" ht="48" customHeight="1">
      <x:c r="A385" s="4" t="n">
        <x:v>45658</x:v>
      </x:c>
      <x:c r="B385" s="32" t="str">
        <x:v>Productos metálicos no automotores</x:v>
      </x:c>
      <x:c r="C385" s="10" t="n">
        <x:f>IF(ISNUMBER('Actividades'!F522),'Actividades'!F522,"n.a.")</x:f>
        <x:v>40.152334677419354</x:v>
      </x:c>
      <x:c r="D385" s="10" t="n">
        <x:f>IF(ISNUMBER('Actividades'!G522),'Actividades'!G522,"n.a.")</x:f>
        <x:v>39.070408602150536</x:v>
      </x:c>
      <x:c r="E385" s="10" t="n">
        <x:f>IF(AND(ISNUMBER(C385),ISNUMBER(D385),C385&gt;=0,D385&gt;0),C385-D385,"n.a.")</x:f>
        <x:v>1.081926075268818</x:v>
      </x:c>
      <x:c r="F385" s="12" t="n">
        <x:f>IF(ISNUMBER(E385),E385/D385,"n.a.")</x:f>
        <x:v>0.027691701059130106</x:v>
      </x:c>
      <x:c r="G385" s="2" t="n">
        <x:f>IF(ISNUMBER(F385),IF(AND(ABS(F385)+0.00000000001&gt;=$B$6,ABS(E385)+0.000000001&gt;=$D$6),1,0),"n.a.")</x:f>
        <x:v>0</x:v>
      </x:c>
      <x:c r="H385" s="2" t="n">
        <x:f>IF(ISNUMBER(E385),SIGN(E385),"n.a.")</x:f>
        <x:v>1</x:v>
      </x:c>
      <x:c r="I385" s="2" t="n">
        <x:f>IF(NOT(ISNUMBER(G385)),"n.a.",IF(G385=0,0,IF(AND(B385=B371,A385=EDATE(A371,1),H385=H371,ISNUMBER(I371)),I371+1,1)))</x:f>
        <x:v>0</x:v>
      </x:c>
      <x:c r="J385" s="2" t="n">
        <x:f>IF(ISNUMBER(F385),IF(AND(ABS(F385)+0.00000000001&gt;=$B$7,ABS(E385)+0.000000001&gt;=$D$7),1,0),"n.a.")</x:f>
        <x:v>0</x:v>
      </x:c>
      <x:c r="K385" s="2" t="str">
        <x:f>IF(NOT(ISNUMBER(F385)),"No evaluable",IF(OR(J385=1,I385&gt;=$B$8),"Prioridad",IF(G385=1,"Observar","Sin umbral")))</x:f>
        <x:v>Sin umbral</x:v>
      </x:c>
      <x:c r="L385" s="2" t="str">
        <x:f>IF(K385="No evaluable","Faltan datos",IF(J385=1,"Magnitud",IF(I385&gt;=$B$8,"Persistencia",IF(G385=1,"Cambio del mes","Sin umbral"))))</x:f>
        <x:v>Sin umbral</x:v>
      </x:c>
      <x:c r="M385" s="2" t="n">
        <x:f>ROW()-40</x:f>
        <x:v>345</x:v>
      </x:c>
    </x:row>
    <x:row r="386" ht="48" customHeight="1">
      <x:c r="A386" s="4" t="n">
        <x:v>45658</x:v>
      </x:c>
      <x:c r="B386" s="32" t="str">
        <x:v>Gran siderurgia</x:v>
      </x:c>
      <x:c r="C386" s="10" t="n">
        <x:f>IF(ISNUMBER('Actividades'!F523),'Actividades'!F523,"n.a.")</x:f>
        <x:v>229.55411693548388</x:v>
      </x:c>
      <x:c r="D386" s="10" t="n">
        <x:f>IF(ISNUMBER('Actividades'!G523),'Actividades'!G523,"n.a.")</x:f>
        <x:v>327.53325403225807</x:v>
      </x:c>
      <x:c r="E386" s="10" t="n">
        <x:f>IF(AND(ISNUMBER(C386),ISNUMBER(D386),C386&gt;=0,D386&gt;0),C386-D386,"n.a.")</x:f>
        <x:v>-97.9791370967742</x:v>
      </x:c>
      <x:c r="F386" s="12" t="n">
        <x:f>IF(ISNUMBER(E386),E386/D386,"n.a.")</x:f>
        <x:v>-0.29914256305445075</x:v>
      </x:c>
      <x:c r="G386" s="2" t="n">
        <x:f>IF(ISNUMBER(F386),IF(AND(ABS(F386)+0.00000000001&gt;=$B$6,ABS(E386)+0.000000001&gt;=$D$6),1,0),"n.a.")</x:f>
        <x:v>1</x:v>
      </x:c>
      <x:c r="H386" s="2" t="n">
        <x:f>IF(ISNUMBER(E386),SIGN(E386),"n.a.")</x:f>
        <x:v>-1</x:v>
      </x:c>
      <x:c r="I386" s="2" t="n">
        <x:f>IF(NOT(ISNUMBER(G386)),"n.a.",IF(G386=0,0,IF(AND(B386=B372,A386=EDATE(A372,1),H386=H372,ISNUMBER(I372)),I372+1,1)))</x:f>
        <x:v>6</x:v>
      </x:c>
      <x:c r="J386" s="2" t="n">
        <x:f>IF(ISNUMBER(F386),IF(AND(ABS(F386)+0.00000000001&gt;=$B$7,ABS(E386)+0.000000001&gt;=$D$7),1,0),"n.a.")</x:f>
        <x:v>1</x:v>
      </x:c>
      <x:c r="K386" s="2" t="str">
        <x:f>IF(NOT(ISNUMBER(F386)),"No evaluable",IF(OR(J386=1,I386&gt;=$B$8),"Prioridad",IF(G386=1,"Observar","Sin umbral")))</x:f>
        <x:v>Prioridad</x:v>
      </x:c>
      <x:c r="L386" s="2" t="str">
        <x:f>IF(K386="No evaluable","Faltan datos",IF(J386=1,"Magnitud",IF(I386&gt;=$B$8,"Persistencia",IF(G386=1,"Cambio del mes","Sin umbral"))))</x:f>
        <x:v>Magnitud</x:v>
      </x:c>
      <x:c r="M386" s="2" t="n">
        <x:f>ROW()-40</x:f>
        <x:v>346</x:v>
      </x:c>
    </x:row>
    <x:row r="387" ht="48" customHeight="1">
      <x:c r="A387" s="4" t="n">
        <x:v>45658</x:v>
      </x:c>
      <x:c r="B387" s="32" t="str">
        <x:v>Industria textil</x:v>
      </x:c>
      <x:c r="C387" s="10" t="n">
        <x:f>IF(ISNUMBER('Actividades'!F524),'Actividades'!F524,"n.a.")</x:f>
        <x:v>33.99053494623656</x:v>
      </x:c>
      <x:c r="D387" s="10" t="n">
        <x:f>IF(ISNUMBER('Actividades'!G524),'Actividades'!G524,"n.a.")</x:f>
        <x:v>36.94760752688172</x:v>
      </x:c>
      <x:c r="E387" s="10" t="n">
        <x:f>IF(AND(ISNUMBER(C387),ISNUMBER(D387),C387&gt;=0,D387&gt;0),C387-D387,"n.a.")</x:f>
        <x:v>-2.9570725806451605</x:v>
      </x:c>
      <x:c r="F387" s="12" t="n">
        <x:f>IF(ISNUMBER(E387),E387/D387,"n.a.")</x:f>
        <x:v>-0.08003421002276544</x:v>
      </x:c>
      <x:c r="G387" s="2" t="n">
        <x:f>IF(ISNUMBER(F387),IF(AND(ABS(F387)+0.00000000001&gt;=$B$6,ABS(E387)+0.000000001&gt;=$D$6),1,0),"n.a.")</x:f>
        <x:v>0</x:v>
      </x:c>
      <x:c r="H387" s="2" t="n">
        <x:f>IF(ISNUMBER(E387),SIGN(E387),"n.a.")</x:f>
        <x:v>-1</x:v>
      </x:c>
      <x:c r="I387" s="2" t="n">
        <x:f>IF(NOT(ISNUMBER(G387)),"n.a.",IF(G387=0,0,IF(AND(B387=B373,A387=EDATE(A373,1),H387=H373,ISNUMBER(I373)),I373+1,1)))</x:f>
        <x:v>0</x:v>
      </x:c>
      <x:c r="J387" s="2" t="n">
        <x:f>IF(ISNUMBER(F387),IF(AND(ABS(F387)+0.00000000001&gt;=$B$7,ABS(E387)+0.000000001&gt;=$D$7),1,0),"n.a.")</x:f>
        <x:v>0</x:v>
      </x:c>
      <x:c r="K387" s="2" t="str">
        <x:f>IF(NOT(ISNUMBER(F387)),"No evaluable",IF(OR(J387=1,I387&gt;=$B$8),"Prioridad",IF(G387=1,"Observar","Sin umbral")))</x:f>
        <x:v>Sin umbral</x:v>
      </x:c>
      <x:c r="L387" s="2" t="str">
        <x:f>IF(K387="No evaluable","Faltan datos",IF(J387=1,"Magnitud",IF(I387&gt;=$B$8,"Persistencia",IF(G387=1,"Cambio del mes","Sin umbral"))))</x:f>
        <x:v>Sin umbral</x:v>
      </x:c>
      <x:c r="M387" s="2" t="n">
        <x:f>ROW()-40</x:f>
        <x:v>347</x:v>
      </x:c>
    </x:row>
    <x:row r="388" ht="48" customHeight="1">
      <x:c r="A388" s="4" t="n">
        <x:v>45658</x:v>
      </x:c>
      <x:c r="B388" s="32" t="str">
        <x:v>Químicas, caucho, plástico y otros minerales no metálicos</x:v>
      </x:c>
      <x:c r="C388" s="10" t="n">
        <x:f>IF(ISNUMBER('Actividades'!F525),'Actividades'!F525,"n.a.")</x:f>
        <x:v>297.48990860215054</x:v>
      </x:c>
      <x:c r="D388" s="10" t="n">
        <x:f>IF(ISNUMBER('Actividades'!G525),'Actividades'!G525,"n.a.")</x:f>
        <x:v>291.01295161290324</x:v>
      </x:c>
      <x:c r="E388" s="10" t="n">
        <x:f>IF(AND(ISNUMBER(C388),ISNUMBER(D388),C388&gt;=0,D388&gt;0),C388-D388,"n.a.")</x:f>
        <x:v>6.476956989247299</x:v>
      </x:c>
      <x:c r="F388" s="12" t="n">
        <x:f>IF(ISNUMBER(E388),E388/D388,"n.a.")</x:f>
        <x:v>0.022256593575473417</x:v>
      </x:c>
      <x:c r="G388" s="2" t="n">
        <x:f>IF(ISNUMBER(F388),IF(AND(ABS(F388)+0.00000000001&gt;=$B$6,ABS(E388)+0.000000001&gt;=$D$6),1,0),"n.a.")</x:f>
        <x:v>0</x:v>
      </x:c>
      <x:c r="H388" s="2" t="n">
        <x:f>IF(ISNUMBER(E388),SIGN(E388),"n.a.")</x:f>
        <x:v>1</x:v>
      </x:c>
      <x:c r="I388" s="2" t="n">
        <x:f>IF(NOT(ISNUMBER(G388)),"n.a.",IF(G388=0,0,IF(AND(B388=B374,A388=EDATE(A374,1),H388=H374,ISNUMBER(I374)),I374+1,1)))</x:f>
        <x:v>0</x:v>
      </x:c>
      <x:c r="J388" s="2" t="n">
        <x:f>IF(ISNUMBER(F388),IF(AND(ABS(F388)+0.00000000001&gt;=$B$7,ABS(E388)+0.000000001&gt;=$D$7),1,0),"n.a.")</x:f>
        <x:v>0</x:v>
      </x:c>
      <x:c r="K388" s="2" t="str">
        <x:f>IF(NOT(ISNUMBER(F388)),"No evaluable",IF(OR(J388=1,I388&gt;=$B$8),"Prioridad",IF(G388=1,"Observar","Sin umbral")))</x:f>
        <x:v>Sin umbral</x:v>
      </x:c>
      <x:c r="L388" s="2" t="str">
        <x:f>IF(K388="No evaluable","Faltan datos",IF(J388=1,"Magnitud",IF(I388&gt;=$B$8,"Persistencia",IF(G388=1,"Cambio del mes","Sin umbral"))))</x:f>
        <x:v>Sin umbral</x:v>
      </x:c>
      <x:c r="M388" s="2" t="n">
        <x:f>ROW()-40</x:f>
        <x:v>348</x:v>
      </x:c>
    </x:row>
    <x:row r="389" ht="48" customHeight="1">
      <x:c r="A389" s="4" t="n">
        <x:v>45658</x:v>
      </x:c>
      <x:c r="B389" s="32" t="str">
        <x:v>Extracción de minerales</x:v>
      </x:c>
      <x:c r="C389" s="10" t="n">
        <x:f>IF(ISNUMBER('Actividades'!F526),'Actividades'!F526,"n.a.")</x:f>
        <x:v>23.10956451612903</x:v>
      </x:c>
      <x:c r="D389" s="10" t="n">
        <x:f>IF(ISNUMBER('Actividades'!G526),'Actividades'!G526,"n.a.")</x:f>
        <x:v>20.743166666666667</x:v>
      </x:c>
      <x:c r="E389" s="10" t="n">
        <x:f>IF(AND(ISNUMBER(C389),ISNUMBER(D389),C389&gt;=0,D389&gt;0),C389-D389,"n.a.")</x:f>
        <x:v>2.3663978494623628</x:v>
      </x:c>
      <x:c r="F389" s="12" t="n">
        <x:f>IF(ISNUMBER(E389),E389/D389,"n.a.")</x:f>
        <x:v>0.11408083864384397</x:v>
      </x:c>
      <x:c r="G389" s="2" t="n">
        <x:f>IF(ISNUMBER(F389),IF(AND(ABS(F389)+0.00000000001&gt;=$B$6,ABS(E389)+0.000000001&gt;=$D$6),1,0),"n.a.")</x:f>
        <x:v>0</x:v>
      </x:c>
      <x:c r="H389" s="2" t="n">
        <x:f>IF(ISNUMBER(E389),SIGN(E389),"n.a.")</x:f>
        <x:v>1</x:v>
      </x:c>
      <x:c r="I389" s="2" t="n">
        <x:f>IF(NOT(ISNUMBER(G389)),"n.a.",IF(G389=0,0,IF(AND(B389=B375,A389=EDATE(A375,1),H389=H375,ISNUMBER(I375)),I375+1,1)))</x:f>
        <x:v>0</x:v>
      </x:c>
      <x:c r="J389" s="2" t="n">
        <x:f>IF(ISNUMBER(F389),IF(AND(ABS(F389)+0.00000000001&gt;=$B$7,ABS(E389)+0.000000001&gt;=$D$7),1,0),"n.a.")</x:f>
        <x:v>0</x:v>
      </x:c>
      <x:c r="K389" s="2" t="str">
        <x:f>IF(NOT(ISNUMBER(F389)),"No evaluable",IF(OR(J389=1,I389&gt;=$B$8),"Prioridad",IF(G389=1,"Observar","Sin umbral")))</x:f>
        <x:v>Sin umbral</x:v>
      </x:c>
      <x:c r="L389" s="2" t="str">
        <x:f>IF(K389="No evaluable","Faltan datos",IF(J389=1,"Magnitud",IF(I389&gt;=$B$8,"Persistencia",IF(G389=1,"Cambio del mes","Sin umbral"))))</x:f>
        <x:v>Sin umbral</x:v>
      </x:c>
      <x:c r="M389" s="2" t="n">
        <x:f>ROW()-40</x:f>
        <x:v>349</x:v>
      </x:c>
    </x:row>
    <x:row r="390" ht="48" customHeight="1">
      <x:c r="A390" s="4" t="n">
        <x:v>45658</x:v>
      </x:c>
      <x:c r="B390" s="32" t="str">
        <x:v>Extracción de petróleo</x:v>
      </x:c>
      <x:c r="C390" s="10" t="n">
        <x:f>IF(ISNUMBER('Actividades'!F527),'Actividades'!F527,"n.a.")</x:f>
        <x:v>143.25937365591398</x:v>
      </x:c>
      <x:c r="D390" s="10" t="n">
        <x:f>IF(ISNUMBER('Actividades'!G527),'Actividades'!G527,"n.a.")</x:f>
        <x:v>140.07120833333335</x:v>
      </x:c>
      <x:c r="E390" s="10" t="n">
        <x:f>IF(AND(ISNUMBER(C390),ISNUMBER(D390),C390&gt;=0,D390&gt;0),C390-D390,"n.a.")</x:f>
        <x:v>3.1881653225806303</x:v>
      </x:c>
      <x:c r="F390" s="12" t="n">
        <x:f>IF(ISNUMBER(E390),E390/D390,"n.a.")</x:f>
        <x:v>0.022761032481376325</x:v>
      </x:c>
      <x:c r="G390" s="2" t="n">
        <x:f>IF(ISNUMBER(F390),IF(AND(ABS(F390)+0.00000000001&gt;=$B$6,ABS(E390)+0.000000001&gt;=$D$6),1,0),"n.a.")</x:f>
        <x:v>0</x:v>
      </x:c>
      <x:c r="H390" s="2" t="n">
        <x:f>IF(ISNUMBER(E390),SIGN(E390),"n.a.")</x:f>
        <x:v>1</x:v>
      </x:c>
      <x:c r="I390" s="2" t="n">
        <x:f>IF(NOT(ISNUMBER(G390)),"n.a.",IF(G390=0,0,IF(AND(B390=B376,A390=EDATE(A376,1),H390=H376,ISNUMBER(I376)),I376+1,1)))</x:f>
        <x:v>0</x:v>
      </x:c>
      <x:c r="J390" s="2" t="n">
        <x:f>IF(ISNUMBER(F390),IF(AND(ABS(F390)+0.00000000001&gt;=$B$7,ABS(E390)+0.000000001&gt;=$D$7),1,0),"n.a.")</x:f>
        <x:v>0</x:v>
      </x:c>
      <x:c r="K390" s="2" t="str">
        <x:f>IF(NOT(ISNUMBER(F390)),"No evaluable",IF(OR(J390=1,I390&gt;=$B$8),"Prioridad",IF(G390=1,"Observar","Sin umbral")))</x:f>
        <x:v>Sin umbral</x:v>
      </x:c>
      <x:c r="L390" s="2" t="str">
        <x:f>IF(K390="No evaluable","Faltan datos",IF(J390=1,"Magnitud",IF(I390&gt;=$B$8,"Persistencia",IF(G390=1,"Cambio del mes","Sin umbral"))))</x:f>
        <x:v>Sin umbral</x:v>
      </x:c>
      <x:c r="M390" s="2" t="n">
        <x:f>ROW()-40</x:f>
        <x:v>350</x:v>
      </x:c>
    </x:row>
    <x:row r="391" ht="48" customHeight="1">
      <x:c r="A391" s="4" t="n">
        <x:v>45689</x:v>
      </x:c>
      <x:c r="B391" s="32" t="str">
        <x:v>Cargas y puertos</x:v>
      </x:c>
      <x:c r="C391" s="10" t="n">
        <x:f>IF(ISNUMBER('Actividades'!F528),'Actividades'!F528,"n.a.")</x:f>
        <x:v>12.233723214285714</x:v>
      </x:c>
      <x:c r="D391" s="10" t="n">
        <x:f>IF(ISNUMBER('Actividades'!G528),'Actividades'!G528,"n.a.")</x:f>
        <x:v>12.43189511494253</x:v>
      </x:c>
      <x:c r="E391" s="10" t="n">
        <x:f>IF(AND(ISNUMBER(C391),ISNUMBER(D391),C391&gt;=0,D391&gt;0),C391-D391,"n.a.")</x:f>
        <x:v>-0.19817190065681523</x:v>
      </x:c>
      <x:c r="F391" s="12" t="n">
        <x:f>IF(ISNUMBER(E391),E391/D391,"n.a.")</x:f>
        <x:v>-0.01594060268563739</x:v>
      </x:c>
      <x:c r="G391" s="2" t="n">
        <x:f>IF(ISNUMBER(F391),IF(AND(ABS(F391)+0.00000000001&gt;=$B$6,ABS(E391)+0.000000001&gt;=$D$6),1,0),"n.a.")</x:f>
        <x:v>0</x:v>
      </x:c>
      <x:c r="H391" s="2" t="n">
        <x:f>IF(ISNUMBER(E391),SIGN(E391),"n.a.")</x:f>
        <x:v>-1</x:v>
      </x:c>
      <x:c r="I391" s="2" t="n">
        <x:f>IF(NOT(ISNUMBER(G391)),"n.a.",IF(G391=0,0,IF(AND(B391=B377,A391=EDATE(A377,1),H391=H377,ISNUMBER(I377)),I377+1,1)))</x:f>
        <x:v>0</x:v>
      </x:c>
      <x:c r="J391" s="2" t="n">
        <x:f>IF(ISNUMBER(F391),IF(AND(ABS(F391)+0.00000000001&gt;=$B$7,ABS(E391)+0.000000001&gt;=$D$7),1,0),"n.a.")</x:f>
        <x:v>0</x:v>
      </x:c>
      <x:c r="K391" s="2" t="str">
        <x:f>IF(NOT(ISNUMBER(F391)),"No evaluable",IF(OR(J391=1,I391&gt;=$B$8),"Prioridad",IF(G391=1,"Observar","Sin umbral")))</x:f>
        <x:v>Sin umbral</x:v>
      </x:c>
      <x:c r="L391" s="2" t="str">
        <x:f>IF(K391="No evaluable","Faltan datos",IF(J391=1,"Magnitud",IF(I391&gt;=$B$8,"Persistencia",IF(G391=1,"Cambio del mes","Sin umbral"))))</x:f>
        <x:v>Sin umbral</x:v>
      </x:c>
      <x:c r="M391" s="2" t="n">
        <x:f>ROW()-40</x:f>
        <x:v>351</x:v>
      </x:c>
    </x:row>
    <x:row r="392" ht="48" customHeight="1">
      <x:c r="A392" s="4" t="n">
        <x:v>45689</x:v>
      </x:c>
      <x:c r="B392" s="32" t="str">
        <x:v>Comercio y servicios: principalmente supermercados y centros comerciales</x:v>
      </x:c>
      <x:c r="C392" s="10" t="n">
        <x:f>IF(ISNUMBER('Actividades'!F529),'Actividades'!F529,"n.a.")</x:f>
        <x:v>56.55740029761905</x:v>
      </x:c>
      <x:c r="D392" s="10" t="n">
        <x:f>IF(ISNUMBER('Actividades'!G529),'Actividades'!G529,"n.a.")</x:f>
        <x:v>43.13083045977011</x:v>
      </x:c>
      <x:c r="E392" s="10" t="n">
        <x:f>IF(AND(ISNUMBER(C392),ISNUMBER(D392),C392&gt;=0,D392&gt;0),C392-D392,"n.a.")</x:f>
        <x:v>13.426569837848938</x:v>
      </x:c>
      <x:c r="F392" s="12" t="n">
        <x:f>IF(ISNUMBER(E392),E392/D392,"n.a.")</x:f>
        <x:v>0.311298662574384</x:v>
      </x:c>
      <x:c r="G392" s="2" t="n">
        <x:f>IF(ISNUMBER(F392),IF(AND(ABS(F392)+0.00000000001&gt;=$B$6,ABS(E392)+0.000000001&gt;=$D$6),1,0),"n.a.")</x:f>
        <x:v>1</x:v>
      </x:c>
      <x:c r="H392" s="2" t="n">
        <x:f>IF(ISNUMBER(E392),SIGN(E392),"n.a.")</x:f>
        <x:v>1</x:v>
      </x:c>
      <x:c r="I392" s="2" t="n">
        <x:f>IF(NOT(ISNUMBER(G392)),"n.a.",IF(G392=0,0,IF(AND(B392=B378,A392=EDATE(A378,1),H392=H378,ISNUMBER(I378)),I378+1,1)))</x:f>
        <x:v>5</x:v>
      </x:c>
      <x:c r="J392" s="2" t="n">
        <x:f>IF(ISNUMBER(F392),IF(AND(ABS(F392)+0.00000000001&gt;=$B$7,ABS(E392)+0.000000001&gt;=$D$7),1,0),"n.a.")</x:f>
        <x:v>1</x:v>
      </x:c>
      <x:c r="K392" s="2" t="str">
        <x:f>IF(NOT(ISNUMBER(F392)),"No evaluable",IF(OR(J392=1,I392&gt;=$B$8),"Prioridad",IF(G392=1,"Observar","Sin umbral")))</x:f>
        <x:v>Prioridad</x:v>
      </x:c>
      <x:c r="L392" s="2" t="str">
        <x:f>IF(K392="No evaluable","Faltan datos",IF(J392=1,"Magnitud",IF(I392&gt;=$B$8,"Persistencia",IF(G392=1,"Cambio del mes","Sin umbral"))))</x:f>
        <x:v>Magnitud</x:v>
      </x:c>
      <x:c r="M392" s="2" t="n">
        <x:f>ROW()-40</x:f>
        <x:v>352</x:v>
      </x:c>
    </x:row>
    <x:row r="393" ht="48" customHeight="1">
      <x:c r="A393" s="4" t="n">
        <x:v>45689</x:v>
      </x:c>
      <x:c r="B393" s="32" t="str">
        <x:v>Alimentación y artículos de consumo masivo</x:v>
      </x:c>
      <x:c r="C393" s="10" t="n">
        <x:f>IF(ISNUMBER('Actividades'!F530),'Actividades'!F530,"n.a.")</x:f>
        <x:v>298.95351488095235</x:v>
      </x:c>
      <x:c r="D393" s="10" t="n">
        <x:f>IF(ISNUMBER('Actividades'!G530),'Actividades'!G530,"n.a.")</x:f>
        <x:v>276.799716954023</x:v>
      </x:c>
      <x:c r="E393" s="10" t="n">
        <x:f>IF(AND(ISNUMBER(C393),ISNUMBER(D393),C393&gt;=0,D393&gt;0),C393-D393,"n.a.")</x:f>
        <x:v>22.15379792692937</x:v>
      </x:c>
      <x:c r="F393" s="12" t="n">
        <x:f>IF(ISNUMBER(E393),E393/D393,"n.a.")</x:f>
        <x:v>0.08003547897633567</x:v>
      </x:c>
      <x:c r="G393" s="2" t="n">
        <x:f>IF(ISNUMBER(F393),IF(AND(ABS(F393)+0.00000000001&gt;=$B$6,ABS(E393)+0.000000001&gt;=$D$6),1,0),"n.a.")</x:f>
        <x:v>0</x:v>
      </x:c>
      <x:c r="H393" s="2" t="n">
        <x:f>IF(ISNUMBER(E393),SIGN(E393),"n.a.")</x:f>
        <x:v>1</x:v>
      </x:c>
      <x:c r="I393" s="2" t="n">
        <x:f>IF(NOT(ISNUMBER(G393)),"n.a.",IF(G393=0,0,IF(AND(B393=B379,A393=EDATE(A379,1),H393=H379,ISNUMBER(I379)),I379+1,1)))</x:f>
        <x:v>0</x:v>
      </x:c>
      <x:c r="J393" s="2" t="n">
        <x:f>IF(ISNUMBER(F393),IF(AND(ABS(F393)+0.00000000001&gt;=$B$7,ABS(E393)+0.000000001&gt;=$D$7),1,0),"n.a.")</x:f>
        <x:v>0</x:v>
      </x:c>
      <x:c r="K393" s="2" t="str">
        <x:f>IF(NOT(ISNUMBER(F393)),"No evaluable",IF(OR(J393=1,I393&gt;=$B$8),"Prioridad",IF(G393=1,"Observar","Sin umbral")))</x:f>
        <x:v>Sin umbral</x:v>
      </x:c>
      <x:c r="L393" s="2" t="str">
        <x:f>IF(K393="No evaluable","Faltan datos",IF(J393=1,"Magnitud",IF(I393&gt;=$B$8,"Persistencia",IF(G393=1,"Cambio del mes","Sin umbral"))))</x:f>
        <x:v>Sin umbral</x:v>
      </x:c>
      <x:c r="M393" s="2" t="n">
        <x:f>ROW()-40</x:f>
        <x:v>353</x:v>
      </x:c>
    </x:row>
    <x:row r="394" ht="48" customHeight="1">
      <x:c r="A394" s="4" t="n">
        <x:v>45689</x:v>
      </x:c>
      <x:c r="B394" s="32" t="str">
        <x:v>Servicios públicos y transporte: agua y transporte en GBA</x:v>
      </x:c>
      <x:c r="C394" s="10" t="n">
        <x:f>IF(ISNUMBER('Actividades'!F531),'Actividades'!F531,"n.a.")</x:f>
        <x:v>76.89878422619049</x:v>
      </x:c>
      <x:c r="D394" s="10" t="n">
        <x:f>IF(ISNUMBER('Actividades'!G531),'Actividades'!G531,"n.a.")</x:f>
        <x:v>87.10254310344828</x:v>
      </x:c>
      <x:c r="E394" s="10" t="n">
        <x:f>IF(AND(ISNUMBER(C394),ISNUMBER(D394),C394&gt;=0,D394&gt;0),C394-D394,"n.a.")</x:f>
        <x:v>-10.203758877257798</x:v>
      </x:c>
      <x:c r="F394" s="12" t="n">
        <x:f>IF(ISNUMBER(E394),E394/D394,"n.a.")</x:f>
        <x:v>-0.11714650931763487</x:v>
      </x:c>
      <x:c r="G394" s="2" t="n">
        <x:f>IF(ISNUMBER(F394),IF(AND(ABS(F394)+0.00000000001&gt;=$B$6,ABS(E394)+0.000000001&gt;=$D$6),1,0),"n.a.")</x:f>
        <x:v>1</x:v>
      </x:c>
      <x:c r="H394" s="2" t="n">
        <x:f>IF(ISNUMBER(E394),SIGN(E394),"n.a.")</x:f>
        <x:v>-1</x:v>
      </x:c>
      <x:c r="I394" s="2" t="n">
        <x:f>IF(NOT(ISNUMBER(G394)),"n.a.",IF(G394=0,0,IF(AND(B394=B380,A394=EDATE(A380,1),H394=H380,ISNUMBER(I380)),I380+1,1)))</x:f>
        <x:v>5</x:v>
      </x:c>
      <x:c r="J394" s="2" t="n">
        <x:f>IF(ISNUMBER(F394),IF(AND(ABS(F394)+0.00000000001&gt;=$B$7,ABS(E394)+0.000000001&gt;=$D$7),1,0),"n.a.")</x:f>
        <x:v>0</x:v>
      </x:c>
      <x:c r="K394" s="2" t="str">
        <x:f>IF(NOT(ISNUMBER(F394)),"No evaluable",IF(OR(J394=1,I394&gt;=$B$8),"Prioridad",IF(G394=1,"Observar","Sin umbral")))</x:f>
        <x:v>Prioridad</x:v>
      </x:c>
      <x:c r="L394" s="2" t="str">
        <x:f>IF(K394="No evaluable","Faltan datos",IF(J394=1,"Magnitud",IF(I394&gt;=$B$8,"Persistencia",IF(G394=1,"Cambio del mes","Sin umbral"))))</x:f>
        <x:v>Persistencia</x:v>
      </x:c>
      <x:c r="M394" s="2" t="n">
        <x:f>ROW()-40</x:f>
        <x:v>354</x:v>
      </x:c>
    </x:row>
    <x:row r="395" ht="48" customHeight="1">
      <x:c r="A395" s="4" t="n">
        <x:v>45689</x:v>
      </x:c>
      <x:c r="B395" s="32" t="str">
        <x:v>Industria automotriz</x:v>
      </x:c>
      <x:c r="C395" s="10" t="n">
        <x:f>IF(ISNUMBER('Actividades'!F532),'Actividades'!F532,"n.a.")</x:f>
        <x:v>47.1398556547619</x:v>
      </x:c>
      <x:c r="D395" s="10" t="n">
        <x:f>IF(ISNUMBER('Actividades'!G532),'Actividades'!G532,"n.a.")</x:f>
        <x:v>43.718198275862065</x:v>
      </x:c>
      <x:c r="E395" s="10" t="n">
        <x:f>IF(AND(ISNUMBER(C395),ISNUMBER(D395),C395&gt;=0,D395&gt;0),C395-D395,"n.a.")</x:f>
        <x:v>3.4216573788998375</x:v>
      </x:c>
      <x:c r="F395" s="12" t="n">
        <x:f>IF(ISNUMBER(E395),E395/D395,"n.a.")</x:f>
        <x:v>0.07826620295075203</x:v>
      </x:c>
      <x:c r="G395" s="2" t="n">
        <x:f>IF(ISNUMBER(F395),IF(AND(ABS(F395)+0.00000000001&gt;=$B$6,ABS(E395)+0.000000001&gt;=$D$6),1,0),"n.a.")</x:f>
        <x:v>0</x:v>
      </x:c>
      <x:c r="H395" s="2" t="n">
        <x:f>IF(ISNUMBER(E395),SIGN(E395),"n.a.")</x:f>
        <x:v>1</x:v>
      </x:c>
      <x:c r="I395" s="2" t="n">
        <x:f>IF(NOT(ISNUMBER(G395)),"n.a.",IF(G395=0,0,IF(AND(B395=B381,A395=EDATE(A381,1),H395=H381,ISNUMBER(I381)),I381+1,1)))</x:f>
        <x:v>0</x:v>
      </x:c>
      <x:c r="J395" s="2" t="n">
        <x:f>IF(ISNUMBER(F395),IF(AND(ABS(F395)+0.00000000001&gt;=$B$7,ABS(E395)+0.000000001&gt;=$D$7),1,0),"n.a.")</x:f>
        <x:v>0</x:v>
      </x:c>
      <x:c r="K395" s="2" t="str">
        <x:f>IF(NOT(ISNUMBER(F395)),"No evaluable",IF(OR(J395=1,I395&gt;=$B$8),"Prioridad",IF(G395=1,"Observar","Sin umbral")))</x:f>
        <x:v>Sin umbral</x:v>
      </x:c>
      <x:c r="L395" s="2" t="str">
        <x:f>IF(K395="No evaluable","Faltan datos",IF(J395=1,"Magnitud",IF(I395&gt;=$B$8,"Persistencia",IF(G395=1,"Cambio del mes","Sin umbral"))))</x:f>
        <x:v>Sin umbral</x:v>
      </x:c>
      <x:c r="M395" s="2" t="n">
        <x:f>ROW()-40</x:f>
        <x:v>355</x:v>
      </x:c>
    </x:row>
    <x:row r="396" ht="48" customHeight="1">
      <x:c r="A396" s="4" t="n">
        <x:v>45689</x:v>
      </x:c>
      <x:c r="B396" s="32" t="str">
        <x:v>Derivados de petróleo</x:v>
      </x:c>
      <x:c r="C396" s="10" t="n">
        <x:f>IF(ISNUMBER('Actividades'!F533),'Actividades'!F533,"n.a.")</x:f>
        <x:v>149.34415773809522</x:v>
      </x:c>
      <x:c r="D396" s="10" t="n">
        <x:f>IF(ISNUMBER('Actividades'!G533),'Actividades'!G533,"n.a.")</x:f>
        <x:v>151.13160344827585</x:v>
      </x:c>
      <x:c r="E396" s="10" t="n">
        <x:f>IF(AND(ISNUMBER(C396),ISNUMBER(D396),C396&gt;=0,D396&gt;0),C396-D396,"n.a.")</x:f>
        <x:v>-1.7874457101806343</x:v>
      </x:c>
      <x:c r="F396" s="12" t="n">
        <x:f>IF(ISNUMBER(E396),E396/D396,"n.a.")</x:f>
        <x:v>-0.01182708096385929</x:v>
      </x:c>
      <x:c r="G396" s="2" t="n">
        <x:f>IF(ISNUMBER(F396),IF(AND(ABS(F396)+0.00000000001&gt;=$B$6,ABS(E396)+0.000000001&gt;=$D$6),1,0),"n.a.")</x:f>
        <x:v>0</x:v>
      </x:c>
      <x:c r="H396" s="2" t="n">
        <x:f>IF(ISNUMBER(E396),SIGN(E396),"n.a.")</x:f>
        <x:v>-1</x:v>
      </x:c>
      <x:c r="I396" s="2" t="n">
        <x:f>IF(NOT(ISNUMBER(G396)),"n.a.",IF(G396=0,0,IF(AND(B396=B382,A396=EDATE(A382,1),H396=H382,ISNUMBER(I382)),I382+1,1)))</x:f>
        <x:v>0</x:v>
      </x:c>
      <x:c r="J396" s="2" t="n">
        <x:f>IF(ISNUMBER(F396),IF(AND(ABS(F396)+0.00000000001&gt;=$B$7,ABS(E396)+0.000000001&gt;=$D$7),1,0),"n.a.")</x:f>
        <x:v>0</x:v>
      </x:c>
      <x:c r="K396" s="2" t="str">
        <x:f>IF(NOT(ISNUMBER(F396)),"No evaluable",IF(OR(J396=1,I396&gt;=$B$8),"Prioridad",IF(G396=1,"Observar","Sin umbral")))</x:f>
        <x:v>Sin umbral</x:v>
      </x:c>
      <x:c r="L396" s="2" t="str">
        <x:f>IF(K396="No evaluable","Faltan datos",IF(J396=1,"Magnitud",IF(I396&gt;=$B$8,"Persistencia",IF(G396=1,"Cambio del mes","Sin umbral"))))</x:f>
        <x:v>Sin umbral</x:v>
      </x:c>
      <x:c r="M396" s="2" t="n">
        <x:f>ROW()-40</x:f>
        <x:v>356</x:v>
      </x:c>
    </x:row>
    <x:row r="397" ht="48" customHeight="1">
      <x:c r="A397" s="4" t="n">
        <x:v>45689</x:v>
      </x:c>
      <x:c r="B397" s="32" t="str">
        <x:v>Construcción: elaboración de cemento y canteras</x:v>
      </x:c>
      <x:c r="C397" s="10" t="n">
        <x:f>IF(ISNUMBER('Actividades'!F534),'Actividades'!F534,"n.a.")</x:f>
        <x:v>160.91916964285716</x:v>
      </x:c>
      <x:c r="D397" s="10" t="n">
        <x:f>IF(ISNUMBER('Actividades'!G534),'Actividades'!G534,"n.a.")</x:f>
        <x:v>151.32458333333335</x:v>
      </x:c>
      <x:c r="E397" s="10" t="n">
        <x:f>IF(AND(ISNUMBER(C397),ISNUMBER(D397),C397&gt;=0,D397&gt;0),C397-D397,"n.a.")</x:f>
        <x:v>9.594586309523805</x:v>
      </x:c>
      <x:c r="F397" s="12" t="n">
        <x:f>IF(ISNUMBER(E397),E397/D397,"n.a.")</x:f>
        <x:v>0.06340401604403649</x:v>
      </x:c>
      <x:c r="G397" s="2" t="n">
        <x:f>IF(ISNUMBER(F397),IF(AND(ABS(F397)+0.00000000001&gt;=$B$6,ABS(E397)+0.000000001&gt;=$D$6),1,0),"n.a.")</x:f>
        <x:v>0</x:v>
      </x:c>
      <x:c r="H397" s="2" t="n">
        <x:f>IF(ISNUMBER(E397),SIGN(E397),"n.a.")</x:f>
        <x:v>1</x:v>
      </x:c>
      <x:c r="I397" s="2" t="n">
        <x:f>IF(NOT(ISNUMBER(G397)),"n.a.",IF(G397=0,0,IF(AND(B397=B383,A397=EDATE(A383,1),H397=H383,ISNUMBER(I383)),I383+1,1)))</x:f>
        <x:v>0</x:v>
      </x:c>
      <x:c r="J397" s="2" t="n">
        <x:f>IF(ISNUMBER(F397),IF(AND(ABS(F397)+0.00000000001&gt;=$B$7,ABS(E397)+0.000000001&gt;=$D$7),1,0),"n.a.")</x:f>
        <x:v>0</x:v>
      </x:c>
      <x:c r="K397" s="2" t="str">
        <x:f>IF(NOT(ISNUMBER(F397)),"No evaluable",IF(OR(J397=1,I397&gt;=$B$8),"Prioridad",IF(G397=1,"Observar","Sin umbral")))</x:f>
        <x:v>Sin umbral</x:v>
      </x:c>
      <x:c r="L397" s="2" t="str">
        <x:f>IF(K397="No evaluable","Faltan datos",IF(J397=1,"Magnitud",IF(I397&gt;=$B$8,"Persistencia",IF(G397=1,"Cambio del mes","Sin umbral"))))</x:f>
        <x:v>Sin umbral</x:v>
      </x:c>
      <x:c r="M397" s="2" t="n">
        <x:f>ROW()-40</x:f>
        <x:v>357</x:v>
      </x:c>
    </x:row>
    <x:row r="398" ht="48" customHeight="1">
      <x:c r="A398" s="4" t="n">
        <x:v>45689</x:v>
      </x:c>
      <x:c r="B398" s="32" t="str">
        <x:v>Madera y papel</x:v>
      </x:c>
      <x:c r="C398" s="10" t="n">
        <x:f>IF(ISNUMBER('Actividades'!F535),'Actividades'!F535,"n.a.")</x:f>
        <x:v>103.7036398809524</x:v>
      </x:c>
      <x:c r="D398" s="10" t="n">
        <x:f>IF(ISNUMBER('Actividades'!G535),'Actividades'!G535,"n.a.")</x:f>
        <x:v>105.27016522988505</x:v>
      </x:c>
      <x:c r="E398" s="10" t="n">
        <x:f>IF(AND(ISNUMBER(C398),ISNUMBER(D398),C398&gt;=0,D398&gt;0),C398-D398,"n.a.")</x:f>
        <x:v>-1.5665253489326574</x:v>
      </x:c>
      <x:c r="F398" s="12" t="n">
        <x:f>IF(ISNUMBER(E398),E398/D398,"n.a.")</x:f>
        <x:v>-0.01488100019138127</x:v>
      </x:c>
      <x:c r="G398" s="2" t="n">
        <x:f>IF(ISNUMBER(F398),IF(AND(ABS(F398)+0.00000000001&gt;=$B$6,ABS(E398)+0.000000001&gt;=$D$6),1,0),"n.a.")</x:f>
        <x:v>0</x:v>
      </x:c>
      <x:c r="H398" s="2" t="n">
        <x:f>IF(ISNUMBER(E398),SIGN(E398),"n.a.")</x:f>
        <x:v>-1</x:v>
      </x:c>
      <x:c r="I398" s="2" t="n">
        <x:f>IF(NOT(ISNUMBER(G398)),"n.a.",IF(G398=0,0,IF(AND(B398=B384,A398=EDATE(A384,1),H398=H384,ISNUMBER(I384)),I384+1,1)))</x:f>
        <x:v>0</x:v>
      </x:c>
      <x:c r="J398" s="2" t="n">
        <x:f>IF(ISNUMBER(F398),IF(AND(ABS(F398)+0.00000000001&gt;=$B$7,ABS(E398)+0.000000001&gt;=$D$7),1,0),"n.a.")</x:f>
        <x:v>0</x:v>
      </x:c>
      <x:c r="K398" s="2" t="str">
        <x:f>IF(NOT(ISNUMBER(F398)),"No evaluable",IF(OR(J398=1,I398&gt;=$B$8),"Prioridad",IF(G398=1,"Observar","Sin umbral")))</x:f>
        <x:v>Sin umbral</x:v>
      </x:c>
      <x:c r="L398" s="2" t="str">
        <x:f>IF(K398="No evaluable","Faltan datos",IF(J398=1,"Magnitud",IF(I398&gt;=$B$8,"Persistencia",IF(G398=1,"Cambio del mes","Sin umbral"))))</x:f>
        <x:v>Sin umbral</x:v>
      </x:c>
      <x:c r="M398" s="2" t="n">
        <x:f>ROW()-40</x:f>
        <x:v>358</x:v>
      </x:c>
    </x:row>
    <x:row r="399" ht="48" customHeight="1">
      <x:c r="A399" s="4" t="n">
        <x:v>45689</x:v>
      </x:c>
      <x:c r="B399" s="32" t="str">
        <x:v>Productos metálicos no automotores</x:v>
      </x:c>
      <x:c r="C399" s="10" t="n">
        <x:f>IF(ISNUMBER('Actividades'!F536),'Actividades'!F536,"n.a.")</x:f>
        <x:v>42.02423363095238</x:v>
      </x:c>
      <x:c r="D399" s="10" t="n">
        <x:f>IF(ISNUMBER('Actividades'!G536),'Actividades'!G536,"n.a.")</x:f>
        <x:v>41.61290373563218</x:v>
      </x:c>
      <x:c r="E399" s="10" t="n">
        <x:f>IF(AND(ISNUMBER(C399),ISNUMBER(D399),C399&gt;=0,D399&gt;0),C399-D399,"n.a.")</x:f>
        <x:v>0.4113298953202005</x:v>
      </x:c>
      <x:c r="F399" s="12" t="n">
        <x:f>IF(ISNUMBER(E399),E399/D399,"n.a.")</x:f>
        <x:v>0.009884671781940276</x:v>
      </x:c>
      <x:c r="G399" s="2" t="n">
        <x:f>IF(ISNUMBER(F399),IF(AND(ABS(F399)+0.00000000001&gt;=$B$6,ABS(E399)+0.000000001&gt;=$D$6),1,0),"n.a.")</x:f>
        <x:v>0</x:v>
      </x:c>
      <x:c r="H399" s="2" t="n">
        <x:f>IF(ISNUMBER(E399),SIGN(E399),"n.a.")</x:f>
        <x:v>1</x:v>
      </x:c>
      <x:c r="I399" s="2" t="n">
        <x:f>IF(NOT(ISNUMBER(G399)),"n.a.",IF(G399=0,0,IF(AND(B399=B385,A399=EDATE(A385,1),H399=H385,ISNUMBER(I385)),I385+1,1)))</x:f>
        <x:v>0</x:v>
      </x:c>
      <x:c r="J399" s="2" t="n">
        <x:f>IF(ISNUMBER(F399),IF(AND(ABS(F399)+0.00000000001&gt;=$B$7,ABS(E399)+0.000000001&gt;=$D$7),1,0),"n.a.")</x:f>
        <x:v>0</x:v>
      </x:c>
      <x:c r="K399" s="2" t="str">
        <x:f>IF(NOT(ISNUMBER(F399)),"No evaluable",IF(OR(J399=1,I399&gt;=$B$8),"Prioridad",IF(G399=1,"Observar","Sin umbral")))</x:f>
        <x:v>Sin umbral</x:v>
      </x:c>
      <x:c r="L399" s="2" t="str">
        <x:f>IF(K399="No evaluable","Faltan datos",IF(J399=1,"Magnitud",IF(I399&gt;=$B$8,"Persistencia",IF(G399=1,"Cambio del mes","Sin umbral"))))</x:f>
        <x:v>Sin umbral</x:v>
      </x:c>
      <x:c r="M399" s="2" t="n">
        <x:f>ROW()-40</x:f>
        <x:v>359</x:v>
      </x:c>
    </x:row>
    <x:row r="400" ht="48" customHeight="1">
      <x:c r="A400" s="4" t="n">
        <x:v>45689</x:v>
      </x:c>
      <x:c r="B400" s="32" t="str">
        <x:v>Gran siderurgia</x:v>
      </x:c>
      <x:c r="C400" s="10" t="n">
        <x:f>IF(ISNUMBER('Actividades'!F537),'Actividades'!F537,"n.a.")</x:f>
        <x:v>260.64379761904763</x:v>
      </x:c>
      <x:c r="D400" s="10" t="n">
        <x:f>IF(ISNUMBER('Actividades'!G537),'Actividades'!G537,"n.a.")</x:f>
        <x:v>244.07468390804598</x:v>
      </x:c>
      <x:c r="E400" s="10" t="n">
        <x:f>IF(AND(ISNUMBER(C400),ISNUMBER(D400),C400&gt;=0,D400&gt;0),C400-D400,"n.a.")</x:f>
        <x:v>16.56911371100165</x:v>
      </x:c>
      <x:c r="F400" s="12" t="n">
        <x:f>IF(ISNUMBER(E400),E400/D400,"n.a.")</x:f>
        <x:v>0.06788542525468962</x:v>
      </x:c>
      <x:c r="G400" s="2" t="n">
        <x:f>IF(ISNUMBER(F400),IF(AND(ABS(F400)+0.00000000001&gt;=$B$6,ABS(E400)+0.000000001&gt;=$D$6),1,0),"n.a.")</x:f>
        <x:v>0</x:v>
      </x:c>
      <x:c r="H400" s="2" t="n">
        <x:f>IF(ISNUMBER(E400),SIGN(E400),"n.a.")</x:f>
        <x:v>1</x:v>
      </x:c>
      <x:c r="I400" s="2" t="n">
        <x:f>IF(NOT(ISNUMBER(G400)),"n.a.",IF(G400=0,0,IF(AND(B400=B386,A400=EDATE(A386,1),H400=H386,ISNUMBER(I386)),I386+1,1)))</x:f>
        <x:v>0</x:v>
      </x:c>
      <x:c r="J400" s="2" t="n">
        <x:f>IF(ISNUMBER(F400),IF(AND(ABS(F400)+0.00000000001&gt;=$B$7,ABS(E400)+0.000000001&gt;=$D$7),1,0),"n.a.")</x:f>
        <x:v>0</x:v>
      </x:c>
      <x:c r="K400" s="2" t="str">
        <x:f>IF(NOT(ISNUMBER(F400)),"No evaluable",IF(OR(J400=1,I400&gt;=$B$8),"Prioridad",IF(G400=1,"Observar","Sin umbral")))</x:f>
        <x:v>Sin umbral</x:v>
      </x:c>
      <x:c r="L400" s="2" t="str">
        <x:f>IF(K400="No evaluable","Faltan datos",IF(J400=1,"Magnitud",IF(I400&gt;=$B$8,"Persistencia",IF(G400=1,"Cambio del mes","Sin umbral"))))</x:f>
        <x:v>Sin umbral</x:v>
      </x:c>
      <x:c r="M400" s="2" t="n">
        <x:f>ROW()-40</x:f>
        <x:v>360</x:v>
      </x:c>
    </x:row>
    <x:row r="401" ht="48" customHeight="1">
      <x:c r="A401" s="4" t="n">
        <x:v>45689</x:v>
      </x:c>
      <x:c r="B401" s="32" t="str">
        <x:v>Industria textil</x:v>
      </x:c>
      <x:c r="C401" s="10" t="n">
        <x:f>IF(ISNUMBER('Actividades'!F538),'Actividades'!F538,"n.a.")</x:f>
        <x:v>59.01992857142857</x:v>
      </x:c>
      <x:c r="D401" s="10" t="n">
        <x:f>IF(ISNUMBER('Actividades'!G538),'Actividades'!G538,"n.a.")</x:f>
        <x:v>61.237347701149424</x:v>
      </x:c>
      <x:c r="E401" s="10" t="n">
        <x:f>IF(AND(ISNUMBER(C401),ISNUMBER(D401),C401&gt;=0,D401&gt;0),C401-D401,"n.a.")</x:f>
        <x:v>-2.2174191297208523</x:v>
      </x:c>
      <x:c r="F401" s="12" t="n">
        <x:f>IF(ISNUMBER(E401),E401/D401,"n.a.")</x:f>
        <x:v>-0.036210241183898165</x:v>
      </x:c>
      <x:c r="G401" s="2" t="n">
        <x:f>IF(ISNUMBER(F401),IF(AND(ABS(F401)+0.00000000001&gt;=$B$6,ABS(E401)+0.000000001&gt;=$D$6),1,0),"n.a.")</x:f>
        <x:v>0</x:v>
      </x:c>
      <x:c r="H401" s="2" t="n">
        <x:f>IF(ISNUMBER(E401),SIGN(E401),"n.a.")</x:f>
        <x:v>-1</x:v>
      </x:c>
      <x:c r="I401" s="2" t="n">
        <x:f>IF(NOT(ISNUMBER(G401)),"n.a.",IF(G401=0,0,IF(AND(B401=B387,A401=EDATE(A387,1),H401=H387,ISNUMBER(I387)),I387+1,1)))</x:f>
        <x:v>0</x:v>
      </x:c>
      <x:c r="J401" s="2" t="n">
        <x:f>IF(ISNUMBER(F401),IF(AND(ABS(F401)+0.00000000001&gt;=$B$7,ABS(E401)+0.000000001&gt;=$D$7),1,0),"n.a.")</x:f>
        <x:v>0</x:v>
      </x:c>
      <x:c r="K401" s="2" t="str">
        <x:f>IF(NOT(ISNUMBER(F401)),"No evaluable",IF(OR(J401=1,I401&gt;=$B$8),"Prioridad",IF(G401=1,"Observar","Sin umbral")))</x:f>
        <x:v>Sin umbral</x:v>
      </x:c>
      <x:c r="L401" s="2" t="str">
        <x:f>IF(K401="No evaluable","Faltan datos",IF(J401=1,"Magnitud",IF(I401&gt;=$B$8,"Persistencia",IF(G401=1,"Cambio del mes","Sin umbral"))))</x:f>
        <x:v>Sin umbral</x:v>
      </x:c>
      <x:c r="M401" s="2" t="n">
        <x:f>ROW()-40</x:f>
        <x:v>361</x:v>
      </x:c>
    </x:row>
    <x:row r="402" ht="48" customHeight="1">
      <x:c r="A402" s="4" t="n">
        <x:v>45689</x:v>
      </x:c>
      <x:c r="B402" s="32" t="str">
        <x:v>Químicas, caucho, plástico y otros minerales no metálicos</x:v>
      </x:c>
      <x:c r="C402" s="10" t="n">
        <x:f>IF(ISNUMBER('Actividades'!F539),'Actividades'!F539,"n.a.")</x:f>
        <x:v>337.19717857142854</x:v>
      </x:c>
      <x:c r="D402" s="10" t="n">
        <x:f>IF(ISNUMBER('Actividades'!G539),'Actividades'!G539,"n.a.")</x:f>
        <x:v>340.6984310344827</x:v>
      </x:c>
      <x:c r="E402" s="10" t="n">
        <x:f>IF(AND(ISNUMBER(C402),ISNUMBER(D402),C402&gt;=0,D402&gt;0),C402-D402,"n.a.")</x:f>
        <x:v>-3.501252463054186</x:v>
      </x:c>
      <x:c r="F402" s="12" t="n">
        <x:f>IF(ISNUMBER(E402),E402/D402,"n.a.")</x:f>
        <x:v>-0.010276690891775249</x:v>
      </x:c>
      <x:c r="G402" s="2" t="n">
        <x:f>IF(ISNUMBER(F402),IF(AND(ABS(F402)+0.00000000001&gt;=$B$6,ABS(E402)+0.000000001&gt;=$D$6),1,0),"n.a.")</x:f>
        <x:v>0</x:v>
      </x:c>
      <x:c r="H402" s="2" t="n">
        <x:f>IF(ISNUMBER(E402),SIGN(E402),"n.a.")</x:f>
        <x:v>-1</x:v>
      </x:c>
      <x:c r="I402" s="2" t="n">
        <x:f>IF(NOT(ISNUMBER(G402)),"n.a.",IF(G402=0,0,IF(AND(B402=B388,A402=EDATE(A388,1),H402=H388,ISNUMBER(I388)),I388+1,1)))</x:f>
        <x:v>0</x:v>
      </x:c>
      <x:c r="J402" s="2" t="n">
        <x:f>IF(ISNUMBER(F402),IF(AND(ABS(F402)+0.00000000001&gt;=$B$7,ABS(E402)+0.000000001&gt;=$D$7),1,0),"n.a.")</x:f>
        <x:v>0</x:v>
      </x:c>
      <x:c r="K402" s="2" t="str">
        <x:f>IF(NOT(ISNUMBER(F402)),"No evaluable",IF(OR(J402=1,I402&gt;=$B$8),"Prioridad",IF(G402=1,"Observar","Sin umbral")))</x:f>
        <x:v>Sin umbral</x:v>
      </x:c>
      <x:c r="L402" s="2" t="str">
        <x:f>IF(K402="No evaluable","Faltan datos",IF(J402=1,"Magnitud",IF(I402&gt;=$B$8,"Persistencia",IF(G402=1,"Cambio del mes","Sin umbral"))))</x:f>
        <x:v>Sin umbral</x:v>
      </x:c>
      <x:c r="M402" s="2" t="n">
        <x:f>ROW()-40</x:f>
        <x:v>362</x:v>
      </x:c>
    </x:row>
    <x:row r="403" ht="48" customHeight="1">
      <x:c r="A403" s="4" t="n">
        <x:v>45689</x:v>
      </x:c>
      <x:c r="B403" s="32" t="str">
        <x:v>Extracción de minerales</x:v>
      </x:c>
      <x:c r="C403" s="10" t="n">
        <x:f>IF(ISNUMBER('Actividades'!F540),'Actividades'!F540,"n.a.")</x:f>
        <x:v>21.88229910714286</x:v>
      </x:c>
      <x:c r="D403" s="10" t="n">
        <x:f>IF(ISNUMBER('Actividades'!G540),'Actividades'!G540,"n.a.")</x:f>
        <x:v>19.159854885057474</x:v>
      </x:c>
      <x:c r="E403" s="10" t="n">
        <x:f>IF(AND(ISNUMBER(C403),ISNUMBER(D403),C403&gt;=0,D403&gt;0),C403-D403,"n.a.")</x:f>
        <x:v>2.722444222085386</x:v>
      </x:c>
      <x:c r="F403" s="12" t="n">
        <x:f>IF(ISNUMBER(E403),E403/D403,"n.a.")</x:f>
        <x:v>0.14209106689052148</x:v>
      </x:c>
      <x:c r="G403" s="2" t="n">
        <x:f>IF(ISNUMBER(F403),IF(AND(ABS(F403)+0.00000000001&gt;=$B$6,ABS(E403)+0.000000001&gt;=$D$6),1,0),"n.a.")</x:f>
        <x:v>0</x:v>
      </x:c>
      <x:c r="H403" s="2" t="n">
        <x:f>IF(ISNUMBER(E403),SIGN(E403),"n.a.")</x:f>
        <x:v>1</x:v>
      </x:c>
      <x:c r="I403" s="2" t="n">
        <x:f>IF(NOT(ISNUMBER(G403)),"n.a.",IF(G403=0,0,IF(AND(B403=B389,A403=EDATE(A389,1),H403=H389,ISNUMBER(I389)),I389+1,1)))</x:f>
        <x:v>0</x:v>
      </x:c>
      <x:c r="J403" s="2" t="n">
        <x:f>IF(ISNUMBER(F403),IF(AND(ABS(F403)+0.00000000001&gt;=$B$7,ABS(E403)+0.000000001&gt;=$D$7),1,0),"n.a.")</x:f>
        <x:v>0</x:v>
      </x:c>
      <x:c r="K403" s="2" t="str">
        <x:f>IF(NOT(ISNUMBER(F403)),"No evaluable",IF(OR(J403=1,I403&gt;=$B$8),"Prioridad",IF(G403=1,"Observar","Sin umbral")))</x:f>
        <x:v>Sin umbral</x:v>
      </x:c>
      <x:c r="L403" s="2" t="str">
        <x:f>IF(K403="No evaluable","Faltan datos",IF(J403=1,"Magnitud",IF(I403&gt;=$B$8,"Persistencia",IF(G403=1,"Cambio del mes","Sin umbral"))))</x:f>
        <x:v>Sin umbral</x:v>
      </x:c>
      <x:c r="M403" s="2" t="n">
        <x:f>ROW()-40</x:f>
        <x:v>363</x:v>
      </x:c>
    </x:row>
    <x:row r="404" ht="48" customHeight="1">
      <x:c r="A404" s="4" t="n">
        <x:v>45689</x:v>
      </x:c>
      <x:c r="B404" s="32" t="str">
        <x:v>Extracción de petróleo</x:v>
      </x:c>
      <x:c r="C404" s="10" t="n">
        <x:f>IF(ISNUMBER('Actividades'!F541),'Actividades'!F541,"n.a.")</x:f>
        <x:v>138.9379345238095</x:v>
      </x:c>
      <x:c r="D404" s="10" t="n">
        <x:f>IF(ISNUMBER('Actividades'!G541),'Actividades'!G541,"n.a.")</x:f>
        <x:v>139.10344540229886</x:v>
      </x:c>
      <x:c r="E404" s="10" t="n">
        <x:f>IF(AND(ISNUMBER(C404),ISNUMBER(D404),C404&gt;=0,D404&gt;0),C404-D404,"n.a.")</x:f>
        <x:v>-0.16551087848935708</x:v>
      </x:c>
      <x:c r="F404" s="12" t="n">
        <x:f>IF(ISNUMBER(E404),E404/D404,"n.a.")</x:f>
        <x:v>-0.001189840251696755</x:v>
      </x:c>
      <x:c r="G404" s="2" t="n">
        <x:f>IF(ISNUMBER(F404),IF(AND(ABS(F404)+0.00000000001&gt;=$B$6,ABS(E404)+0.000000001&gt;=$D$6),1,0),"n.a.")</x:f>
        <x:v>0</x:v>
      </x:c>
      <x:c r="H404" s="2" t="n">
        <x:f>IF(ISNUMBER(E404),SIGN(E404),"n.a.")</x:f>
        <x:v>-1</x:v>
      </x:c>
      <x:c r="I404" s="2" t="n">
        <x:f>IF(NOT(ISNUMBER(G404)),"n.a.",IF(G404=0,0,IF(AND(B404=B390,A404=EDATE(A390,1),H404=H390,ISNUMBER(I390)),I390+1,1)))</x:f>
        <x:v>0</x:v>
      </x:c>
      <x:c r="J404" s="2" t="n">
        <x:f>IF(ISNUMBER(F404),IF(AND(ABS(F404)+0.00000000001&gt;=$B$7,ABS(E404)+0.000000001&gt;=$D$7),1,0),"n.a.")</x:f>
        <x:v>0</x:v>
      </x:c>
      <x:c r="K404" s="2" t="str">
        <x:f>IF(NOT(ISNUMBER(F404)),"No evaluable",IF(OR(J404=1,I404&gt;=$B$8),"Prioridad",IF(G404=1,"Observar","Sin umbral")))</x:f>
        <x:v>Sin umbral</x:v>
      </x:c>
      <x:c r="L404" s="2" t="str">
        <x:f>IF(K404="No evaluable","Faltan datos",IF(J404=1,"Magnitud",IF(I404&gt;=$B$8,"Persistencia",IF(G404=1,"Cambio del mes","Sin umbral"))))</x:f>
        <x:v>Sin umbral</x:v>
      </x:c>
      <x:c r="M404" s="2" t="n">
        <x:f>ROW()-40</x:f>
        <x:v>364</x:v>
      </x:c>
    </x:row>
    <x:row r="405" ht="48" customHeight="1">
      <x:c r="A405" s="4" t="n">
        <x:v>45717</x:v>
      </x:c>
      <x:c r="B405" s="32" t="str">
        <x:v>Cargas y puertos</x:v>
      </x:c>
      <x:c r="C405" s="10" t="n">
        <x:f>IF(ISNUMBER('Actividades'!F542),'Actividades'!F542,"n.a.")</x:f>
        <x:v>11.341123655913979</x:v>
      </x:c>
      <x:c r="D405" s="10" t="n">
        <x:f>IF(ISNUMBER('Actividades'!G542),'Actividades'!G542,"n.a.")</x:f>
        <x:v>11.240396505376344</x:v>
      </x:c>
      <x:c r="E405" s="10" t="n">
        <x:f>IF(AND(ISNUMBER(C405),ISNUMBER(D405),C405&gt;=0,D405&gt;0),C405-D405,"n.a.")</x:f>
        <x:v>0.10072715053763481</x:v>
      </x:c>
      <x:c r="F405" s="12" t="n">
        <x:f>IF(ISNUMBER(E405),E405/D405,"n.a.")</x:f>
        <x:v>0.008961174144475816</x:v>
      </x:c>
      <x:c r="G405" s="2" t="n">
        <x:f>IF(ISNUMBER(F405),IF(AND(ABS(F405)+0.00000000001&gt;=$B$6,ABS(E405)+0.000000001&gt;=$D$6),1,0),"n.a.")</x:f>
        <x:v>0</x:v>
      </x:c>
      <x:c r="H405" s="2" t="n">
        <x:f>IF(ISNUMBER(E405),SIGN(E405),"n.a.")</x:f>
        <x:v>1</x:v>
      </x:c>
      <x:c r="I405" s="2" t="n">
        <x:f>IF(NOT(ISNUMBER(G405)),"n.a.",IF(G405=0,0,IF(AND(B405=B391,A405=EDATE(A391,1),H405=H391,ISNUMBER(I391)),I391+1,1)))</x:f>
        <x:v>0</x:v>
      </x:c>
      <x:c r="J405" s="2" t="n">
        <x:f>IF(ISNUMBER(F405),IF(AND(ABS(F405)+0.00000000001&gt;=$B$7,ABS(E405)+0.000000001&gt;=$D$7),1,0),"n.a.")</x:f>
        <x:v>0</x:v>
      </x:c>
      <x:c r="K405" s="2" t="str">
        <x:f>IF(NOT(ISNUMBER(F405)),"No evaluable",IF(OR(J405=1,I405&gt;=$B$8),"Prioridad",IF(G405=1,"Observar","Sin umbral")))</x:f>
        <x:v>Sin umbral</x:v>
      </x:c>
      <x:c r="L405" s="2" t="str">
        <x:f>IF(K405="No evaluable","Faltan datos",IF(J405=1,"Magnitud",IF(I405&gt;=$B$8,"Persistencia",IF(G405=1,"Cambio del mes","Sin umbral"))))</x:f>
        <x:v>Sin umbral</x:v>
      </x:c>
      <x:c r="M405" s="2" t="n">
        <x:f>ROW()-40</x:f>
        <x:v>365</x:v>
      </x:c>
    </x:row>
    <x:row r="406" ht="48" customHeight="1">
      <x:c r="A406" s="4" t="n">
        <x:v>45717</x:v>
      </x:c>
      <x:c r="B406" s="32" t="str">
        <x:v>Comercio y servicios: principalmente supermercados y centros comerciales</x:v>
      </x:c>
      <x:c r="C406" s="10" t="n">
        <x:f>IF(ISNUMBER('Actividades'!F543),'Actividades'!F543,"n.a.")</x:f>
        <x:v>50.88724193548387</x:v>
      </x:c>
      <x:c r="D406" s="10" t="n">
        <x:f>IF(ISNUMBER('Actividades'!G543),'Actividades'!G543,"n.a.")</x:f>
        <x:v>39.4878938172043</x:v>
      </x:c>
      <x:c r="E406" s="10" t="n">
        <x:f>IF(AND(ISNUMBER(C406),ISNUMBER(D406),C406&gt;=0,D406&gt;0),C406-D406,"n.a.")</x:f>
        <x:v>11.399348118279569</x:v>
      </x:c>
      <x:c r="F406" s="12" t="n">
        <x:f>IF(ISNUMBER(E406),E406/D406,"n.a.")</x:f>
        <x:v>0.2886795677442041</x:v>
      </x:c>
      <x:c r="G406" s="2" t="n">
        <x:f>IF(ISNUMBER(F406),IF(AND(ABS(F406)+0.00000000001&gt;=$B$6,ABS(E406)+0.000000001&gt;=$D$6),1,0),"n.a.")</x:f>
        <x:v>1</x:v>
      </x:c>
      <x:c r="H406" s="2" t="n">
        <x:f>IF(ISNUMBER(E406),SIGN(E406),"n.a.")</x:f>
        <x:v>1</x:v>
      </x:c>
      <x:c r="I406" s="2" t="n">
        <x:f>IF(NOT(ISNUMBER(G406)),"n.a.",IF(G406=0,0,IF(AND(B406=B392,A406=EDATE(A392,1),H406=H392,ISNUMBER(I392)),I392+1,1)))</x:f>
        <x:v>6</x:v>
      </x:c>
      <x:c r="J406" s="2" t="n">
        <x:f>IF(ISNUMBER(F406),IF(AND(ABS(F406)+0.00000000001&gt;=$B$7,ABS(E406)+0.000000001&gt;=$D$7),1,0),"n.a.")</x:f>
        <x:v>1</x:v>
      </x:c>
      <x:c r="K406" s="2" t="str">
        <x:f>IF(NOT(ISNUMBER(F406)),"No evaluable",IF(OR(J406=1,I406&gt;=$B$8),"Prioridad",IF(G406=1,"Observar","Sin umbral")))</x:f>
        <x:v>Prioridad</x:v>
      </x:c>
      <x:c r="L406" s="2" t="str">
        <x:f>IF(K406="No evaluable","Faltan datos",IF(J406=1,"Magnitud",IF(I406&gt;=$B$8,"Persistencia",IF(G406=1,"Cambio del mes","Sin umbral"))))</x:f>
        <x:v>Magnitud</x:v>
      </x:c>
      <x:c r="M406" s="2" t="n">
        <x:f>ROW()-40</x:f>
        <x:v>366</x:v>
      </x:c>
    </x:row>
    <x:row r="407" ht="48" customHeight="1">
      <x:c r="A407" s="4" t="n">
        <x:v>45717</x:v>
      </x:c>
      <x:c r="B407" s="32" t="str">
        <x:v>Alimentación y artículos de consumo masivo</x:v>
      </x:c>
      <x:c r="C407" s="10" t="n">
        <x:f>IF(ISNUMBER('Actividades'!F544),'Actividades'!F544,"n.a.")</x:f>
        <x:v>285.7554690860215</x:v>
      </x:c>
      <x:c r="D407" s="10" t="n">
        <x:f>IF(ISNUMBER('Actividades'!G544),'Actividades'!G544,"n.a.")</x:f>
        <x:v>285.97380510752686</x:v>
      </x:c>
      <x:c r="E407" s="10" t="n">
        <x:f>IF(AND(ISNUMBER(C407),ISNUMBER(D407),C407&gt;=0,D407&gt;0),C407-D407,"n.a.")</x:f>
        <x:v>-0.21833602150536535</x:v>
      </x:c>
      <x:c r="F407" s="12" t="n">
        <x:f>IF(ISNUMBER(E407),E407/D407,"n.a.")</x:f>
        <x:v>-0.0007634825903836558</x:v>
      </x:c>
      <x:c r="G407" s="2" t="n">
        <x:f>IF(ISNUMBER(F407),IF(AND(ABS(F407)+0.00000000001&gt;=$B$6,ABS(E407)+0.000000001&gt;=$D$6),1,0),"n.a.")</x:f>
        <x:v>0</x:v>
      </x:c>
      <x:c r="H407" s="2" t="n">
        <x:f>IF(ISNUMBER(E407),SIGN(E407),"n.a.")</x:f>
        <x:v>-1</x:v>
      </x:c>
      <x:c r="I407" s="2" t="n">
        <x:f>IF(NOT(ISNUMBER(G407)),"n.a.",IF(G407=0,0,IF(AND(B407=B393,A407=EDATE(A393,1),H407=H393,ISNUMBER(I393)),I393+1,1)))</x:f>
        <x:v>0</x:v>
      </x:c>
      <x:c r="J407" s="2" t="n">
        <x:f>IF(ISNUMBER(F407),IF(AND(ABS(F407)+0.00000000001&gt;=$B$7,ABS(E407)+0.000000001&gt;=$D$7),1,0),"n.a.")</x:f>
        <x:v>0</x:v>
      </x:c>
      <x:c r="K407" s="2" t="str">
        <x:f>IF(NOT(ISNUMBER(F407)),"No evaluable",IF(OR(J407=1,I407&gt;=$B$8),"Prioridad",IF(G407=1,"Observar","Sin umbral")))</x:f>
        <x:v>Sin umbral</x:v>
      </x:c>
      <x:c r="L407" s="2" t="str">
        <x:f>IF(K407="No evaluable","Faltan datos",IF(J407=1,"Magnitud",IF(I407&gt;=$B$8,"Persistencia",IF(G407=1,"Cambio del mes","Sin umbral"))))</x:f>
        <x:v>Sin umbral</x:v>
      </x:c>
      <x:c r="M407" s="2" t="n">
        <x:f>ROW()-40</x:f>
        <x:v>367</x:v>
      </x:c>
    </x:row>
    <x:row r="408" ht="48" customHeight="1">
      <x:c r="A408" s="4" t="n">
        <x:v>45717</x:v>
      </x:c>
      <x:c r="B408" s="32" t="str">
        <x:v>Servicios públicos y transporte: agua y transporte en GBA</x:v>
      </x:c>
      <x:c r="C408" s="10" t="n">
        <x:f>IF(ISNUMBER('Actividades'!F545),'Actividades'!F545,"n.a.")</x:f>
        <x:v>75.19778091397849</x:v>
      </x:c>
      <x:c r="D408" s="10" t="n">
        <x:f>IF(ISNUMBER('Actividades'!G545),'Actividades'!G545,"n.a.")</x:f>
        <x:v>85.4129744623656</x:v>
      </x:c>
      <x:c r="E408" s="10" t="n">
        <x:f>IF(AND(ISNUMBER(C408),ISNUMBER(D408),C408&gt;=0,D408&gt;0),C408-D408,"n.a.")</x:f>
        <x:v>-10.215193548387106</x:v>
      </x:c>
      <x:c r="F408" s="12" t="n">
        <x:f>IF(ISNUMBER(E408),E408/D408,"n.a.")</x:f>
        <x:v>-0.11959767954092376</x:v>
      </x:c>
      <x:c r="G408" s="2" t="n">
        <x:f>IF(ISNUMBER(F408),IF(AND(ABS(F408)+0.00000000001&gt;=$B$6,ABS(E408)+0.000000001&gt;=$D$6),1,0),"n.a.")</x:f>
        <x:v>1</x:v>
      </x:c>
      <x:c r="H408" s="2" t="n">
        <x:f>IF(ISNUMBER(E408),SIGN(E408),"n.a.")</x:f>
        <x:v>-1</x:v>
      </x:c>
      <x:c r="I408" s="2" t="n">
        <x:f>IF(NOT(ISNUMBER(G408)),"n.a.",IF(G408=0,0,IF(AND(B408=B394,A408=EDATE(A394,1),H408=H394,ISNUMBER(I394)),I394+1,1)))</x:f>
        <x:v>6</x:v>
      </x:c>
      <x:c r="J408" s="2" t="n">
        <x:f>IF(ISNUMBER(F408),IF(AND(ABS(F408)+0.00000000001&gt;=$B$7,ABS(E408)+0.000000001&gt;=$D$7),1,0),"n.a.")</x:f>
        <x:v>0</x:v>
      </x:c>
      <x:c r="K408" s="2" t="str">
        <x:f>IF(NOT(ISNUMBER(F408)),"No evaluable",IF(OR(J408=1,I408&gt;=$B$8),"Prioridad",IF(G408=1,"Observar","Sin umbral")))</x:f>
        <x:v>Prioridad</x:v>
      </x:c>
      <x:c r="L408" s="2" t="str">
        <x:f>IF(K408="No evaluable","Faltan datos",IF(J408=1,"Magnitud",IF(I408&gt;=$B$8,"Persistencia",IF(G408=1,"Cambio del mes","Sin umbral"))))</x:f>
        <x:v>Persistencia</x:v>
      </x:c>
      <x:c r="M408" s="2" t="n">
        <x:f>ROW()-40</x:f>
        <x:v>368</x:v>
      </x:c>
    </x:row>
    <x:row r="409" ht="48" customHeight="1">
      <x:c r="A409" s="4" t="n">
        <x:v>45717</x:v>
      </x:c>
      <x:c r="B409" s="32" t="str">
        <x:v>Industria automotriz</x:v>
      </x:c>
      <x:c r="C409" s="10" t="n">
        <x:f>IF(ISNUMBER('Actividades'!F546),'Actividades'!F546,"n.a.")</x:f>
        <x:v>42.55074596774193</x:v>
      </x:c>
      <x:c r="D409" s="10" t="n">
        <x:f>IF(ISNUMBER('Actividades'!G546),'Actividades'!G546,"n.a.")</x:f>
        <x:v>43.381592741935485</x:v>
      </x:c>
      <x:c r="E409" s="10" t="n">
        <x:f>IF(AND(ISNUMBER(C409),ISNUMBER(D409),C409&gt;=0,D409&gt;0),C409-D409,"n.a.")</x:f>
        <x:v>-0.830846774193553</x:v>
      </x:c>
      <x:c r="F409" s="12" t="n">
        <x:f>IF(ISNUMBER(E409),E409/D409,"n.a.")</x:f>
        <x:v>-0.019152057858641096</x:v>
      </x:c>
      <x:c r="G409" s="2" t="n">
        <x:f>IF(ISNUMBER(F409),IF(AND(ABS(F409)+0.00000000001&gt;=$B$6,ABS(E409)+0.000000001&gt;=$D$6),1,0),"n.a.")</x:f>
        <x:v>0</x:v>
      </x:c>
      <x:c r="H409" s="2" t="n">
        <x:f>IF(ISNUMBER(E409),SIGN(E409),"n.a.")</x:f>
        <x:v>-1</x:v>
      </x:c>
      <x:c r="I409" s="2" t="n">
        <x:f>IF(NOT(ISNUMBER(G409)),"n.a.",IF(G409=0,0,IF(AND(B409=B395,A409=EDATE(A395,1),H409=H395,ISNUMBER(I395)),I395+1,1)))</x:f>
        <x:v>0</x:v>
      </x:c>
      <x:c r="J409" s="2" t="n">
        <x:f>IF(ISNUMBER(F409),IF(AND(ABS(F409)+0.00000000001&gt;=$B$7,ABS(E409)+0.000000001&gt;=$D$7),1,0),"n.a.")</x:f>
        <x:v>0</x:v>
      </x:c>
      <x:c r="K409" s="2" t="str">
        <x:f>IF(NOT(ISNUMBER(F409)),"No evaluable",IF(OR(J409=1,I409&gt;=$B$8),"Prioridad",IF(G409=1,"Observar","Sin umbral")))</x:f>
        <x:v>Sin umbral</x:v>
      </x:c>
      <x:c r="L409" s="2" t="str">
        <x:f>IF(K409="No evaluable","Faltan datos",IF(J409=1,"Magnitud",IF(I409&gt;=$B$8,"Persistencia",IF(G409=1,"Cambio del mes","Sin umbral"))))</x:f>
        <x:v>Sin umbral</x:v>
      </x:c>
      <x:c r="M409" s="2" t="n">
        <x:f>ROW()-40</x:f>
        <x:v>369</x:v>
      </x:c>
    </x:row>
    <x:row r="410" ht="48" customHeight="1">
      <x:c r="A410" s="4" t="n">
        <x:v>45717</x:v>
      </x:c>
      <x:c r="B410" s="32" t="str">
        <x:v>Derivados de petróleo</x:v>
      </x:c>
      <x:c r="C410" s="10" t="n">
        <x:f>IF(ISNUMBER('Actividades'!F547),'Actividades'!F547,"n.a.")</x:f>
        <x:v>149.64575806451614</x:v>
      </x:c>
      <x:c r="D410" s="10" t="n">
        <x:f>IF(ISNUMBER('Actividades'!G547),'Actividades'!G547,"n.a.")</x:f>
        <x:v>148.64953494623657</x:v>
      </x:c>
      <x:c r="E410" s="10" t="n">
        <x:f>IF(AND(ISNUMBER(C410),ISNUMBER(D410),C410&gt;=0,D410&gt;0),C410-D410,"n.a.")</x:f>
        <x:v>0.9962231182795733</x:v>
      </x:c>
      <x:c r="F410" s="12" t="n">
        <x:f>IF(ISNUMBER(E410),E410/D410,"n.a.")</x:f>
        <x:v>0.006701824655152042</x:v>
      </x:c>
      <x:c r="G410" s="2" t="n">
        <x:f>IF(ISNUMBER(F410),IF(AND(ABS(F410)+0.00000000001&gt;=$B$6,ABS(E410)+0.000000001&gt;=$D$6),1,0),"n.a.")</x:f>
        <x:v>0</x:v>
      </x:c>
      <x:c r="H410" s="2" t="n">
        <x:f>IF(ISNUMBER(E410),SIGN(E410),"n.a.")</x:f>
        <x:v>1</x:v>
      </x:c>
      <x:c r="I410" s="2" t="n">
        <x:f>IF(NOT(ISNUMBER(G410)),"n.a.",IF(G410=0,0,IF(AND(B410=B396,A410=EDATE(A396,1),H410=H396,ISNUMBER(I396)),I396+1,1)))</x:f>
        <x:v>0</x:v>
      </x:c>
      <x:c r="J410" s="2" t="n">
        <x:f>IF(ISNUMBER(F410),IF(AND(ABS(F410)+0.00000000001&gt;=$B$7,ABS(E410)+0.000000001&gt;=$D$7),1,0),"n.a.")</x:f>
        <x:v>0</x:v>
      </x:c>
      <x:c r="K410" s="2" t="str">
        <x:f>IF(NOT(ISNUMBER(F410)),"No evaluable",IF(OR(J410=1,I410&gt;=$B$8),"Prioridad",IF(G410=1,"Observar","Sin umbral")))</x:f>
        <x:v>Sin umbral</x:v>
      </x:c>
      <x:c r="L410" s="2" t="str">
        <x:f>IF(K410="No evaluable","Faltan datos",IF(J410=1,"Magnitud",IF(I410&gt;=$B$8,"Persistencia",IF(G410=1,"Cambio del mes","Sin umbral"))))</x:f>
        <x:v>Sin umbral</x:v>
      </x:c>
      <x:c r="M410" s="2" t="n">
        <x:f>ROW()-40</x:f>
        <x:v>370</x:v>
      </x:c>
    </x:row>
    <x:row r="411" ht="48" customHeight="1">
      <x:c r="A411" s="4" t="n">
        <x:v>45717</x:v>
      </x:c>
      <x:c r="B411" s="32" t="str">
        <x:v>Construcción: elaboración de cemento y canteras</x:v>
      </x:c>
      <x:c r="C411" s="10" t="n">
        <x:f>IF(ISNUMBER('Actividades'!F548),'Actividades'!F548,"n.a.")</x:f>
        <x:v>142.41225403225806</x:v>
      </x:c>
      <x:c r="D411" s="10" t="n">
        <x:f>IF(ISNUMBER('Actividades'!G548),'Actividades'!G548,"n.a.")</x:f>
        <x:v>131.9065887096774</x:v>
      </x:c>
      <x:c r="E411" s="10" t="n">
        <x:f>IF(AND(ISNUMBER(C411),ISNUMBER(D411),C411&gt;=0,D411&gt;0),C411-D411,"n.a.")</x:f>
        <x:v>10.505665322580654</x:v>
      </x:c>
      <x:c r="F411" s="12" t="n">
        <x:f>IF(ISNUMBER(E411),E411/D411,"n.a.")</x:f>
        <x:v>0.07964473515195909</x:v>
      </x:c>
      <x:c r="G411" s="2" t="n">
        <x:f>IF(ISNUMBER(F411),IF(AND(ABS(F411)+0.00000000001&gt;=$B$6,ABS(E411)+0.000000001&gt;=$D$6),1,0),"n.a.")</x:f>
        <x:v>0</x:v>
      </x:c>
      <x:c r="H411" s="2" t="n">
        <x:f>IF(ISNUMBER(E411),SIGN(E411),"n.a.")</x:f>
        <x:v>1</x:v>
      </x:c>
      <x:c r="I411" s="2" t="n">
        <x:f>IF(NOT(ISNUMBER(G411)),"n.a.",IF(G411=0,0,IF(AND(B411=B397,A411=EDATE(A397,1),H411=H397,ISNUMBER(I397)),I397+1,1)))</x:f>
        <x:v>0</x:v>
      </x:c>
      <x:c r="J411" s="2" t="n">
        <x:f>IF(ISNUMBER(F411),IF(AND(ABS(F411)+0.00000000001&gt;=$B$7,ABS(E411)+0.000000001&gt;=$D$7),1,0),"n.a.")</x:f>
        <x:v>0</x:v>
      </x:c>
      <x:c r="K411" s="2" t="str">
        <x:f>IF(NOT(ISNUMBER(F411)),"No evaluable",IF(OR(J411=1,I411&gt;=$B$8),"Prioridad",IF(G411=1,"Observar","Sin umbral")))</x:f>
        <x:v>Sin umbral</x:v>
      </x:c>
      <x:c r="L411" s="2" t="str">
        <x:f>IF(K411="No evaluable","Faltan datos",IF(J411=1,"Magnitud",IF(I411&gt;=$B$8,"Persistencia",IF(G411=1,"Cambio del mes","Sin umbral"))))</x:f>
        <x:v>Sin umbral</x:v>
      </x:c>
      <x:c r="M411" s="2" t="n">
        <x:f>ROW()-40</x:f>
        <x:v>371</x:v>
      </x:c>
    </x:row>
    <x:row r="412" ht="48" customHeight="1">
      <x:c r="A412" s="4" t="n">
        <x:v>45717</x:v>
      </x:c>
      <x:c r="B412" s="32" t="str">
        <x:v>Madera y papel</x:v>
      </x:c>
      <x:c r="C412" s="10" t="n">
        <x:f>IF(ISNUMBER('Actividades'!F549),'Actividades'!F549,"n.a.")</x:f>
        <x:v>98.3025497311828</x:v>
      </x:c>
      <x:c r="D412" s="10" t="n">
        <x:f>IF(ISNUMBER('Actividades'!G549),'Actividades'!G549,"n.a.")</x:f>
        <x:v>101.02791263440861</x:v>
      </x:c>
      <x:c r="E412" s="10" t="n">
        <x:f>IF(AND(ISNUMBER(C412),ISNUMBER(D412),C412&gt;=0,D412&gt;0),C412-D412,"n.a.")</x:f>
        <x:v>-2.7253629032258146</x:v>
      </x:c>
      <x:c r="F412" s="12" t="n">
        <x:f>IF(ISNUMBER(E412),E412/D412,"n.a.")</x:f>
        <x:v>-0.026976335867574842</x:v>
      </x:c>
      <x:c r="G412" s="2" t="n">
        <x:f>IF(ISNUMBER(F412),IF(AND(ABS(F412)+0.00000000001&gt;=$B$6,ABS(E412)+0.000000001&gt;=$D$6),1,0),"n.a.")</x:f>
        <x:v>0</x:v>
      </x:c>
      <x:c r="H412" s="2" t="n">
        <x:f>IF(ISNUMBER(E412),SIGN(E412),"n.a.")</x:f>
        <x:v>-1</x:v>
      </x:c>
      <x:c r="I412" s="2" t="n">
        <x:f>IF(NOT(ISNUMBER(G412)),"n.a.",IF(G412=0,0,IF(AND(B412=B398,A412=EDATE(A398,1),H412=H398,ISNUMBER(I398)),I398+1,1)))</x:f>
        <x:v>0</x:v>
      </x:c>
      <x:c r="J412" s="2" t="n">
        <x:f>IF(ISNUMBER(F412),IF(AND(ABS(F412)+0.00000000001&gt;=$B$7,ABS(E412)+0.000000001&gt;=$D$7),1,0),"n.a.")</x:f>
        <x:v>0</x:v>
      </x:c>
      <x:c r="K412" s="2" t="str">
        <x:f>IF(NOT(ISNUMBER(F412)),"No evaluable",IF(OR(J412=1,I412&gt;=$B$8),"Prioridad",IF(G412=1,"Observar","Sin umbral")))</x:f>
        <x:v>Sin umbral</x:v>
      </x:c>
      <x:c r="L412" s="2" t="str">
        <x:f>IF(K412="No evaluable","Faltan datos",IF(J412=1,"Magnitud",IF(I412&gt;=$B$8,"Persistencia",IF(G412=1,"Cambio del mes","Sin umbral"))))</x:f>
        <x:v>Sin umbral</x:v>
      </x:c>
      <x:c r="M412" s="2" t="n">
        <x:f>ROW()-40</x:f>
        <x:v>372</x:v>
      </x:c>
    </x:row>
    <x:row r="413" ht="48" customHeight="1">
      <x:c r="A413" s="4" t="n">
        <x:v>45717</x:v>
      </x:c>
      <x:c r="B413" s="32" t="str">
        <x:v>Productos metálicos no automotores</x:v>
      </x:c>
      <x:c r="C413" s="10" t="n">
        <x:f>IF(ISNUMBER('Actividades'!F550),'Actividades'!F550,"n.a.")</x:f>
        <x:v>28.755403225806454</x:v>
      </x:c>
      <x:c r="D413" s="10" t="n">
        <x:f>IF(ISNUMBER('Actividades'!G550),'Actividades'!G550,"n.a.")</x:f>
        <x:v>43.05391666666667</x:v>
      </x:c>
      <x:c r="E413" s="10" t="n">
        <x:f>IF(AND(ISNUMBER(C413),ISNUMBER(D413),C413&gt;=0,D413&gt;0),C413-D413,"n.a.")</x:f>
        <x:v>-14.29851344086022</x:v>
      </x:c>
      <x:c r="F413" s="12" t="n">
        <x:f>IF(ISNUMBER(E413),E413/D413,"n.a.")</x:f>
        <x:v>-0.332107147221067</x:v>
      </x:c>
      <x:c r="G413" s="2" t="n">
        <x:f>IF(ISNUMBER(F413),IF(AND(ABS(F413)+0.00000000001&gt;=$B$6,ABS(E413)+0.000000001&gt;=$D$6),1,0),"n.a.")</x:f>
        <x:v>1</x:v>
      </x:c>
      <x:c r="H413" s="2" t="n">
        <x:f>IF(ISNUMBER(E413),SIGN(E413),"n.a.")</x:f>
        <x:v>-1</x:v>
      </x:c>
      <x:c r="I413" s="2" t="n">
        <x:f>IF(NOT(ISNUMBER(G413)),"n.a.",IF(G413=0,0,IF(AND(B413=B399,A413=EDATE(A399,1),H413=H399,ISNUMBER(I399)),I399+1,1)))</x:f>
        <x:v>1</x:v>
      </x:c>
      <x:c r="J413" s="2" t="n">
        <x:f>IF(ISNUMBER(F413),IF(AND(ABS(F413)+0.00000000001&gt;=$B$7,ABS(E413)+0.000000001&gt;=$D$7),1,0),"n.a.")</x:f>
        <x:v>1</x:v>
      </x:c>
      <x:c r="K413" s="2" t="str">
        <x:f>IF(NOT(ISNUMBER(F413)),"No evaluable",IF(OR(J413=1,I413&gt;=$B$8),"Prioridad",IF(G413=1,"Observar","Sin umbral")))</x:f>
        <x:v>Prioridad</x:v>
      </x:c>
      <x:c r="L413" s="2" t="str">
        <x:f>IF(K413="No evaluable","Faltan datos",IF(J413=1,"Magnitud",IF(I413&gt;=$B$8,"Persistencia",IF(G413=1,"Cambio del mes","Sin umbral"))))</x:f>
        <x:v>Magnitud</x:v>
      </x:c>
      <x:c r="M413" s="2" t="n">
        <x:f>ROW()-40</x:f>
        <x:v>373</x:v>
      </x:c>
    </x:row>
    <x:row r="414" ht="48" customHeight="1">
      <x:c r="A414" s="4" t="n">
        <x:v>45717</x:v>
      </x:c>
      <x:c r="B414" s="32" t="str">
        <x:v>Gran siderurgia</x:v>
      </x:c>
      <x:c r="C414" s="10" t="n">
        <x:f>IF(ISNUMBER('Actividades'!F551),'Actividades'!F551,"n.a.")</x:f>
        <x:v>247.3586586021505</x:v>
      </x:c>
      <x:c r="D414" s="10" t="n">
        <x:f>IF(ISNUMBER('Actividades'!G551),'Actividades'!G551,"n.a.")</x:f>
        <x:v>211.54222177419354</x:v>
      </x:c>
      <x:c r="E414" s="10" t="n">
        <x:f>IF(AND(ISNUMBER(C414),ISNUMBER(D414),C414&gt;=0,D414&gt;0),C414-D414,"n.a.")</x:f>
        <x:v>35.81643682795698</x:v>
      </x:c>
      <x:c r="F414" s="12" t="n">
        <x:f>IF(ISNUMBER(E414),E414/D414,"n.a.")</x:f>
        <x:v>0.1693110553891625</x:v>
      </x:c>
      <x:c r="G414" s="2" t="n">
        <x:f>IF(ISNUMBER(F414),IF(AND(ABS(F414)+0.00000000001&gt;=$B$6,ABS(E414)+0.000000001&gt;=$D$6),1,0),"n.a.")</x:f>
        <x:v>1</x:v>
      </x:c>
      <x:c r="H414" s="2" t="n">
        <x:f>IF(ISNUMBER(E414),SIGN(E414),"n.a.")</x:f>
        <x:v>1</x:v>
      </x:c>
      <x:c r="I414" s="2" t="n">
        <x:f>IF(NOT(ISNUMBER(G414)),"n.a.",IF(G414=0,0,IF(AND(B414=B400,A414=EDATE(A400,1),H414=H400,ISNUMBER(I400)),I400+1,1)))</x:f>
        <x:v>1</x:v>
      </x:c>
      <x:c r="J414" s="2" t="n">
        <x:f>IF(ISNUMBER(F414),IF(AND(ABS(F414)+0.00000000001&gt;=$B$7,ABS(E414)+0.000000001&gt;=$D$7),1,0),"n.a.")</x:f>
        <x:v>0</x:v>
      </x:c>
      <x:c r="K414" s="2" t="str">
        <x:f>IF(NOT(ISNUMBER(F414)),"No evaluable",IF(OR(J414=1,I414&gt;=$B$8),"Prioridad",IF(G414=1,"Observar","Sin umbral")))</x:f>
        <x:v>Observar</x:v>
      </x:c>
      <x:c r="L414" s="2" t="str">
        <x:f>IF(K414="No evaluable","Faltan datos",IF(J414=1,"Magnitud",IF(I414&gt;=$B$8,"Persistencia",IF(G414=1,"Cambio del mes","Sin umbral"))))</x:f>
        <x:v>Cambio del mes</x:v>
      </x:c>
      <x:c r="M414" s="2" t="n">
        <x:f>ROW()-40</x:f>
        <x:v>374</x:v>
      </x:c>
    </x:row>
    <x:row r="415" ht="48" customHeight="1">
      <x:c r="A415" s="4" t="n">
        <x:v>45717</x:v>
      </x:c>
      <x:c r="B415" s="32" t="str">
        <x:v>Industria textil</x:v>
      </x:c>
      <x:c r="C415" s="10" t="n">
        <x:f>IF(ISNUMBER('Actividades'!F552),'Actividades'!F552,"n.a.")</x:f>
        <x:v>55.125762096774196</x:v>
      </x:c>
      <x:c r="D415" s="10" t="n">
        <x:f>IF(ISNUMBER('Actividades'!G552),'Actividades'!G552,"n.a.")</x:f>
        <x:v>55.346901881720434</x:v>
      </x:c>
      <x:c r="E415" s="10" t="n">
        <x:f>IF(AND(ISNUMBER(C415),ISNUMBER(D415),C415&gt;=0,D415&gt;0),C415-D415,"n.a.")</x:f>
        <x:v>-0.22113978494623865</x:v>
      </x:c>
      <x:c r="F415" s="12" t="n">
        <x:f>IF(ISNUMBER(E415),E415/D415,"n.a.")</x:f>
        <x:v>-0.003995522376642279</x:v>
      </x:c>
      <x:c r="G415" s="2" t="n">
        <x:f>IF(ISNUMBER(F415),IF(AND(ABS(F415)+0.00000000001&gt;=$B$6,ABS(E415)+0.000000001&gt;=$D$6),1,0),"n.a.")</x:f>
        <x:v>0</x:v>
      </x:c>
      <x:c r="H415" s="2" t="n">
        <x:f>IF(ISNUMBER(E415),SIGN(E415),"n.a.")</x:f>
        <x:v>-1</x:v>
      </x:c>
      <x:c r="I415" s="2" t="n">
        <x:f>IF(NOT(ISNUMBER(G415)),"n.a.",IF(G415=0,0,IF(AND(B415=B401,A415=EDATE(A401,1),H415=H401,ISNUMBER(I401)),I401+1,1)))</x:f>
        <x:v>0</x:v>
      </x:c>
      <x:c r="J415" s="2" t="n">
        <x:f>IF(ISNUMBER(F415),IF(AND(ABS(F415)+0.00000000001&gt;=$B$7,ABS(E415)+0.000000001&gt;=$D$7),1,0),"n.a.")</x:f>
        <x:v>0</x:v>
      </x:c>
      <x:c r="K415" s="2" t="str">
        <x:f>IF(NOT(ISNUMBER(F415)),"No evaluable",IF(OR(J415=1,I415&gt;=$B$8),"Prioridad",IF(G415=1,"Observar","Sin umbral")))</x:f>
        <x:v>Sin umbral</x:v>
      </x:c>
      <x:c r="L415" s="2" t="str">
        <x:f>IF(K415="No evaluable","Faltan datos",IF(J415=1,"Magnitud",IF(I415&gt;=$B$8,"Persistencia",IF(G415=1,"Cambio del mes","Sin umbral"))))</x:f>
        <x:v>Sin umbral</x:v>
      </x:c>
      <x:c r="M415" s="2" t="n">
        <x:f>ROW()-40</x:f>
        <x:v>375</x:v>
      </x:c>
    </x:row>
    <x:row r="416" ht="48" customHeight="1">
      <x:c r="A416" s="4" t="n">
        <x:v>45717</x:v>
      </x:c>
      <x:c r="B416" s="32" t="str">
        <x:v>Químicas, caucho, plástico y otros minerales no metálicos</x:v>
      </x:c>
      <x:c r="C416" s="10" t="n">
        <x:f>IF(ISNUMBER('Actividades'!F553),'Actividades'!F553,"n.a.")</x:f>
        <x:v>319.7549583333333</x:v>
      </x:c>
      <x:c r="D416" s="10" t="n">
        <x:f>IF(ISNUMBER('Actividades'!G553),'Actividades'!G553,"n.a.")</x:f>
        <x:v>326.7653938172043</x:v>
      </x:c>
      <x:c r="E416" s="10" t="n">
        <x:f>IF(AND(ISNUMBER(C416),ISNUMBER(D416),C416&gt;=0,D416&gt;0),C416-D416,"n.a.")</x:f>
        <x:v>-7.010435483870992</x:v>
      </x:c>
      <x:c r="F416" s="12" t="n">
        <x:f>IF(ISNUMBER(E416),E416/D416,"n.a.")</x:f>
        <x:v>-0.02145403282145813</x:v>
      </x:c>
      <x:c r="G416" s="2" t="n">
        <x:f>IF(ISNUMBER(F416),IF(AND(ABS(F416)+0.00000000001&gt;=$B$6,ABS(E416)+0.000000001&gt;=$D$6),1,0),"n.a.")</x:f>
        <x:v>0</x:v>
      </x:c>
      <x:c r="H416" s="2" t="n">
        <x:f>IF(ISNUMBER(E416),SIGN(E416),"n.a.")</x:f>
        <x:v>-1</x:v>
      </x:c>
      <x:c r="I416" s="2" t="n">
        <x:f>IF(NOT(ISNUMBER(G416)),"n.a.",IF(G416=0,0,IF(AND(B416=B402,A416=EDATE(A402,1),H416=H402,ISNUMBER(I402)),I402+1,1)))</x:f>
        <x:v>0</x:v>
      </x:c>
      <x:c r="J416" s="2" t="n">
        <x:f>IF(ISNUMBER(F416),IF(AND(ABS(F416)+0.00000000001&gt;=$B$7,ABS(E416)+0.000000001&gt;=$D$7),1,0),"n.a.")</x:f>
        <x:v>0</x:v>
      </x:c>
      <x:c r="K416" s="2" t="str">
        <x:f>IF(NOT(ISNUMBER(F416)),"No evaluable",IF(OR(J416=1,I416&gt;=$B$8),"Prioridad",IF(G416=1,"Observar","Sin umbral")))</x:f>
        <x:v>Sin umbral</x:v>
      </x:c>
      <x:c r="L416" s="2" t="str">
        <x:f>IF(K416="No evaluable","Faltan datos",IF(J416=1,"Magnitud",IF(I416&gt;=$B$8,"Persistencia",IF(G416=1,"Cambio del mes","Sin umbral"))))</x:f>
        <x:v>Sin umbral</x:v>
      </x:c>
      <x:c r="M416" s="2" t="n">
        <x:f>ROW()-40</x:f>
        <x:v>376</x:v>
      </x:c>
    </x:row>
    <x:row r="417" ht="48" customHeight="1">
      <x:c r="A417" s="4" t="n">
        <x:v>45717</x:v>
      </x:c>
      <x:c r="B417" s="32" t="str">
        <x:v>Extracción de minerales</x:v>
      </x:c>
      <x:c r="C417" s="10" t="n">
        <x:f>IF(ISNUMBER('Actividades'!F554),'Actividades'!F554,"n.a.")</x:f>
        <x:v>22.25468548387097</x:v>
      </x:c>
      <x:c r="D417" s="10" t="n">
        <x:f>IF(ISNUMBER('Actividades'!G554),'Actividades'!G554,"n.a.")</x:f>
        <x:v>21.984283602150537</x:v>
      </x:c>
      <x:c r="E417" s="10" t="n">
        <x:f>IF(AND(ISNUMBER(C417),ISNUMBER(D417),C417&gt;=0,D417&gt;0),C417-D417,"n.a.")</x:f>
        <x:v>0.27040188172043145</x:v>
      </x:c>
      <x:c r="F417" s="12" t="n">
        <x:f>IF(ISNUMBER(E417),E417/D417,"n.a.")</x:f>
        <x:v>0.012299781362626723</x:v>
      </x:c>
      <x:c r="G417" s="2" t="n">
        <x:f>IF(ISNUMBER(F417),IF(AND(ABS(F417)+0.00000000001&gt;=$B$6,ABS(E417)+0.000000001&gt;=$D$6),1,0),"n.a.")</x:f>
        <x:v>0</x:v>
      </x:c>
      <x:c r="H417" s="2" t="n">
        <x:f>IF(ISNUMBER(E417),SIGN(E417),"n.a.")</x:f>
        <x:v>1</x:v>
      </x:c>
      <x:c r="I417" s="2" t="n">
        <x:f>IF(NOT(ISNUMBER(G417)),"n.a.",IF(G417=0,0,IF(AND(B417=B403,A417=EDATE(A403,1),H417=H403,ISNUMBER(I403)),I403+1,1)))</x:f>
        <x:v>0</x:v>
      </x:c>
      <x:c r="J417" s="2" t="n">
        <x:f>IF(ISNUMBER(F417),IF(AND(ABS(F417)+0.00000000001&gt;=$B$7,ABS(E417)+0.000000001&gt;=$D$7),1,0),"n.a.")</x:f>
        <x:v>0</x:v>
      </x:c>
      <x:c r="K417" s="2" t="str">
        <x:f>IF(NOT(ISNUMBER(F417)),"No evaluable",IF(OR(J417=1,I417&gt;=$B$8),"Prioridad",IF(G417=1,"Observar","Sin umbral")))</x:f>
        <x:v>Sin umbral</x:v>
      </x:c>
      <x:c r="L417" s="2" t="str">
        <x:f>IF(K417="No evaluable","Faltan datos",IF(J417=1,"Magnitud",IF(I417&gt;=$B$8,"Persistencia",IF(G417=1,"Cambio del mes","Sin umbral"))))</x:f>
        <x:v>Sin umbral</x:v>
      </x:c>
      <x:c r="M417" s="2" t="n">
        <x:f>ROW()-40</x:f>
        <x:v>377</x:v>
      </x:c>
    </x:row>
    <x:row r="418" ht="48" customHeight="1">
      <x:c r="A418" s="4" t="n">
        <x:v>45717</x:v>
      </x:c>
      <x:c r="B418" s="32" t="str">
        <x:v>Extracción de petróleo</x:v>
      </x:c>
      <x:c r="C418" s="10" t="n">
        <x:f>IF(ISNUMBER('Actividades'!F555),'Actividades'!F555,"n.a.")</x:f>
        <x:v>145.48089516129033</x:v>
      </x:c>
      <x:c r="D418" s="10" t="n">
        <x:f>IF(ISNUMBER('Actividades'!G555),'Actividades'!G555,"n.a.")</x:f>
        <x:v>153.65880241935486</x:v>
      </x:c>
      <x:c r="E418" s="10" t="n">
        <x:f>IF(AND(ISNUMBER(C418),ISNUMBER(D418),C418&gt;=0,D418&gt;0),C418-D418,"n.a.")</x:f>
        <x:v>-8.177907258064522</x:v>
      </x:c>
      <x:c r="F418" s="12" t="n">
        <x:f>IF(ISNUMBER(E418),E418/D418,"n.a.")</x:f>
        <x:v>-0.05322120912895019</x:v>
      </x:c>
      <x:c r="G418" s="2" t="n">
        <x:f>IF(ISNUMBER(F418),IF(AND(ABS(F418)+0.00000000001&gt;=$B$6,ABS(E418)+0.000000001&gt;=$D$6),1,0),"n.a.")</x:f>
        <x:v>0</x:v>
      </x:c>
      <x:c r="H418" s="2" t="n">
        <x:f>IF(ISNUMBER(E418),SIGN(E418),"n.a.")</x:f>
        <x:v>-1</x:v>
      </x:c>
      <x:c r="I418" s="2" t="n">
        <x:f>IF(NOT(ISNUMBER(G418)),"n.a.",IF(G418=0,0,IF(AND(B418=B404,A418=EDATE(A404,1),H418=H404,ISNUMBER(I404)),I404+1,1)))</x:f>
        <x:v>0</x:v>
      </x:c>
      <x:c r="J418" s="2" t="n">
        <x:f>IF(ISNUMBER(F418),IF(AND(ABS(F418)+0.00000000001&gt;=$B$7,ABS(E418)+0.000000001&gt;=$D$7),1,0),"n.a.")</x:f>
        <x:v>0</x:v>
      </x:c>
      <x:c r="K418" s="2" t="str">
        <x:f>IF(NOT(ISNUMBER(F418)),"No evaluable",IF(OR(J418=1,I418&gt;=$B$8),"Prioridad",IF(G418=1,"Observar","Sin umbral")))</x:f>
        <x:v>Sin umbral</x:v>
      </x:c>
      <x:c r="L418" s="2" t="str">
        <x:f>IF(K418="No evaluable","Faltan datos",IF(J418=1,"Magnitud",IF(I418&gt;=$B$8,"Persistencia",IF(G418=1,"Cambio del mes","Sin umbral"))))</x:f>
        <x:v>Sin umbral</x:v>
      </x:c>
      <x:c r="M418" s="2" t="n">
        <x:f>ROW()-40</x:f>
        <x:v>378</x:v>
      </x:c>
    </x:row>
    <x:row r="419" ht="48" customHeight="1">
      <x:c r="A419" s="4" t="n">
        <x:v>45748</x:v>
      </x:c>
      <x:c r="B419" s="32" t="str">
        <x:v>Cargas y puertos</x:v>
      </x:c>
      <x:c r="C419" s="10" t="n">
        <x:f>IF(ISNUMBER('Actividades'!F556),'Actividades'!F556,"n.a.")</x:f>
        <x:v>9.5680125</x:v>
      </x:c>
      <x:c r="D419" s="10" t="n">
        <x:f>IF(ISNUMBER('Actividades'!G556),'Actividades'!G556,"n.a.")</x:f>
        <x:v>9.19405</x:v>
      </x:c>
      <x:c r="E419" s="10" t="n">
        <x:f>IF(AND(ISNUMBER(C419),ISNUMBER(D419),C419&gt;=0,D419&gt;0),C419-D419,"n.a.")</x:f>
        <x:v>0.3739624999999993</x:v>
      </x:c>
      <x:c r="F419" s="12" t="n">
        <x:f>IF(ISNUMBER(E419),E419/D419,"n.a.")</x:f>
        <x:v>0.04067440355447265</x:v>
      </x:c>
      <x:c r="G419" s="2" t="n">
        <x:f>IF(ISNUMBER(F419),IF(AND(ABS(F419)+0.00000000001&gt;=$B$6,ABS(E419)+0.000000001&gt;=$D$6),1,0),"n.a.")</x:f>
        <x:v>0</x:v>
      </x:c>
      <x:c r="H419" s="2" t="n">
        <x:f>IF(ISNUMBER(E419),SIGN(E419),"n.a.")</x:f>
        <x:v>1</x:v>
      </x:c>
      <x:c r="I419" s="2" t="n">
        <x:f>IF(NOT(ISNUMBER(G419)),"n.a.",IF(G419=0,0,IF(AND(B419=B405,A419=EDATE(A405,1),H419=H405,ISNUMBER(I405)),I405+1,1)))</x:f>
        <x:v>0</x:v>
      </x:c>
      <x:c r="J419" s="2" t="n">
        <x:f>IF(ISNUMBER(F419),IF(AND(ABS(F419)+0.00000000001&gt;=$B$7,ABS(E419)+0.000000001&gt;=$D$7),1,0),"n.a.")</x:f>
        <x:v>0</x:v>
      </x:c>
      <x:c r="K419" s="2" t="str">
        <x:f>IF(NOT(ISNUMBER(F419)),"No evaluable",IF(OR(J419=1,I419&gt;=$B$8),"Prioridad",IF(G419=1,"Observar","Sin umbral")))</x:f>
        <x:v>Sin umbral</x:v>
      </x:c>
      <x:c r="L419" s="2" t="str">
        <x:f>IF(K419="No evaluable","Faltan datos",IF(J419=1,"Magnitud",IF(I419&gt;=$B$8,"Persistencia",IF(G419=1,"Cambio del mes","Sin umbral"))))</x:f>
        <x:v>Sin umbral</x:v>
      </x:c>
      <x:c r="M419" s="2" t="n">
        <x:f>ROW()-40</x:f>
        <x:v>379</x:v>
      </x:c>
    </x:row>
    <x:row r="420" ht="48" customHeight="1">
      <x:c r="A420" s="4" t="n">
        <x:v>45748</x:v>
      </x:c>
      <x:c r="B420" s="32" t="str">
        <x:v>Comercio y servicios: principalmente supermercados y centros comerciales</x:v>
      </x:c>
      <x:c r="C420" s="10" t="n">
        <x:f>IF(ISNUMBER('Actividades'!F557),'Actividades'!F557,"n.a.")</x:f>
        <x:v>45.60965138888889</x:v>
      </x:c>
      <x:c r="D420" s="10" t="n">
        <x:f>IF(ISNUMBER('Actividades'!G557),'Actividades'!G557,"n.a.")</x:f>
        <x:v>35.878061111111116</x:v>
      </x:c>
      <x:c r="E420" s="10" t="n">
        <x:f>IF(AND(ISNUMBER(C420),ISNUMBER(D420),C420&gt;=0,D420&gt;0),C420-D420,"n.a.")</x:f>
        <x:v>9.731590277777777</x:v>
      </x:c>
      <x:c r="F420" s="12" t="n">
        <x:f>IF(ISNUMBER(E420),E420/D420,"n.a.")</x:f>
        <x:v>0.2712406963029557</x:v>
      </x:c>
      <x:c r="G420" s="2" t="n">
        <x:f>IF(ISNUMBER(F420),IF(AND(ABS(F420)+0.00000000001&gt;=$B$6,ABS(E420)+0.000000001&gt;=$D$6),1,0),"n.a.")</x:f>
        <x:v>1</x:v>
      </x:c>
      <x:c r="H420" s="2" t="n">
        <x:f>IF(ISNUMBER(E420),SIGN(E420),"n.a.")</x:f>
        <x:v>1</x:v>
      </x:c>
      <x:c r="I420" s="2" t="n">
        <x:f>IF(NOT(ISNUMBER(G420)),"n.a.",IF(G420=0,0,IF(AND(B420=B406,A420=EDATE(A406,1),H420=H406,ISNUMBER(I406)),I406+1,1)))</x:f>
        <x:v>7</x:v>
      </x:c>
      <x:c r="J420" s="2" t="n">
        <x:f>IF(ISNUMBER(F420),IF(AND(ABS(F420)+0.00000000001&gt;=$B$7,ABS(E420)+0.000000001&gt;=$D$7),1,0),"n.a.")</x:f>
        <x:v>0</x:v>
      </x:c>
      <x:c r="K420" s="2" t="str">
        <x:f>IF(NOT(ISNUMBER(F420)),"No evaluable",IF(OR(J420=1,I420&gt;=$B$8),"Prioridad",IF(G420=1,"Observar","Sin umbral")))</x:f>
        <x:v>Prioridad</x:v>
      </x:c>
      <x:c r="L420" s="2" t="str">
        <x:f>IF(K420="No evaluable","Faltan datos",IF(J420=1,"Magnitud",IF(I420&gt;=$B$8,"Persistencia",IF(G420=1,"Cambio del mes","Sin umbral"))))</x:f>
        <x:v>Persistencia</x:v>
      </x:c>
      <x:c r="M420" s="2" t="n">
        <x:f>ROW()-40</x:f>
        <x:v>380</x:v>
      </x:c>
    </x:row>
    <x:row r="421" ht="48" customHeight="1">
      <x:c r="A421" s="4" t="n">
        <x:v>45748</x:v>
      </x:c>
      <x:c r="B421" s="32" t="str">
        <x:v>Alimentación y artículos de consumo masivo</x:v>
      </x:c>
      <x:c r="C421" s="10" t="n">
        <x:f>IF(ISNUMBER('Actividades'!F558),'Actividades'!F558,"n.a.")</x:f>
        <x:v>275.5870055555555</x:v>
      </x:c>
      <x:c r="D421" s="10" t="n">
        <x:f>IF(ISNUMBER('Actividades'!G558),'Actividades'!G558,"n.a.")</x:f>
        <x:v>288.5058208333333</x:v>
      </x:c>
      <x:c r="E421" s="10" t="n">
        <x:f>IF(AND(ISNUMBER(C421),ISNUMBER(D421),C421&gt;=0,D421&gt;0),C421-D421,"n.a.")</x:f>
        <x:v>-12.91881527777781</x:v>
      </x:c>
      <x:c r="F421" s="12" t="n">
        <x:f>IF(ISNUMBER(E421),E421/D421,"n.a.")</x:f>
        <x:v>-0.0447783522719317</x:v>
      </x:c>
      <x:c r="G421" s="2" t="n">
        <x:f>IF(ISNUMBER(F421),IF(AND(ABS(F421)+0.00000000001&gt;=$B$6,ABS(E421)+0.000000001&gt;=$D$6),1,0),"n.a.")</x:f>
        <x:v>0</x:v>
      </x:c>
      <x:c r="H421" s="2" t="n">
        <x:f>IF(ISNUMBER(E421),SIGN(E421),"n.a.")</x:f>
        <x:v>-1</x:v>
      </x:c>
      <x:c r="I421" s="2" t="n">
        <x:f>IF(NOT(ISNUMBER(G421)),"n.a.",IF(G421=0,0,IF(AND(B421=B407,A421=EDATE(A407,1),H421=H407,ISNUMBER(I407)),I407+1,1)))</x:f>
        <x:v>0</x:v>
      </x:c>
      <x:c r="J421" s="2" t="n">
        <x:f>IF(ISNUMBER(F421),IF(AND(ABS(F421)+0.00000000001&gt;=$B$7,ABS(E421)+0.000000001&gt;=$D$7),1,0),"n.a.")</x:f>
        <x:v>0</x:v>
      </x:c>
      <x:c r="K421" s="2" t="str">
        <x:f>IF(NOT(ISNUMBER(F421)),"No evaluable",IF(OR(J421=1,I421&gt;=$B$8),"Prioridad",IF(G421=1,"Observar","Sin umbral")))</x:f>
        <x:v>Sin umbral</x:v>
      </x:c>
      <x:c r="L421" s="2" t="str">
        <x:f>IF(K421="No evaluable","Faltan datos",IF(J421=1,"Magnitud",IF(I421&gt;=$B$8,"Persistencia",IF(G421=1,"Cambio del mes","Sin umbral"))))</x:f>
        <x:v>Sin umbral</x:v>
      </x:c>
      <x:c r="M421" s="2" t="n">
        <x:f>ROW()-40</x:f>
        <x:v>381</x:v>
      </x:c>
    </x:row>
    <x:row r="422" ht="48" customHeight="1">
      <x:c r="A422" s="4" t="n">
        <x:v>45748</x:v>
      </x:c>
      <x:c r="B422" s="32" t="str">
        <x:v>Servicios públicos y transporte: agua y transporte en GBA</x:v>
      </x:c>
      <x:c r="C422" s="10" t="n">
        <x:f>IF(ISNUMBER('Actividades'!F559),'Actividades'!F559,"n.a.")</x:f>
        <x:v>75.51788333333334</x:v>
      </x:c>
      <x:c r="D422" s="10" t="n">
        <x:f>IF(ISNUMBER('Actividades'!G559),'Actividades'!G559,"n.a.")</x:f>
        <x:v>84.10488194444444</x:v>
      </x:c>
      <x:c r="E422" s="10" t="n">
        <x:f>IF(AND(ISNUMBER(C422),ISNUMBER(D422),C422&gt;=0,D422&gt;0),C422-D422,"n.a.")</x:f>
        <x:v>-8.586998611111099</x:v>
      </x:c>
      <x:c r="F422" s="12" t="n">
        <x:f>IF(ISNUMBER(E422),E422/D422,"n.a.")</x:f>
        <x:v>-0.10209869406609771</x:v>
      </x:c>
      <x:c r="G422" s="2" t="n">
        <x:f>IF(ISNUMBER(F422),IF(AND(ABS(F422)+0.00000000001&gt;=$B$6,ABS(E422)+0.000000001&gt;=$D$6),1,0),"n.a.")</x:f>
        <x:v>1</x:v>
      </x:c>
      <x:c r="H422" s="2" t="n">
        <x:f>IF(ISNUMBER(E422),SIGN(E422),"n.a.")</x:f>
        <x:v>-1</x:v>
      </x:c>
      <x:c r="I422" s="2" t="n">
        <x:f>IF(NOT(ISNUMBER(G422)),"n.a.",IF(G422=0,0,IF(AND(B422=B408,A422=EDATE(A408,1),H422=H408,ISNUMBER(I408)),I408+1,1)))</x:f>
        <x:v>7</x:v>
      </x:c>
      <x:c r="J422" s="2" t="n">
        <x:f>IF(ISNUMBER(F422),IF(AND(ABS(F422)+0.00000000001&gt;=$B$7,ABS(E422)+0.000000001&gt;=$D$7),1,0),"n.a.")</x:f>
        <x:v>0</x:v>
      </x:c>
      <x:c r="K422" s="2" t="str">
        <x:f>IF(NOT(ISNUMBER(F422)),"No evaluable",IF(OR(J422=1,I422&gt;=$B$8),"Prioridad",IF(G422=1,"Observar","Sin umbral")))</x:f>
        <x:v>Prioridad</x:v>
      </x:c>
      <x:c r="L422" s="2" t="str">
        <x:f>IF(K422="No evaluable","Faltan datos",IF(J422=1,"Magnitud",IF(I422&gt;=$B$8,"Persistencia",IF(G422=1,"Cambio del mes","Sin umbral"))))</x:f>
        <x:v>Persistencia</x:v>
      </x:c>
      <x:c r="M422" s="2" t="n">
        <x:f>ROW()-40</x:f>
        <x:v>382</x:v>
      </x:c>
    </x:row>
    <x:row r="423" ht="48" customHeight="1">
      <x:c r="A423" s="4" t="n">
        <x:v>45748</x:v>
      </x:c>
      <x:c r="B423" s="32" t="str">
        <x:v>Industria automotriz</x:v>
      </x:c>
      <x:c r="C423" s="10" t="n">
        <x:f>IF(ISNUMBER('Actividades'!F560),'Actividades'!F560,"n.a.")</x:f>
        <x:v>41.18686388888889</x:v>
      </x:c>
      <x:c r="D423" s="10" t="n">
        <x:f>IF(ISNUMBER('Actividades'!G560),'Actividades'!G560,"n.a.")</x:f>
        <x:v>40.914975000000005</x:v>
      </x:c>
      <x:c r="E423" s="10" t="n">
        <x:f>IF(AND(ISNUMBER(C423),ISNUMBER(D423),C423&gt;=0,D423&gt;0),C423-D423,"n.a.")</x:f>
        <x:v>0.2718888888888813</x:v>
      </x:c>
      <x:c r="F423" s="12" t="n">
        <x:f>IF(ISNUMBER(E423),E423/D423,"n.a.")</x:f>
        <x:v>0.006645217035789006</x:v>
      </x:c>
      <x:c r="G423" s="2" t="n">
        <x:f>IF(ISNUMBER(F423),IF(AND(ABS(F423)+0.00000000001&gt;=$B$6,ABS(E423)+0.000000001&gt;=$D$6),1,0),"n.a.")</x:f>
        <x:v>0</x:v>
      </x:c>
      <x:c r="H423" s="2" t="n">
        <x:f>IF(ISNUMBER(E423),SIGN(E423),"n.a.")</x:f>
        <x:v>1</x:v>
      </x:c>
      <x:c r="I423" s="2" t="n">
        <x:f>IF(NOT(ISNUMBER(G423)),"n.a.",IF(G423=0,0,IF(AND(B423=B409,A423=EDATE(A409,1),H423=H409,ISNUMBER(I409)),I409+1,1)))</x:f>
        <x:v>0</x:v>
      </x:c>
      <x:c r="J423" s="2" t="n">
        <x:f>IF(ISNUMBER(F423),IF(AND(ABS(F423)+0.00000000001&gt;=$B$7,ABS(E423)+0.000000001&gt;=$D$7),1,0),"n.a.")</x:f>
        <x:v>0</x:v>
      </x:c>
      <x:c r="K423" s="2" t="str">
        <x:f>IF(NOT(ISNUMBER(F423)),"No evaluable",IF(OR(J423=1,I423&gt;=$B$8),"Prioridad",IF(G423=1,"Observar","Sin umbral")))</x:f>
        <x:v>Sin umbral</x:v>
      </x:c>
      <x:c r="L423" s="2" t="str">
        <x:f>IF(K423="No evaluable","Faltan datos",IF(J423=1,"Magnitud",IF(I423&gt;=$B$8,"Persistencia",IF(G423=1,"Cambio del mes","Sin umbral"))))</x:f>
        <x:v>Sin umbral</x:v>
      </x:c>
      <x:c r="M423" s="2" t="n">
        <x:f>ROW()-40</x:f>
        <x:v>383</x:v>
      </x:c>
    </x:row>
    <x:row r="424" ht="48" customHeight="1">
      <x:c r="A424" s="4" t="n">
        <x:v>45748</x:v>
      </x:c>
      <x:c r="B424" s="32" t="str">
        <x:v>Derivados de petróleo</x:v>
      </x:c>
      <x:c r="C424" s="10" t="n">
        <x:f>IF(ISNUMBER('Actividades'!F561),'Actividades'!F561,"n.a.")</x:f>
        <x:v>153.31479305555555</x:v>
      </x:c>
      <x:c r="D424" s="10" t="n">
        <x:f>IF(ISNUMBER('Actividades'!G561),'Actividades'!G561,"n.a.")</x:f>
        <x:v>147.35657638888887</x:v>
      </x:c>
      <x:c r="E424" s="10" t="n">
        <x:f>IF(AND(ISNUMBER(C424),ISNUMBER(D424),C424&gt;=0,D424&gt;0),C424-D424,"n.a.")</x:f>
        <x:v>5.9582166666666865</x:v>
      </x:c>
      <x:c r="F424" s="12" t="n">
        <x:f>IF(ISNUMBER(E424),E424/D424,"n.a.")</x:f>
        <x:v>0.04043400581554197</x:v>
      </x:c>
      <x:c r="G424" s="2" t="n">
        <x:f>IF(ISNUMBER(F424),IF(AND(ABS(F424)+0.00000000001&gt;=$B$6,ABS(E424)+0.000000001&gt;=$D$6),1,0),"n.a.")</x:f>
        <x:v>0</x:v>
      </x:c>
      <x:c r="H424" s="2" t="n">
        <x:f>IF(ISNUMBER(E424),SIGN(E424),"n.a.")</x:f>
        <x:v>1</x:v>
      </x:c>
      <x:c r="I424" s="2" t="n">
        <x:f>IF(NOT(ISNUMBER(G424)),"n.a.",IF(G424=0,0,IF(AND(B424=B410,A424=EDATE(A410,1),H424=H410,ISNUMBER(I410)),I410+1,1)))</x:f>
        <x:v>0</x:v>
      </x:c>
      <x:c r="J424" s="2" t="n">
        <x:f>IF(ISNUMBER(F424),IF(AND(ABS(F424)+0.00000000001&gt;=$B$7,ABS(E424)+0.000000001&gt;=$D$7),1,0),"n.a.")</x:f>
        <x:v>0</x:v>
      </x:c>
      <x:c r="K424" s="2" t="str">
        <x:f>IF(NOT(ISNUMBER(F424)),"No evaluable",IF(OR(J424=1,I424&gt;=$B$8),"Prioridad",IF(G424=1,"Observar","Sin umbral")))</x:f>
        <x:v>Sin umbral</x:v>
      </x:c>
      <x:c r="L424" s="2" t="str">
        <x:f>IF(K424="No evaluable","Faltan datos",IF(J424=1,"Magnitud",IF(I424&gt;=$B$8,"Persistencia",IF(G424=1,"Cambio del mes","Sin umbral"))))</x:f>
        <x:v>Sin umbral</x:v>
      </x:c>
      <x:c r="M424" s="2" t="n">
        <x:f>ROW()-40</x:f>
        <x:v>384</x:v>
      </x:c>
    </x:row>
    <x:row r="425" ht="48" customHeight="1">
      <x:c r="A425" s="4" t="n">
        <x:v>45748</x:v>
      </x:c>
      <x:c r="B425" s="32" t="str">
        <x:v>Construcción: elaboración de cemento y canteras</x:v>
      </x:c>
      <x:c r="C425" s="10" t="n">
        <x:f>IF(ISNUMBER('Actividades'!F562),'Actividades'!F562,"n.a.")</x:f>
        <x:v>149.36918888888889</x:v>
      </x:c>
      <x:c r="D425" s="10" t="n">
        <x:f>IF(ISNUMBER('Actividades'!G562),'Actividades'!G562,"n.a.")</x:f>
        <x:v>141.21971805555555</x:v>
      </x:c>
      <x:c r="E425" s="10" t="n">
        <x:f>IF(AND(ISNUMBER(C425),ISNUMBER(D425),C425&gt;=0,D425&gt;0),C425-D425,"n.a.")</x:f>
        <x:v>8.14947083333334</x:v>
      </x:c>
      <x:c r="F425" s="12" t="n">
        <x:f>IF(ISNUMBER(E425),E425/D425,"n.a.")</x:f>
        <x:v>0.05770774043131395</x:v>
      </x:c>
      <x:c r="G425" s="2" t="n">
        <x:f>IF(ISNUMBER(F425),IF(AND(ABS(F425)+0.00000000001&gt;=$B$6,ABS(E425)+0.000000001&gt;=$D$6),1,0),"n.a.")</x:f>
        <x:v>0</x:v>
      </x:c>
      <x:c r="H425" s="2" t="n">
        <x:f>IF(ISNUMBER(E425),SIGN(E425),"n.a.")</x:f>
        <x:v>1</x:v>
      </x:c>
      <x:c r="I425" s="2" t="n">
        <x:f>IF(NOT(ISNUMBER(G425)),"n.a.",IF(G425=0,0,IF(AND(B425=B411,A425=EDATE(A411,1),H425=H411,ISNUMBER(I411)),I411+1,1)))</x:f>
        <x:v>0</x:v>
      </x:c>
      <x:c r="J425" s="2" t="n">
        <x:f>IF(ISNUMBER(F425),IF(AND(ABS(F425)+0.00000000001&gt;=$B$7,ABS(E425)+0.000000001&gt;=$D$7),1,0),"n.a.")</x:f>
        <x:v>0</x:v>
      </x:c>
      <x:c r="K425" s="2" t="str">
        <x:f>IF(NOT(ISNUMBER(F425)),"No evaluable",IF(OR(J425=1,I425&gt;=$B$8),"Prioridad",IF(G425=1,"Observar","Sin umbral")))</x:f>
        <x:v>Sin umbral</x:v>
      </x:c>
      <x:c r="L425" s="2" t="str">
        <x:f>IF(K425="No evaluable","Faltan datos",IF(J425=1,"Magnitud",IF(I425&gt;=$B$8,"Persistencia",IF(G425=1,"Cambio del mes","Sin umbral"))))</x:f>
        <x:v>Sin umbral</x:v>
      </x:c>
      <x:c r="M425" s="2" t="n">
        <x:f>ROW()-40</x:f>
        <x:v>385</x:v>
      </x:c>
    </x:row>
    <x:row r="426" ht="48" customHeight="1">
      <x:c r="A426" s="4" t="n">
        <x:v>45748</x:v>
      </x:c>
      <x:c r="B426" s="32" t="str">
        <x:v>Madera y papel</x:v>
      </x:c>
      <x:c r="C426" s="10" t="n">
        <x:f>IF(ISNUMBER('Actividades'!F563),'Actividades'!F563,"n.a.")</x:f>
        <x:v>100.82068472222223</x:v>
      </x:c>
      <x:c r="D426" s="10" t="n">
        <x:f>IF(ISNUMBER('Actividades'!G563),'Actividades'!G563,"n.a.")</x:f>
        <x:v>103.92362638888888</x:v>
      </x:c>
      <x:c r="E426" s="10" t="n">
        <x:f>IF(AND(ISNUMBER(C426),ISNUMBER(D426),C426&gt;=0,D426&gt;0),C426-D426,"n.a.")</x:f>
        <x:v>-3.102941666666652</x:v>
      </x:c>
      <x:c r="F426" s="12" t="n">
        <x:f>IF(ISNUMBER(E426),E426/D426,"n.a.")</x:f>
        <x:v>-0.029857904063655797</x:v>
      </x:c>
      <x:c r="G426" s="2" t="n">
        <x:f>IF(ISNUMBER(F426),IF(AND(ABS(F426)+0.00000000001&gt;=$B$6,ABS(E426)+0.000000001&gt;=$D$6),1,0),"n.a.")</x:f>
        <x:v>0</x:v>
      </x:c>
      <x:c r="H426" s="2" t="n">
        <x:f>IF(ISNUMBER(E426),SIGN(E426),"n.a.")</x:f>
        <x:v>-1</x:v>
      </x:c>
      <x:c r="I426" s="2" t="n">
        <x:f>IF(NOT(ISNUMBER(G426)),"n.a.",IF(G426=0,0,IF(AND(B426=B412,A426=EDATE(A412,1),H426=H412,ISNUMBER(I412)),I412+1,1)))</x:f>
        <x:v>0</x:v>
      </x:c>
      <x:c r="J426" s="2" t="n">
        <x:f>IF(ISNUMBER(F426),IF(AND(ABS(F426)+0.00000000001&gt;=$B$7,ABS(E426)+0.000000001&gt;=$D$7),1,0),"n.a.")</x:f>
        <x:v>0</x:v>
      </x:c>
      <x:c r="K426" s="2" t="str">
        <x:f>IF(NOT(ISNUMBER(F426)),"No evaluable",IF(OR(J426=1,I426&gt;=$B$8),"Prioridad",IF(G426=1,"Observar","Sin umbral")))</x:f>
        <x:v>Sin umbral</x:v>
      </x:c>
      <x:c r="L426" s="2" t="str">
        <x:f>IF(K426="No evaluable","Faltan datos",IF(J426=1,"Magnitud",IF(I426&gt;=$B$8,"Persistencia",IF(G426=1,"Cambio del mes","Sin umbral"))))</x:f>
        <x:v>Sin umbral</x:v>
      </x:c>
      <x:c r="M426" s="2" t="n">
        <x:f>ROW()-40</x:f>
        <x:v>386</x:v>
      </x:c>
    </x:row>
    <x:row r="427" ht="48" customHeight="1">
      <x:c r="A427" s="4" t="n">
        <x:v>45748</x:v>
      </x:c>
      <x:c r="B427" s="32" t="str">
        <x:v>Productos metálicos no automotores</x:v>
      </x:c>
      <x:c r="C427" s="10" t="n">
        <x:f>IF(ISNUMBER('Actividades'!F564),'Actividades'!F564,"n.a.")</x:f>
        <x:v>31.430494444444445</x:v>
      </x:c>
      <x:c r="D427" s="10" t="n">
        <x:f>IF(ISNUMBER('Actividades'!G564),'Actividades'!G564,"n.a.")</x:f>
        <x:v>41.50441111111111</x:v>
      </x:c>
      <x:c r="E427" s="10" t="n">
        <x:f>IF(AND(ISNUMBER(C427),ISNUMBER(D427),C427&gt;=0,D427&gt;0),C427-D427,"n.a.")</x:f>
        <x:v>-10.073916666666666</x:v>
      </x:c>
      <x:c r="F427" s="12" t="n">
        <x:f>IF(ISNUMBER(E427),E427/D427,"n.a.")</x:f>
        <x:v>-0.24271918085279823</x:v>
      </x:c>
      <x:c r="G427" s="2" t="n">
        <x:f>IF(ISNUMBER(F427),IF(AND(ABS(F427)+0.00000000001&gt;=$B$6,ABS(E427)+0.000000001&gt;=$D$6),1,0),"n.a.")</x:f>
        <x:v>1</x:v>
      </x:c>
      <x:c r="H427" s="2" t="n">
        <x:f>IF(ISNUMBER(E427),SIGN(E427),"n.a.")</x:f>
        <x:v>-1</x:v>
      </x:c>
      <x:c r="I427" s="2" t="n">
        <x:f>IF(NOT(ISNUMBER(G427)),"n.a.",IF(G427=0,0,IF(AND(B427=B413,A427=EDATE(A413,1),H427=H413,ISNUMBER(I413)),I413+1,1)))</x:f>
        <x:v>2</x:v>
      </x:c>
      <x:c r="J427" s="2" t="n">
        <x:f>IF(ISNUMBER(F427),IF(AND(ABS(F427)+0.00000000001&gt;=$B$7,ABS(E427)+0.000000001&gt;=$D$7),1,0),"n.a.")</x:f>
        <x:v>1</x:v>
      </x:c>
      <x:c r="K427" s="2" t="str">
        <x:f>IF(NOT(ISNUMBER(F427)),"No evaluable",IF(OR(J427=1,I427&gt;=$B$8),"Prioridad",IF(G427=1,"Observar","Sin umbral")))</x:f>
        <x:v>Prioridad</x:v>
      </x:c>
      <x:c r="L427" s="2" t="str">
        <x:f>IF(K427="No evaluable","Faltan datos",IF(J427=1,"Magnitud",IF(I427&gt;=$B$8,"Persistencia",IF(G427=1,"Cambio del mes","Sin umbral"))))</x:f>
        <x:v>Magnitud</x:v>
      </x:c>
      <x:c r="M427" s="2" t="n">
        <x:f>ROW()-40</x:f>
        <x:v>387</x:v>
      </x:c>
    </x:row>
    <x:row r="428" ht="48" customHeight="1">
      <x:c r="A428" s="4" t="n">
        <x:v>45748</x:v>
      </x:c>
      <x:c r="B428" s="32" t="str">
        <x:v>Gran siderurgia</x:v>
      </x:c>
      <x:c r="C428" s="10" t="n">
        <x:f>IF(ISNUMBER('Actividades'!F565),'Actividades'!F565,"n.a.")</x:f>
        <x:v>247.63442222222224</x:v>
      </x:c>
      <x:c r="D428" s="10" t="n">
        <x:f>IF(ISNUMBER('Actividades'!G565),'Actividades'!G565,"n.a.")</x:f>
        <x:v>256.65835555555554</x:v>
      </x:c>
      <x:c r="E428" s="10" t="n">
        <x:f>IF(AND(ISNUMBER(C428),ISNUMBER(D428),C428&gt;=0,D428&gt;0),C428-D428,"n.a.")</x:f>
        <x:v>-9.023933333333304</x:v>
      </x:c>
      <x:c r="F428" s="12" t="n">
        <x:f>IF(ISNUMBER(E428),E428/D428,"n.a.")</x:f>
        <x:v>-0.035159320310458424</x:v>
      </x:c>
      <x:c r="G428" s="2" t="n">
        <x:f>IF(ISNUMBER(F428),IF(AND(ABS(F428)+0.00000000001&gt;=$B$6,ABS(E428)+0.000000001&gt;=$D$6),1,0),"n.a.")</x:f>
        <x:v>0</x:v>
      </x:c>
      <x:c r="H428" s="2" t="n">
        <x:f>IF(ISNUMBER(E428),SIGN(E428),"n.a.")</x:f>
        <x:v>-1</x:v>
      </x:c>
      <x:c r="I428" s="2" t="n">
        <x:f>IF(NOT(ISNUMBER(G428)),"n.a.",IF(G428=0,0,IF(AND(B428=B414,A428=EDATE(A414,1),H428=H414,ISNUMBER(I414)),I414+1,1)))</x:f>
        <x:v>0</x:v>
      </x:c>
      <x:c r="J428" s="2" t="n">
        <x:f>IF(ISNUMBER(F428),IF(AND(ABS(F428)+0.00000000001&gt;=$B$7,ABS(E428)+0.000000001&gt;=$D$7),1,0),"n.a.")</x:f>
        <x:v>0</x:v>
      </x:c>
      <x:c r="K428" s="2" t="str">
        <x:f>IF(NOT(ISNUMBER(F428)),"No evaluable",IF(OR(J428=1,I428&gt;=$B$8),"Prioridad",IF(G428=1,"Observar","Sin umbral")))</x:f>
        <x:v>Sin umbral</x:v>
      </x:c>
      <x:c r="L428" s="2" t="str">
        <x:f>IF(K428="No evaluable","Faltan datos",IF(J428=1,"Magnitud",IF(I428&gt;=$B$8,"Persistencia",IF(G428=1,"Cambio del mes","Sin umbral"))))</x:f>
        <x:v>Sin umbral</x:v>
      </x:c>
      <x:c r="M428" s="2" t="n">
        <x:f>ROW()-40</x:f>
        <x:v>388</x:v>
      </x:c>
    </x:row>
    <x:row r="429" ht="48" customHeight="1">
      <x:c r="A429" s="4" t="n">
        <x:v>45748</x:v>
      </x:c>
      <x:c r="B429" s="32" t="str">
        <x:v>Industria textil</x:v>
      </x:c>
      <x:c r="C429" s="10" t="n">
        <x:f>IF(ISNUMBER('Actividades'!F566),'Actividades'!F566,"n.a.")</x:f>
        <x:v>50.211259722222216</x:v>
      </x:c>
      <x:c r="D429" s="10" t="n">
        <x:f>IF(ISNUMBER('Actividades'!G566),'Actividades'!G566,"n.a.")</x:f>
        <x:v>49.75077361111111</x:v>
      </x:c>
      <x:c r="E429" s="10" t="n">
        <x:f>IF(AND(ISNUMBER(C429),ISNUMBER(D429),C429&gt;=0,D429&gt;0),C429-D429,"n.a.")</x:f>
        <x:v>0.46048611111110915</x:v>
      </x:c>
      <x:c r="F429" s="12" t="n">
        <x:f>IF(ISNUMBER(E429),E429/D429,"n.a.")</x:f>
        <x:v>0.009255858305050884</x:v>
      </x:c>
      <x:c r="G429" s="2" t="n">
        <x:f>IF(ISNUMBER(F429),IF(AND(ABS(F429)+0.00000000001&gt;=$B$6,ABS(E429)+0.000000001&gt;=$D$6),1,0),"n.a.")</x:f>
        <x:v>0</x:v>
      </x:c>
      <x:c r="H429" s="2" t="n">
        <x:f>IF(ISNUMBER(E429),SIGN(E429),"n.a.")</x:f>
        <x:v>1</x:v>
      </x:c>
      <x:c r="I429" s="2" t="n">
        <x:f>IF(NOT(ISNUMBER(G429)),"n.a.",IF(G429=0,0,IF(AND(B429=B415,A429=EDATE(A415,1),H429=H415,ISNUMBER(I415)),I415+1,1)))</x:f>
        <x:v>0</x:v>
      </x:c>
      <x:c r="J429" s="2" t="n">
        <x:f>IF(ISNUMBER(F429),IF(AND(ABS(F429)+0.00000000001&gt;=$B$7,ABS(E429)+0.000000001&gt;=$D$7),1,0),"n.a.")</x:f>
        <x:v>0</x:v>
      </x:c>
      <x:c r="K429" s="2" t="str">
        <x:f>IF(NOT(ISNUMBER(F429)),"No evaluable",IF(OR(J429=1,I429&gt;=$B$8),"Prioridad",IF(G429=1,"Observar","Sin umbral")))</x:f>
        <x:v>Sin umbral</x:v>
      </x:c>
      <x:c r="L429" s="2" t="str">
        <x:f>IF(K429="No evaluable","Faltan datos",IF(J429=1,"Magnitud",IF(I429&gt;=$B$8,"Persistencia",IF(G429=1,"Cambio del mes","Sin umbral"))))</x:f>
        <x:v>Sin umbral</x:v>
      </x:c>
      <x:c r="M429" s="2" t="n">
        <x:f>ROW()-40</x:f>
        <x:v>389</x:v>
      </x:c>
    </x:row>
    <x:row r="430" ht="48" customHeight="1">
      <x:c r="A430" s="4" t="n">
        <x:v>45748</x:v>
      </x:c>
      <x:c r="B430" s="32" t="str">
        <x:v>Químicas, caucho, plástico y otros minerales no metálicos</x:v>
      </x:c>
      <x:c r="C430" s="10" t="n">
        <x:f>IF(ISNUMBER('Actividades'!F567),'Actividades'!F567,"n.a.")</x:f>
        <x:v>326.77516249999996</x:v>
      </x:c>
      <x:c r="D430" s="10" t="n">
        <x:f>IF(ISNUMBER('Actividades'!G567),'Actividades'!G567,"n.a.")</x:f>
        <x:v>322.79945416666664</x:v>
      </x:c>
      <x:c r="E430" s="10" t="n">
        <x:f>IF(AND(ISNUMBER(C430),ISNUMBER(D430),C430&gt;=0,D430&gt;0),C430-D430,"n.a.")</x:f>
        <x:v>3.97570833333333</x:v>
      </x:c>
      <x:c r="F430" s="12" t="n">
        <x:f>IF(ISNUMBER(E430),E430/D430,"n.a.")</x:f>
        <x:v>0.012316341561347892</x:v>
      </x:c>
      <x:c r="G430" s="2" t="n">
        <x:f>IF(ISNUMBER(F430),IF(AND(ABS(F430)+0.00000000001&gt;=$B$6,ABS(E430)+0.000000001&gt;=$D$6),1,0),"n.a.")</x:f>
        <x:v>0</x:v>
      </x:c>
      <x:c r="H430" s="2" t="n">
        <x:f>IF(ISNUMBER(E430),SIGN(E430),"n.a.")</x:f>
        <x:v>1</x:v>
      </x:c>
      <x:c r="I430" s="2" t="n">
        <x:f>IF(NOT(ISNUMBER(G430)),"n.a.",IF(G430=0,0,IF(AND(B430=B416,A430=EDATE(A416,1),H430=H416,ISNUMBER(I416)),I416+1,1)))</x:f>
        <x:v>0</x:v>
      </x:c>
      <x:c r="J430" s="2" t="n">
        <x:f>IF(ISNUMBER(F430),IF(AND(ABS(F430)+0.00000000001&gt;=$B$7,ABS(E430)+0.000000001&gt;=$D$7),1,0),"n.a.")</x:f>
        <x:v>0</x:v>
      </x:c>
      <x:c r="K430" s="2" t="str">
        <x:f>IF(NOT(ISNUMBER(F430)),"No evaluable",IF(OR(J430=1,I430&gt;=$B$8),"Prioridad",IF(G430=1,"Observar","Sin umbral")))</x:f>
        <x:v>Sin umbral</x:v>
      </x:c>
      <x:c r="L430" s="2" t="str">
        <x:f>IF(K430="No evaluable","Faltan datos",IF(J430=1,"Magnitud",IF(I430&gt;=$B$8,"Persistencia",IF(G430=1,"Cambio del mes","Sin umbral"))))</x:f>
        <x:v>Sin umbral</x:v>
      </x:c>
      <x:c r="M430" s="2" t="n">
        <x:f>ROW()-40</x:f>
        <x:v>390</x:v>
      </x:c>
    </x:row>
    <x:row r="431" ht="48" customHeight="1">
      <x:c r="A431" s="4" t="n">
        <x:v>45748</x:v>
      </x:c>
      <x:c r="B431" s="32" t="str">
        <x:v>Extracción de minerales</x:v>
      </x:c>
      <x:c r="C431" s="10" t="n">
        <x:f>IF(ISNUMBER('Actividades'!F568),'Actividades'!F568,"n.a.")</x:f>
        <x:v>24.467341666666666</x:v>
      </x:c>
      <x:c r="D431" s="10" t="n">
        <x:f>IF(ISNUMBER('Actividades'!G568),'Actividades'!G568,"n.a.")</x:f>
        <x:v>21.144481944444447</x:v>
      </x:c>
      <x:c r="E431" s="10" t="n">
        <x:f>IF(AND(ISNUMBER(C431),ISNUMBER(D431),C431&gt;=0,D431&gt;0),C431-D431,"n.a.")</x:f>
        <x:v>3.322859722222219</x:v>
      </x:c>
      <x:c r="F431" s="12" t="n">
        <x:f>IF(ISNUMBER(E431),E431/D431,"n.a.")</x:f>
        <x:v>0.15715020736628998</x:v>
      </x:c>
      <x:c r="G431" s="2" t="n">
        <x:f>IF(ISNUMBER(F431),IF(AND(ABS(F431)+0.00000000001&gt;=$B$6,ABS(E431)+0.000000001&gt;=$D$6),1,0),"n.a.")</x:f>
        <x:v>0</x:v>
      </x:c>
      <x:c r="H431" s="2" t="n">
        <x:f>IF(ISNUMBER(E431),SIGN(E431),"n.a.")</x:f>
        <x:v>1</x:v>
      </x:c>
      <x:c r="I431" s="2" t="n">
        <x:f>IF(NOT(ISNUMBER(G431)),"n.a.",IF(G431=0,0,IF(AND(B431=B417,A431=EDATE(A417,1),H431=H417,ISNUMBER(I417)),I417+1,1)))</x:f>
        <x:v>0</x:v>
      </x:c>
      <x:c r="J431" s="2" t="n">
        <x:f>IF(ISNUMBER(F431),IF(AND(ABS(F431)+0.00000000001&gt;=$B$7,ABS(E431)+0.000000001&gt;=$D$7),1,0),"n.a.")</x:f>
        <x:v>0</x:v>
      </x:c>
      <x:c r="K431" s="2" t="str">
        <x:f>IF(NOT(ISNUMBER(F431)),"No evaluable",IF(OR(J431=1,I431&gt;=$B$8),"Prioridad",IF(G431=1,"Observar","Sin umbral")))</x:f>
        <x:v>Sin umbral</x:v>
      </x:c>
      <x:c r="L431" s="2" t="str">
        <x:f>IF(K431="No evaluable","Faltan datos",IF(J431=1,"Magnitud",IF(I431&gt;=$B$8,"Persistencia",IF(G431=1,"Cambio del mes","Sin umbral"))))</x:f>
        <x:v>Sin umbral</x:v>
      </x:c>
      <x:c r="M431" s="2" t="n">
        <x:f>ROW()-40</x:f>
        <x:v>391</x:v>
      </x:c>
    </x:row>
    <x:row r="432" ht="48" customHeight="1">
      <x:c r="A432" s="4" t="n">
        <x:v>45748</x:v>
      </x:c>
      <x:c r="B432" s="32" t="str">
        <x:v>Extracción de petróleo</x:v>
      </x:c>
      <x:c r="C432" s="10" t="n">
        <x:f>IF(ISNUMBER('Actividades'!F569),'Actividades'!F569,"n.a.")</x:f>
        <x:v>141.92951944444445</x:v>
      </x:c>
      <x:c r="D432" s="10" t="n">
        <x:f>IF(ISNUMBER('Actividades'!G569),'Actividades'!G569,"n.a.")</x:f>
        <x:v>152.8361875</x:v>
      </x:c>
      <x:c r="E432" s="10" t="n">
        <x:f>IF(AND(ISNUMBER(C432),ISNUMBER(D432),C432&gt;=0,D432&gt;0),C432-D432,"n.a.")</x:f>
        <x:v>-10.906668055555542</x:v>
      </x:c>
      <x:c r="F432" s="12" t="n">
        <x:f>IF(ISNUMBER(E432),E432/D432,"n.a.")</x:f>
        <x:v>-0.07136181707984271</x:v>
      </x:c>
      <x:c r="G432" s="2" t="n">
        <x:f>IF(ISNUMBER(F432),IF(AND(ABS(F432)+0.00000000001&gt;=$B$6,ABS(E432)+0.000000001&gt;=$D$6),1,0),"n.a.")</x:f>
        <x:v>0</x:v>
      </x:c>
      <x:c r="H432" s="2" t="n">
        <x:f>IF(ISNUMBER(E432),SIGN(E432),"n.a.")</x:f>
        <x:v>-1</x:v>
      </x:c>
      <x:c r="I432" s="2" t="n">
        <x:f>IF(NOT(ISNUMBER(G432)),"n.a.",IF(G432=0,0,IF(AND(B432=B418,A432=EDATE(A418,1),H432=H418,ISNUMBER(I418)),I418+1,1)))</x:f>
        <x:v>0</x:v>
      </x:c>
      <x:c r="J432" s="2" t="n">
        <x:f>IF(ISNUMBER(F432),IF(AND(ABS(F432)+0.00000000001&gt;=$B$7,ABS(E432)+0.000000001&gt;=$D$7),1,0),"n.a.")</x:f>
        <x:v>0</x:v>
      </x:c>
      <x:c r="K432" s="2" t="str">
        <x:f>IF(NOT(ISNUMBER(F432)),"No evaluable",IF(OR(J432=1,I432&gt;=$B$8),"Prioridad",IF(G432=1,"Observar","Sin umbral")))</x:f>
        <x:v>Sin umbral</x:v>
      </x:c>
      <x:c r="L432" s="2" t="str">
        <x:f>IF(K432="No evaluable","Faltan datos",IF(J432=1,"Magnitud",IF(I432&gt;=$B$8,"Persistencia",IF(G432=1,"Cambio del mes","Sin umbral"))))</x:f>
        <x:v>Sin umbral</x:v>
      </x:c>
      <x:c r="M432" s="2" t="n">
        <x:f>ROW()-40</x:f>
        <x:v>392</x:v>
      </x:c>
    </x:row>
    <x:row r="433" ht="48" customHeight="1">
      <x:c r="A433" s="4" t="n">
        <x:v>45778</x:v>
      </x:c>
      <x:c r="B433" s="32" t="str">
        <x:v>Cargas y puertos</x:v>
      </x:c>
      <x:c r="C433" s="10" t="n">
        <x:f>IF(ISNUMBER('Actividades'!F570),'Actividades'!F570,"n.a.")</x:f>
        <x:v>9.245549731182795</x:v>
      </x:c>
      <x:c r="D433" s="10" t="n">
        <x:f>IF(ISNUMBER('Actividades'!G570),'Actividades'!G570,"n.a.")</x:f>
        <x:v>9.037594086021505</x:v>
      </x:c>
      <x:c r="E433" s="10" t="n">
        <x:f>IF(AND(ISNUMBER(C433),ISNUMBER(D433),C433&gt;=0,D433&gt;0),C433-D433,"n.a.")</x:f>
        <x:v>0.20795564516128984</x:v>
      </x:c>
      <x:c r="F433" s="12" t="n">
        <x:f>IF(ISNUMBER(E433),E433/D433,"n.a.")</x:f>
        <x:v>0.02301006696936477</x:v>
      </x:c>
      <x:c r="G433" s="2" t="n">
        <x:f>IF(ISNUMBER(F433),IF(AND(ABS(F433)+0.00000000001&gt;=$B$6,ABS(E433)+0.000000001&gt;=$D$6),1,0),"n.a.")</x:f>
        <x:v>0</x:v>
      </x:c>
      <x:c r="H433" s="2" t="n">
        <x:f>IF(ISNUMBER(E433),SIGN(E433),"n.a.")</x:f>
        <x:v>1</x:v>
      </x:c>
      <x:c r="I433" s="2" t="n">
        <x:f>IF(NOT(ISNUMBER(G433)),"n.a.",IF(G433=0,0,IF(AND(B433=B419,A433=EDATE(A419,1),H433=H419,ISNUMBER(I419)),I419+1,1)))</x:f>
        <x:v>0</x:v>
      </x:c>
      <x:c r="J433" s="2" t="n">
        <x:f>IF(ISNUMBER(F433),IF(AND(ABS(F433)+0.00000000001&gt;=$B$7,ABS(E433)+0.000000001&gt;=$D$7),1,0),"n.a.")</x:f>
        <x:v>0</x:v>
      </x:c>
      <x:c r="K433" s="2" t="str">
        <x:f>IF(NOT(ISNUMBER(F433)),"No evaluable",IF(OR(J433=1,I433&gt;=$B$8),"Prioridad",IF(G433=1,"Observar","Sin umbral")))</x:f>
        <x:v>Sin umbral</x:v>
      </x:c>
      <x:c r="L433" s="2" t="str">
        <x:f>IF(K433="No evaluable","Faltan datos",IF(J433=1,"Magnitud",IF(I433&gt;=$B$8,"Persistencia",IF(G433=1,"Cambio del mes","Sin umbral"))))</x:f>
        <x:v>Sin umbral</x:v>
      </x:c>
      <x:c r="M433" s="2" t="n">
        <x:f>ROW()-40</x:f>
        <x:v>393</x:v>
      </x:c>
    </x:row>
    <x:row r="434" ht="48" customHeight="1">
      <x:c r="A434" s="4" t="n">
        <x:v>45778</x:v>
      </x:c>
      <x:c r="B434" s="32" t="str">
        <x:v>Comercio y servicios: principalmente supermercados y centros comerciales</x:v>
      </x:c>
      <x:c r="C434" s="10" t="n">
        <x:f>IF(ISNUMBER('Actividades'!F571),'Actividades'!F571,"n.a.")</x:f>
        <x:v>44.32232123655914</x:v>
      </x:c>
      <x:c r="D434" s="10" t="n">
        <x:f>IF(ISNUMBER('Actividades'!G571),'Actividades'!G571,"n.a.")</x:f>
        <x:v>31.103408602150537</x:v>
      </x:c>
      <x:c r="E434" s="10" t="n">
        <x:f>IF(AND(ISNUMBER(C434),ISNUMBER(D434),C434&gt;=0,D434&gt;0),C434-D434,"n.a.")</x:f>
        <x:v>13.218912634408603</x:v>
      </x:c>
      <x:c r="F434" s="12" t="n">
        <x:f>IF(ISNUMBER(E434),E434/D434,"n.a.")</x:f>
        <x:v>0.42499884187917036</x:v>
      </x:c>
      <x:c r="G434" s="2" t="n">
        <x:f>IF(ISNUMBER(F434),IF(AND(ABS(F434)+0.00000000001&gt;=$B$6,ABS(E434)+0.000000001&gt;=$D$6),1,0),"n.a.")</x:f>
        <x:v>1</x:v>
      </x:c>
      <x:c r="H434" s="2" t="n">
        <x:f>IF(ISNUMBER(E434),SIGN(E434),"n.a.")</x:f>
        <x:v>1</x:v>
      </x:c>
      <x:c r="I434" s="2" t="n">
        <x:f>IF(NOT(ISNUMBER(G434)),"n.a.",IF(G434=0,0,IF(AND(B434=B420,A434=EDATE(A420,1),H434=H420,ISNUMBER(I420)),I420+1,1)))</x:f>
        <x:v>8</x:v>
      </x:c>
      <x:c r="J434" s="2" t="n">
        <x:f>IF(ISNUMBER(F434),IF(AND(ABS(F434)+0.00000000001&gt;=$B$7,ABS(E434)+0.000000001&gt;=$D$7),1,0),"n.a.")</x:f>
        <x:v>1</x:v>
      </x:c>
      <x:c r="K434" s="2" t="str">
        <x:f>IF(NOT(ISNUMBER(F434)),"No evaluable",IF(OR(J434=1,I434&gt;=$B$8),"Prioridad",IF(G434=1,"Observar","Sin umbral")))</x:f>
        <x:v>Prioridad</x:v>
      </x:c>
      <x:c r="L434" s="2" t="str">
        <x:f>IF(K434="No evaluable","Faltan datos",IF(J434=1,"Magnitud",IF(I434&gt;=$B$8,"Persistencia",IF(G434=1,"Cambio del mes","Sin umbral"))))</x:f>
        <x:v>Magnitud</x:v>
      </x:c>
      <x:c r="M434" s="2" t="n">
        <x:f>ROW()-40</x:f>
        <x:v>394</x:v>
      </x:c>
    </x:row>
    <x:row r="435" ht="48" customHeight="1">
      <x:c r="A435" s="4" t="n">
        <x:v>45778</x:v>
      </x:c>
      <x:c r="B435" s="32" t="str">
        <x:v>Alimentación y artículos de consumo masivo</x:v>
      </x:c>
      <x:c r="C435" s="10" t="n">
        <x:f>IF(ISNUMBER('Actividades'!F572),'Actividades'!F572,"n.a.")</x:f>
        <x:v>277.0284045698925</x:v>
      </x:c>
      <x:c r="D435" s="10" t="n">
        <x:f>IF(ISNUMBER('Actividades'!G572),'Actividades'!G572,"n.a.")</x:f>
        <x:v>275.74411290322575</x:v>
      </x:c>
      <x:c r="E435" s="10" t="n">
        <x:f>IF(AND(ISNUMBER(C435),ISNUMBER(D435),C435&gt;=0,D435&gt;0),C435-D435,"n.a.")</x:f>
        <x:v>1.284291666666718</x:v>
      </x:c>
      <x:c r="F435" s="12" t="n">
        <x:f>IF(ISNUMBER(E435),E435/D435,"n.a.")</x:f>
        <x:v>0.004657548816345713</x:v>
      </x:c>
      <x:c r="G435" s="2" t="n">
        <x:f>IF(ISNUMBER(F435),IF(AND(ABS(F435)+0.00000000001&gt;=$B$6,ABS(E435)+0.000000001&gt;=$D$6),1,0),"n.a.")</x:f>
        <x:v>0</x:v>
      </x:c>
      <x:c r="H435" s="2" t="n">
        <x:f>IF(ISNUMBER(E435),SIGN(E435),"n.a.")</x:f>
        <x:v>1</x:v>
      </x:c>
      <x:c r="I435" s="2" t="n">
        <x:f>IF(NOT(ISNUMBER(G435)),"n.a.",IF(G435=0,0,IF(AND(B435=B421,A435=EDATE(A421,1),H435=H421,ISNUMBER(I421)),I421+1,1)))</x:f>
        <x:v>0</x:v>
      </x:c>
      <x:c r="J435" s="2" t="n">
        <x:f>IF(ISNUMBER(F435),IF(AND(ABS(F435)+0.00000000001&gt;=$B$7,ABS(E435)+0.000000001&gt;=$D$7),1,0),"n.a.")</x:f>
        <x:v>0</x:v>
      </x:c>
      <x:c r="K435" s="2" t="str">
        <x:f>IF(NOT(ISNUMBER(F435)),"No evaluable",IF(OR(J435=1,I435&gt;=$B$8),"Prioridad",IF(G435=1,"Observar","Sin umbral")))</x:f>
        <x:v>Sin umbral</x:v>
      </x:c>
      <x:c r="L435" s="2" t="str">
        <x:f>IF(K435="No evaluable","Faltan datos",IF(J435=1,"Magnitud",IF(I435&gt;=$B$8,"Persistencia",IF(G435=1,"Cambio del mes","Sin umbral"))))</x:f>
        <x:v>Sin umbral</x:v>
      </x:c>
      <x:c r="M435" s="2" t="n">
        <x:f>ROW()-40</x:f>
        <x:v>395</x:v>
      </x:c>
    </x:row>
    <x:row r="436" ht="48" customHeight="1">
      <x:c r="A436" s="4" t="n">
        <x:v>45778</x:v>
      </x:c>
      <x:c r="B436" s="32" t="str">
        <x:v>Servicios públicos y transporte: agua y transporte en GBA</x:v>
      </x:c>
      <x:c r="C436" s="10" t="n">
        <x:f>IF(ISNUMBER('Actividades'!F573),'Actividades'!F573,"n.a.")</x:f>
        <x:v>71.67712634408602</x:v>
      </x:c>
      <x:c r="D436" s="10" t="n">
        <x:f>IF(ISNUMBER('Actividades'!G573),'Actividades'!G573,"n.a.")</x:f>
        <x:v>85.51842741935484</x:v>
      </x:c>
      <x:c r="E436" s="10" t="n">
        <x:f>IF(AND(ISNUMBER(C436),ISNUMBER(D436),C436&gt;=0,D436&gt;0),C436-D436,"n.a.")</x:f>
        <x:v>-13.841301075268817</x:v>
      </x:c>
      <x:c r="F436" s="12" t="n">
        <x:f>IF(ISNUMBER(E436),E436/D436,"n.a.")</x:f>
        <x:v>-0.1618516791403978</x:v>
      </x:c>
      <x:c r="G436" s="2" t="n">
        <x:f>IF(ISNUMBER(F436),IF(AND(ABS(F436)+0.00000000001&gt;=$B$6,ABS(E436)+0.000000001&gt;=$D$6),1,0),"n.a.")</x:f>
        <x:v>1</x:v>
      </x:c>
      <x:c r="H436" s="2" t="n">
        <x:f>IF(ISNUMBER(E436),SIGN(E436),"n.a.")</x:f>
        <x:v>-1</x:v>
      </x:c>
      <x:c r="I436" s="2" t="n">
        <x:f>IF(NOT(ISNUMBER(G436)),"n.a.",IF(G436=0,0,IF(AND(B436=B422,A436=EDATE(A422,1),H436=H422,ISNUMBER(I422)),I422+1,1)))</x:f>
        <x:v>8</x:v>
      </x:c>
      <x:c r="J436" s="2" t="n">
        <x:f>IF(ISNUMBER(F436),IF(AND(ABS(F436)+0.00000000001&gt;=$B$7,ABS(E436)+0.000000001&gt;=$D$7),1,0),"n.a.")</x:f>
        <x:v>0</x:v>
      </x:c>
      <x:c r="K436" s="2" t="str">
        <x:f>IF(NOT(ISNUMBER(F436)),"No evaluable",IF(OR(J436=1,I436&gt;=$B$8),"Prioridad",IF(G436=1,"Observar","Sin umbral")))</x:f>
        <x:v>Prioridad</x:v>
      </x:c>
      <x:c r="L436" s="2" t="str">
        <x:f>IF(K436="No evaluable","Faltan datos",IF(J436=1,"Magnitud",IF(I436&gt;=$B$8,"Persistencia",IF(G436=1,"Cambio del mes","Sin umbral"))))</x:f>
        <x:v>Persistencia</x:v>
      </x:c>
      <x:c r="M436" s="2" t="n">
        <x:f>ROW()-40</x:f>
        <x:v>396</x:v>
      </x:c>
    </x:row>
    <x:row r="437" ht="48" customHeight="1">
      <x:c r="A437" s="4" t="n">
        <x:v>45778</x:v>
      </x:c>
      <x:c r="B437" s="32" t="str">
        <x:v>Industria automotriz</x:v>
      </x:c>
      <x:c r="C437" s="10" t="n">
        <x:f>IF(ISNUMBER('Actividades'!F574),'Actividades'!F574,"n.a.")</x:f>
        <x:v>43.09435887096774</x:v>
      </x:c>
      <x:c r="D437" s="10" t="n">
        <x:f>IF(ISNUMBER('Actividades'!G574),'Actividades'!G574,"n.a.")</x:f>
        <x:v>38.929057795698924</x:v>
      </x:c>
      <x:c r="E437" s="10" t="n">
        <x:f>IF(AND(ISNUMBER(C437),ISNUMBER(D437),C437&gt;=0,D437&gt;0),C437-D437,"n.a.")</x:f>
        <x:v>4.165301075268815</x:v>
      </x:c>
      <x:c r="F437" s="12" t="n">
        <x:f>IF(ISNUMBER(E437),E437/D437,"n.a.")</x:f>
        <x:v>0.10699722292608423</x:v>
      </x:c>
      <x:c r="G437" s="2" t="n">
        <x:f>IF(ISNUMBER(F437),IF(AND(ABS(F437)+0.00000000001&gt;=$B$6,ABS(E437)+0.000000001&gt;=$D$6),1,0),"n.a.")</x:f>
        <x:v>0</x:v>
      </x:c>
      <x:c r="H437" s="2" t="n">
        <x:f>IF(ISNUMBER(E437),SIGN(E437),"n.a.")</x:f>
        <x:v>1</x:v>
      </x:c>
      <x:c r="I437" s="2" t="n">
        <x:f>IF(NOT(ISNUMBER(G437)),"n.a.",IF(G437=0,0,IF(AND(B437=B423,A437=EDATE(A423,1),H437=H423,ISNUMBER(I423)),I423+1,1)))</x:f>
        <x:v>0</x:v>
      </x:c>
      <x:c r="J437" s="2" t="n">
        <x:f>IF(ISNUMBER(F437),IF(AND(ABS(F437)+0.00000000001&gt;=$B$7,ABS(E437)+0.000000001&gt;=$D$7),1,0),"n.a.")</x:f>
        <x:v>0</x:v>
      </x:c>
      <x:c r="K437" s="2" t="str">
        <x:f>IF(NOT(ISNUMBER(F437)),"No evaluable",IF(OR(J437=1,I437&gt;=$B$8),"Prioridad",IF(G437=1,"Observar","Sin umbral")))</x:f>
        <x:v>Sin umbral</x:v>
      </x:c>
      <x:c r="L437" s="2" t="str">
        <x:f>IF(K437="No evaluable","Faltan datos",IF(J437=1,"Magnitud",IF(I437&gt;=$B$8,"Persistencia",IF(G437=1,"Cambio del mes","Sin umbral"))))</x:f>
        <x:v>Sin umbral</x:v>
      </x:c>
      <x:c r="M437" s="2" t="n">
        <x:f>ROW()-40</x:f>
        <x:v>397</x:v>
      </x:c>
    </x:row>
    <x:row r="438" ht="48" customHeight="1">
      <x:c r="A438" s="4" t="n">
        <x:v>45778</x:v>
      </x:c>
      <x:c r="B438" s="32" t="str">
        <x:v>Derivados de petróleo</x:v>
      </x:c>
      <x:c r="C438" s="10" t="n">
        <x:f>IF(ISNUMBER('Actividades'!F575),'Actividades'!F575,"n.a.")</x:f>
        <x:v>144.58043548387099</x:v>
      </x:c>
      <x:c r="D438" s="10" t="n">
        <x:f>IF(ISNUMBER('Actividades'!G575),'Actividades'!G575,"n.a.")</x:f>
        <x:v>154.64159677419354</x:v>
      </x:c>
      <x:c r="E438" s="10" t="n">
        <x:f>IF(AND(ISNUMBER(C438),ISNUMBER(D438),C438&gt;=0,D438&gt;0),C438-D438,"n.a.")</x:f>
        <x:v>-10.06116129032256</x:v>
      </x:c>
      <x:c r="F438" s="12" t="n">
        <x:f>IF(ISNUMBER(E438),E438/D438,"n.a.")</x:f>
        <x:v>-0.06506115754232536</x:v>
      </x:c>
      <x:c r="G438" s="2" t="n">
        <x:f>IF(ISNUMBER(F438),IF(AND(ABS(F438)+0.00000000001&gt;=$B$6,ABS(E438)+0.000000001&gt;=$D$6),1,0),"n.a.")</x:f>
        <x:v>0</x:v>
      </x:c>
      <x:c r="H438" s="2" t="n">
        <x:f>IF(ISNUMBER(E438),SIGN(E438),"n.a.")</x:f>
        <x:v>-1</x:v>
      </x:c>
      <x:c r="I438" s="2" t="n">
        <x:f>IF(NOT(ISNUMBER(G438)),"n.a.",IF(G438=0,0,IF(AND(B438=B424,A438=EDATE(A424,1),H438=H424,ISNUMBER(I424)),I424+1,1)))</x:f>
        <x:v>0</x:v>
      </x:c>
      <x:c r="J438" s="2" t="n">
        <x:f>IF(ISNUMBER(F438),IF(AND(ABS(F438)+0.00000000001&gt;=$B$7,ABS(E438)+0.000000001&gt;=$D$7),1,0),"n.a.")</x:f>
        <x:v>0</x:v>
      </x:c>
      <x:c r="K438" s="2" t="str">
        <x:f>IF(NOT(ISNUMBER(F438)),"No evaluable",IF(OR(J438=1,I438&gt;=$B$8),"Prioridad",IF(G438=1,"Observar","Sin umbral")))</x:f>
        <x:v>Sin umbral</x:v>
      </x:c>
      <x:c r="L438" s="2" t="str">
        <x:f>IF(K438="No evaluable","Faltan datos",IF(J438=1,"Magnitud",IF(I438&gt;=$B$8,"Persistencia",IF(G438=1,"Cambio del mes","Sin umbral"))))</x:f>
        <x:v>Sin umbral</x:v>
      </x:c>
      <x:c r="M438" s="2" t="n">
        <x:f>ROW()-40</x:f>
        <x:v>398</x:v>
      </x:c>
    </x:row>
    <x:row r="439" ht="48" customHeight="1">
      <x:c r="A439" s="4" t="n">
        <x:v>45778</x:v>
      </x:c>
      <x:c r="B439" s="32" t="str">
        <x:v>Construcción: elaboración de cemento y canteras</x:v>
      </x:c>
      <x:c r="C439" s="10" t="n">
        <x:f>IF(ISNUMBER('Actividades'!F576),'Actividades'!F576,"n.a.")</x:f>
        <x:v>109.74640591397849</x:v>
      </x:c>
      <x:c r="D439" s="10" t="n">
        <x:f>IF(ISNUMBER('Actividades'!G576),'Actividades'!G576,"n.a.")</x:f>
        <x:v>105.73363978494623</x:v>
      </x:c>
      <x:c r="E439" s="10" t="n">
        <x:f>IF(AND(ISNUMBER(C439),ISNUMBER(D439),C439&gt;=0,D439&gt;0),C439-D439,"n.a.")</x:f>
        <x:v>4.012766129032258</x:v>
      </x:c>
      <x:c r="F439" s="12" t="n">
        <x:f>IF(ISNUMBER(E439),E439/D439,"n.a.")</x:f>
        <x:v>0.03795165036589966</x:v>
      </x:c>
      <x:c r="G439" s="2" t="n">
        <x:f>IF(ISNUMBER(F439),IF(AND(ABS(F439)+0.00000000001&gt;=$B$6,ABS(E439)+0.000000001&gt;=$D$6),1,0),"n.a.")</x:f>
        <x:v>0</x:v>
      </x:c>
      <x:c r="H439" s="2" t="n">
        <x:f>IF(ISNUMBER(E439),SIGN(E439),"n.a.")</x:f>
        <x:v>1</x:v>
      </x:c>
      <x:c r="I439" s="2" t="n">
        <x:f>IF(NOT(ISNUMBER(G439)),"n.a.",IF(G439=0,0,IF(AND(B439=B425,A439=EDATE(A425,1),H439=H425,ISNUMBER(I425)),I425+1,1)))</x:f>
        <x:v>0</x:v>
      </x:c>
      <x:c r="J439" s="2" t="n">
        <x:f>IF(ISNUMBER(F439),IF(AND(ABS(F439)+0.00000000001&gt;=$B$7,ABS(E439)+0.000000001&gt;=$D$7),1,0),"n.a.")</x:f>
        <x:v>0</x:v>
      </x:c>
      <x:c r="K439" s="2" t="str">
        <x:f>IF(NOT(ISNUMBER(F439)),"No evaluable",IF(OR(J439=1,I439&gt;=$B$8),"Prioridad",IF(G439=1,"Observar","Sin umbral")))</x:f>
        <x:v>Sin umbral</x:v>
      </x:c>
      <x:c r="L439" s="2" t="str">
        <x:f>IF(K439="No evaluable","Faltan datos",IF(J439=1,"Magnitud",IF(I439&gt;=$B$8,"Persistencia",IF(G439=1,"Cambio del mes","Sin umbral"))))</x:f>
        <x:v>Sin umbral</x:v>
      </x:c>
      <x:c r="M439" s="2" t="n">
        <x:f>ROW()-40</x:f>
        <x:v>399</x:v>
      </x:c>
    </x:row>
    <x:row r="440" ht="48" customHeight="1">
      <x:c r="A440" s="4" t="n">
        <x:v>45778</x:v>
      </x:c>
      <x:c r="B440" s="32" t="str">
        <x:v>Madera y papel</x:v>
      </x:c>
      <x:c r="C440" s="10" t="n">
        <x:f>IF(ISNUMBER('Actividades'!F577),'Actividades'!F577,"n.a.")</x:f>
        <x:v>102.44226612903226</x:v>
      </x:c>
      <x:c r="D440" s="10" t="n">
        <x:f>IF(ISNUMBER('Actividades'!G577),'Actividades'!G577,"n.a.")</x:f>
        <x:v>92.04283064516129</x:v>
      </x:c>
      <x:c r="E440" s="10" t="n">
        <x:f>IF(AND(ISNUMBER(C440),ISNUMBER(D440),C440&gt;=0,D440&gt;0),C440-D440,"n.a.")</x:f>
        <x:v>10.399435483870974</x:v>
      </x:c>
      <x:c r="F440" s="12" t="n">
        <x:f>IF(ISNUMBER(E440),E440/D440,"n.a.")</x:f>
        <x:v>0.1129847421138354</x:v>
      </x:c>
      <x:c r="G440" s="2" t="n">
        <x:f>IF(ISNUMBER(F440),IF(AND(ABS(F440)+0.00000000001&gt;=$B$6,ABS(E440)+0.000000001&gt;=$D$6),1,0),"n.a.")</x:f>
        <x:v>1</x:v>
      </x:c>
      <x:c r="H440" s="2" t="n">
        <x:f>IF(ISNUMBER(E440),SIGN(E440),"n.a.")</x:f>
        <x:v>1</x:v>
      </x:c>
      <x:c r="I440" s="2" t="n">
        <x:f>IF(NOT(ISNUMBER(G440)),"n.a.",IF(G440=0,0,IF(AND(B440=B426,A440=EDATE(A426,1),H440=H426,ISNUMBER(I426)),I426+1,1)))</x:f>
        <x:v>1</x:v>
      </x:c>
      <x:c r="J440" s="2" t="n">
        <x:f>IF(ISNUMBER(F440),IF(AND(ABS(F440)+0.00000000001&gt;=$B$7,ABS(E440)+0.000000001&gt;=$D$7),1,0),"n.a.")</x:f>
        <x:v>0</x:v>
      </x:c>
      <x:c r="K440" s="2" t="str">
        <x:f>IF(NOT(ISNUMBER(F440)),"No evaluable",IF(OR(J440=1,I440&gt;=$B$8),"Prioridad",IF(G440=1,"Observar","Sin umbral")))</x:f>
        <x:v>Observar</x:v>
      </x:c>
      <x:c r="L440" s="2" t="str">
        <x:f>IF(K440="No evaluable","Faltan datos",IF(J440=1,"Magnitud",IF(I440&gt;=$B$8,"Persistencia",IF(G440=1,"Cambio del mes","Sin umbral"))))</x:f>
        <x:v>Cambio del mes</x:v>
      </x:c>
      <x:c r="M440" s="2" t="n">
        <x:f>ROW()-40</x:f>
        <x:v>400</x:v>
      </x:c>
    </x:row>
    <x:row r="441" ht="48" customHeight="1">
      <x:c r="A441" s="4" t="n">
        <x:v>45778</x:v>
      </x:c>
      <x:c r="B441" s="32" t="str">
        <x:v>Productos metálicos no automotores</x:v>
      </x:c>
      <x:c r="C441" s="10" t="n">
        <x:f>IF(ISNUMBER('Actividades'!F578),'Actividades'!F578,"n.a.")</x:f>
        <x:v>30.53157258064516</x:v>
      </x:c>
      <x:c r="D441" s="10" t="n">
        <x:f>IF(ISNUMBER('Actividades'!G578),'Actividades'!G578,"n.a.")</x:f>
        <x:v>37.319522849462366</x:v>
      </x:c>
      <x:c r="E441" s="10" t="n">
        <x:f>IF(AND(ISNUMBER(C441),ISNUMBER(D441),C441&gt;=0,D441&gt;0),C441-D441,"n.a.")</x:f>
        <x:v>-6.787950268817205</x:v>
      </x:c>
      <x:c r="F441" s="12" t="n">
        <x:f>IF(ISNUMBER(E441),E441/D441,"n.a.")</x:f>
        <x:v>-0.18188738093458753</x:v>
      </x:c>
      <x:c r="G441" s="2" t="n">
        <x:f>IF(ISNUMBER(F441),IF(AND(ABS(F441)+0.00000000001&gt;=$B$6,ABS(E441)+0.000000001&gt;=$D$6),1,0),"n.a.")</x:f>
        <x:v>1</x:v>
      </x:c>
      <x:c r="H441" s="2" t="n">
        <x:f>IF(ISNUMBER(E441),SIGN(E441),"n.a.")</x:f>
        <x:v>-1</x:v>
      </x:c>
      <x:c r="I441" s="2" t="n">
        <x:f>IF(NOT(ISNUMBER(G441)),"n.a.",IF(G441=0,0,IF(AND(B441=B427,A441=EDATE(A427,1),H441=H427,ISNUMBER(I427)),I427+1,1)))</x:f>
        <x:v>3</x:v>
      </x:c>
      <x:c r="J441" s="2" t="n">
        <x:f>IF(ISNUMBER(F441),IF(AND(ABS(F441)+0.00000000001&gt;=$B$7,ABS(E441)+0.000000001&gt;=$D$7),1,0),"n.a.")</x:f>
        <x:v>0</x:v>
      </x:c>
      <x:c r="K441" s="2" t="str">
        <x:f>IF(NOT(ISNUMBER(F441)),"No evaluable",IF(OR(J441=1,I441&gt;=$B$8),"Prioridad",IF(G441=1,"Observar","Sin umbral")))</x:f>
        <x:v>Prioridad</x:v>
      </x:c>
      <x:c r="L441" s="2" t="str">
        <x:f>IF(K441="No evaluable","Faltan datos",IF(J441=1,"Magnitud",IF(I441&gt;=$B$8,"Persistencia",IF(G441=1,"Cambio del mes","Sin umbral"))))</x:f>
        <x:v>Persistencia</x:v>
      </x:c>
      <x:c r="M441" s="2" t="n">
        <x:f>ROW()-40</x:f>
        <x:v>401</x:v>
      </x:c>
    </x:row>
    <x:row r="442" ht="48" customHeight="1">
      <x:c r="A442" s="4" t="n">
        <x:v>45778</x:v>
      </x:c>
      <x:c r="B442" s="32" t="str">
        <x:v>Gran siderurgia</x:v>
      </x:c>
      <x:c r="C442" s="10" t="n">
        <x:f>IF(ISNUMBER('Actividades'!F579),'Actividades'!F579,"n.a.")</x:f>
        <x:v>287.72241935483873</x:v>
      </x:c>
      <x:c r="D442" s="10" t="n">
        <x:f>IF(ISNUMBER('Actividades'!G579),'Actividades'!G579,"n.a.")</x:f>
        <x:v>273.3228051075269</x:v>
      </x:c>
      <x:c r="E442" s="10" t="n">
        <x:f>IF(AND(ISNUMBER(C442),ISNUMBER(D442),C442&gt;=0,D442&gt;0),C442-D442,"n.a.")</x:f>
        <x:v>14.399614247311831</x:v>
      </x:c>
      <x:c r="F442" s="12" t="n">
        <x:f>IF(ISNUMBER(E442),E442/D442,"n.a.")</x:f>
        <x:v>0.05268354479841861</x:v>
      </x:c>
      <x:c r="G442" s="2" t="n">
        <x:f>IF(ISNUMBER(F442),IF(AND(ABS(F442)+0.00000000001&gt;=$B$6,ABS(E442)+0.000000001&gt;=$D$6),1,0),"n.a.")</x:f>
        <x:v>0</x:v>
      </x:c>
      <x:c r="H442" s="2" t="n">
        <x:f>IF(ISNUMBER(E442),SIGN(E442),"n.a.")</x:f>
        <x:v>1</x:v>
      </x:c>
      <x:c r="I442" s="2" t="n">
        <x:f>IF(NOT(ISNUMBER(G442)),"n.a.",IF(G442=0,0,IF(AND(B442=B428,A442=EDATE(A428,1),H442=H428,ISNUMBER(I428)),I428+1,1)))</x:f>
        <x:v>0</x:v>
      </x:c>
      <x:c r="J442" s="2" t="n">
        <x:f>IF(ISNUMBER(F442),IF(AND(ABS(F442)+0.00000000001&gt;=$B$7,ABS(E442)+0.000000001&gt;=$D$7),1,0),"n.a.")</x:f>
        <x:v>0</x:v>
      </x:c>
      <x:c r="K442" s="2" t="str">
        <x:f>IF(NOT(ISNUMBER(F442)),"No evaluable",IF(OR(J442=1,I442&gt;=$B$8),"Prioridad",IF(G442=1,"Observar","Sin umbral")))</x:f>
        <x:v>Sin umbral</x:v>
      </x:c>
      <x:c r="L442" s="2" t="str">
        <x:f>IF(K442="No evaluable","Faltan datos",IF(J442=1,"Magnitud",IF(I442&gt;=$B$8,"Persistencia",IF(G442=1,"Cambio del mes","Sin umbral"))))</x:f>
        <x:v>Sin umbral</x:v>
      </x:c>
      <x:c r="M442" s="2" t="n">
        <x:f>ROW()-40</x:f>
        <x:v>402</x:v>
      </x:c>
    </x:row>
    <x:row r="443" ht="48" customHeight="1">
      <x:c r="A443" s="4" t="n">
        <x:v>45778</x:v>
      </x:c>
      <x:c r="B443" s="32" t="str">
        <x:v>Industria textil</x:v>
      </x:c>
      <x:c r="C443" s="10" t="n">
        <x:f>IF(ISNUMBER('Actividades'!F580),'Actividades'!F580,"n.a.")</x:f>
        <x:v>55.273020161290326</x:v>
      </x:c>
      <x:c r="D443" s="10" t="n">
        <x:f>IF(ISNUMBER('Actividades'!G580),'Actividades'!G580,"n.a.")</x:f>
        <x:v>50.00282392473118</x:v>
      </x:c>
      <x:c r="E443" s="10" t="n">
        <x:f>IF(AND(ISNUMBER(C443),ISNUMBER(D443),C443&gt;=0,D443&gt;0),C443-D443,"n.a.")</x:f>
        <x:v>5.270196236559144</x:v>
      </x:c>
      <x:c r="F443" s="12" t="n">
        <x:f>IF(ISNUMBER(E443),E443/D443,"n.a.")</x:f>
        <x:v>0.10539797201238724</x:v>
      </x:c>
      <x:c r="G443" s="2" t="n">
        <x:f>IF(ISNUMBER(F443),IF(AND(ABS(F443)+0.00000000001&gt;=$B$6,ABS(E443)+0.000000001&gt;=$D$6),1,0),"n.a.")</x:f>
        <x:v>1</x:v>
      </x:c>
      <x:c r="H443" s="2" t="n">
        <x:f>IF(ISNUMBER(E443),SIGN(E443),"n.a.")</x:f>
        <x:v>1</x:v>
      </x:c>
      <x:c r="I443" s="2" t="n">
        <x:f>IF(NOT(ISNUMBER(G443)),"n.a.",IF(G443=0,0,IF(AND(B443=B429,A443=EDATE(A429,1),H443=H429,ISNUMBER(I429)),I429+1,1)))</x:f>
        <x:v>1</x:v>
      </x:c>
      <x:c r="J443" s="2" t="n">
        <x:f>IF(ISNUMBER(F443),IF(AND(ABS(F443)+0.00000000001&gt;=$B$7,ABS(E443)+0.000000001&gt;=$D$7),1,0),"n.a.")</x:f>
        <x:v>0</x:v>
      </x:c>
      <x:c r="K443" s="2" t="str">
        <x:f>IF(NOT(ISNUMBER(F443)),"No evaluable",IF(OR(J443=1,I443&gt;=$B$8),"Prioridad",IF(G443=1,"Observar","Sin umbral")))</x:f>
        <x:v>Observar</x:v>
      </x:c>
      <x:c r="L443" s="2" t="str">
        <x:f>IF(K443="No evaluable","Faltan datos",IF(J443=1,"Magnitud",IF(I443&gt;=$B$8,"Persistencia",IF(G443=1,"Cambio del mes","Sin umbral"))))</x:f>
        <x:v>Cambio del mes</x:v>
      </x:c>
      <x:c r="M443" s="2" t="n">
        <x:f>ROW()-40</x:f>
        <x:v>403</x:v>
      </x:c>
    </x:row>
    <x:row r="444" ht="48" customHeight="1">
      <x:c r="A444" s="4" t="n">
        <x:v>45778</x:v>
      </x:c>
      <x:c r="B444" s="32" t="str">
        <x:v>Químicas, caucho, plástico y otros minerales no metálicos</x:v>
      </x:c>
      <x:c r="C444" s="10" t="n">
        <x:f>IF(ISNUMBER('Actividades'!F581),'Actividades'!F581,"n.a.")</x:f>
        <x:v>332.53623790322575</x:v>
      </x:c>
      <x:c r="D444" s="10" t="n">
        <x:f>IF(ISNUMBER('Actividades'!G581),'Actividades'!G581,"n.a.")</x:f>
        <x:v>345.5366155913979</x:v>
      </x:c>
      <x:c r="E444" s="10" t="n">
        <x:f>IF(AND(ISNUMBER(C444),ISNUMBER(D444),C444&gt;=0,D444&gt;0),C444-D444,"n.a.")</x:f>
        <x:v>-13.000377688172136</x:v>
      </x:c>
      <x:c r="F444" s="12" t="n">
        <x:f>IF(ISNUMBER(E444),E444/D444,"n.a.")</x:f>
        <x:v>-0.037623733930256684</x:v>
      </x:c>
      <x:c r="G444" s="2" t="n">
        <x:f>IF(ISNUMBER(F444),IF(AND(ABS(F444)+0.00000000001&gt;=$B$6,ABS(E444)+0.000000001&gt;=$D$6),1,0),"n.a.")</x:f>
        <x:v>0</x:v>
      </x:c>
      <x:c r="H444" s="2" t="n">
        <x:f>IF(ISNUMBER(E444),SIGN(E444),"n.a.")</x:f>
        <x:v>-1</x:v>
      </x:c>
      <x:c r="I444" s="2" t="n">
        <x:f>IF(NOT(ISNUMBER(G444)),"n.a.",IF(G444=0,0,IF(AND(B444=B430,A444=EDATE(A430,1),H444=H430,ISNUMBER(I430)),I430+1,1)))</x:f>
        <x:v>0</x:v>
      </x:c>
      <x:c r="J444" s="2" t="n">
        <x:f>IF(ISNUMBER(F444),IF(AND(ABS(F444)+0.00000000001&gt;=$B$7,ABS(E444)+0.000000001&gt;=$D$7),1,0),"n.a.")</x:f>
        <x:v>0</x:v>
      </x:c>
      <x:c r="K444" s="2" t="str">
        <x:f>IF(NOT(ISNUMBER(F444)),"No evaluable",IF(OR(J444=1,I444&gt;=$B$8),"Prioridad",IF(G444=1,"Observar","Sin umbral")))</x:f>
        <x:v>Sin umbral</x:v>
      </x:c>
      <x:c r="L444" s="2" t="str">
        <x:f>IF(K444="No evaluable","Faltan datos",IF(J444=1,"Magnitud",IF(I444&gt;=$B$8,"Persistencia",IF(G444=1,"Cambio del mes","Sin umbral"))))</x:f>
        <x:v>Sin umbral</x:v>
      </x:c>
      <x:c r="M444" s="2" t="n">
        <x:f>ROW()-40</x:f>
        <x:v>404</x:v>
      </x:c>
    </x:row>
    <x:row r="445" ht="48" customHeight="1">
      <x:c r="A445" s="4" t="n">
        <x:v>45778</x:v>
      </x:c>
      <x:c r="B445" s="32" t="str">
        <x:v>Extracción de minerales</x:v>
      </x:c>
      <x:c r="C445" s="10" t="n">
        <x:f>IF(ISNUMBER('Actividades'!F582),'Actividades'!F582,"n.a.")</x:f>
        <x:v>24.52288306451613</x:v>
      </x:c>
      <x:c r="D445" s="10" t="n">
        <x:f>IF(ISNUMBER('Actividades'!G582),'Actividades'!G582,"n.a.")</x:f>
        <x:v>23.108010752688173</x:v>
      </x:c>
      <x:c r="E445" s="10" t="n">
        <x:f>IF(AND(ISNUMBER(C445),ISNUMBER(D445),C445&gt;=0,D445&gt;0),C445-D445,"n.a.")</x:f>
        <x:v>1.4148723118279563</x:v>
      </x:c>
      <x:c r="F445" s="12" t="n">
        <x:f>IF(ISNUMBER(E445),E445/D445,"n.a.")</x:f>
        <x:v>0.06122865040052671</x:v>
      </x:c>
      <x:c r="G445" s="2" t="n">
        <x:f>IF(ISNUMBER(F445),IF(AND(ABS(F445)+0.00000000001&gt;=$B$6,ABS(E445)+0.000000001&gt;=$D$6),1,0),"n.a.")</x:f>
        <x:v>0</x:v>
      </x:c>
      <x:c r="H445" s="2" t="n">
        <x:f>IF(ISNUMBER(E445),SIGN(E445),"n.a.")</x:f>
        <x:v>1</x:v>
      </x:c>
      <x:c r="I445" s="2" t="n">
        <x:f>IF(NOT(ISNUMBER(G445)),"n.a.",IF(G445=0,0,IF(AND(B445=B431,A445=EDATE(A431,1),H445=H431,ISNUMBER(I431)),I431+1,1)))</x:f>
        <x:v>0</x:v>
      </x:c>
      <x:c r="J445" s="2" t="n">
        <x:f>IF(ISNUMBER(F445),IF(AND(ABS(F445)+0.00000000001&gt;=$B$7,ABS(E445)+0.000000001&gt;=$D$7),1,0),"n.a.")</x:f>
        <x:v>0</x:v>
      </x:c>
      <x:c r="K445" s="2" t="str">
        <x:f>IF(NOT(ISNUMBER(F445)),"No evaluable",IF(OR(J445=1,I445&gt;=$B$8),"Prioridad",IF(G445=1,"Observar","Sin umbral")))</x:f>
        <x:v>Sin umbral</x:v>
      </x:c>
      <x:c r="L445" s="2" t="str">
        <x:f>IF(K445="No evaluable","Faltan datos",IF(J445=1,"Magnitud",IF(I445&gt;=$B$8,"Persistencia",IF(G445=1,"Cambio del mes","Sin umbral"))))</x:f>
        <x:v>Sin umbral</x:v>
      </x:c>
      <x:c r="M445" s="2" t="n">
        <x:f>ROW()-40</x:f>
        <x:v>405</x:v>
      </x:c>
    </x:row>
    <x:row r="446" ht="48" customHeight="1">
      <x:c r="A446" s="4" t="n">
        <x:v>45778</x:v>
      </x:c>
      <x:c r="B446" s="32" t="str">
        <x:v>Extracción de petróleo</x:v>
      </x:c>
      <x:c r="C446" s="10" t="n">
        <x:f>IF(ISNUMBER('Actividades'!F583),'Actividades'!F583,"n.a.")</x:f>
        <x:v>155.61768279569893</x:v>
      </x:c>
      <x:c r="D446" s="10" t="n">
        <x:f>IF(ISNUMBER('Actividades'!G583),'Actividades'!G583,"n.a.")</x:f>
        <x:v>148.03862903225806</x:v>
      </x:c>
      <x:c r="E446" s="10" t="n">
        <x:f>IF(AND(ISNUMBER(C446),ISNUMBER(D446),C446&gt;=0,D446&gt;0),C446-D446,"n.a.")</x:f>
        <x:v>7.579053763440868</x:v>
      </x:c>
      <x:c r="F446" s="12" t="n">
        <x:f>IF(ISNUMBER(E446),E446/D446,"n.a.")</x:f>
        <x:v>0.05119646009278679</x:v>
      </x:c>
      <x:c r="G446" s="2" t="n">
        <x:f>IF(ISNUMBER(F446),IF(AND(ABS(F446)+0.00000000001&gt;=$B$6,ABS(E446)+0.000000001&gt;=$D$6),1,0),"n.a.")</x:f>
        <x:v>0</x:v>
      </x:c>
      <x:c r="H446" s="2" t="n">
        <x:f>IF(ISNUMBER(E446),SIGN(E446),"n.a.")</x:f>
        <x:v>1</x:v>
      </x:c>
      <x:c r="I446" s="2" t="n">
        <x:f>IF(NOT(ISNUMBER(G446)),"n.a.",IF(G446=0,0,IF(AND(B446=B432,A446=EDATE(A432,1),H446=H432,ISNUMBER(I432)),I432+1,1)))</x:f>
        <x:v>0</x:v>
      </x:c>
      <x:c r="J446" s="2" t="n">
        <x:f>IF(ISNUMBER(F446),IF(AND(ABS(F446)+0.00000000001&gt;=$B$7,ABS(E446)+0.000000001&gt;=$D$7),1,0),"n.a.")</x:f>
        <x:v>0</x:v>
      </x:c>
      <x:c r="K446" s="2" t="str">
        <x:f>IF(NOT(ISNUMBER(F446)),"No evaluable",IF(OR(J446=1,I446&gt;=$B$8),"Prioridad",IF(G446=1,"Observar","Sin umbral")))</x:f>
        <x:v>Sin umbral</x:v>
      </x:c>
      <x:c r="L446" s="2" t="str">
        <x:f>IF(K446="No evaluable","Faltan datos",IF(J446=1,"Magnitud",IF(I446&gt;=$B$8,"Persistencia",IF(G446=1,"Cambio del mes","Sin umbral"))))</x:f>
        <x:v>Sin umbral</x:v>
      </x:c>
      <x:c r="M446" s="2" t="n">
        <x:f>ROW()-40</x:f>
        <x:v>406</x:v>
      </x:c>
    </x:row>
    <x:row r="447" ht="48" customHeight="1">
      <x:c r="A447" s="4" t="n">
        <x:v>45809</x:v>
      </x:c>
      <x:c r="B447" s="32" t="str">
        <x:v>Cargas y puertos</x:v>
      </x:c>
      <x:c r="C447" s="10" t="n">
        <x:f>IF(ISNUMBER('Actividades'!F584),'Actividades'!F584,"n.a.")</x:f>
        <x:v>9.643102777777779</x:v>
      </x:c>
      <x:c r="D447" s="10" t="n">
        <x:f>IF(ISNUMBER('Actividades'!G584),'Actividades'!G584,"n.a.")</x:f>
        <x:v>9.327354166666668</x:v>
      </x:c>
      <x:c r="E447" s="10" t="n">
        <x:f>IF(AND(ISNUMBER(C447),ISNUMBER(D447),C447&gt;=0,D447&gt;0),C447-D447,"n.a.")</x:f>
        <x:v>0.3157486111111112</x:v>
      </x:c>
      <x:c r="F447" s="12" t="n">
        <x:f>IF(ISNUMBER(E447),E447/D447,"n.a.")</x:f>
        <x:v>0.03385189470337769</x:v>
      </x:c>
      <x:c r="G447" s="2" t="n">
        <x:f>IF(ISNUMBER(F447),IF(AND(ABS(F447)+0.00000000001&gt;=$B$6,ABS(E447)+0.000000001&gt;=$D$6),1,0),"n.a.")</x:f>
        <x:v>0</x:v>
      </x:c>
      <x:c r="H447" s="2" t="n">
        <x:f>IF(ISNUMBER(E447),SIGN(E447),"n.a.")</x:f>
        <x:v>1</x:v>
      </x:c>
      <x:c r="I447" s="2" t="n">
        <x:f>IF(NOT(ISNUMBER(G447)),"n.a.",IF(G447=0,0,IF(AND(B447=B433,A447=EDATE(A433,1),H447=H433,ISNUMBER(I433)),I433+1,1)))</x:f>
        <x:v>0</x:v>
      </x:c>
      <x:c r="J447" s="2" t="n">
        <x:f>IF(ISNUMBER(F447),IF(AND(ABS(F447)+0.00000000001&gt;=$B$7,ABS(E447)+0.000000001&gt;=$D$7),1,0),"n.a.")</x:f>
        <x:v>0</x:v>
      </x:c>
      <x:c r="K447" s="2" t="str">
        <x:f>IF(NOT(ISNUMBER(F447)),"No evaluable",IF(OR(J447=1,I447&gt;=$B$8),"Prioridad",IF(G447=1,"Observar","Sin umbral")))</x:f>
        <x:v>Sin umbral</x:v>
      </x:c>
      <x:c r="L447" s="2" t="str">
        <x:f>IF(K447="No evaluable","Faltan datos",IF(J447=1,"Magnitud",IF(I447&gt;=$B$8,"Persistencia",IF(G447=1,"Cambio del mes","Sin umbral"))))</x:f>
        <x:v>Sin umbral</x:v>
      </x:c>
      <x:c r="M447" s="2" t="n">
        <x:f>ROW()-40</x:f>
        <x:v>407</x:v>
      </x:c>
    </x:row>
    <x:row r="448" ht="48" customHeight="1">
      <x:c r="A448" s="4" t="n">
        <x:v>45809</x:v>
      </x:c>
      <x:c r="B448" s="32" t="str">
        <x:v>Comercio y servicios: principalmente supermercados y centros comerciales</x:v>
      </x:c>
      <x:c r="C448" s="10" t="n">
        <x:f>IF(ISNUMBER('Actividades'!F585),'Actividades'!F585,"n.a.")</x:f>
        <x:v>44.043680555555554</x:v>
      </x:c>
      <x:c r="D448" s="10" t="n">
        <x:f>IF(ISNUMBER('Actividades'!G585),'Actividades'!G585,"n.a.")</x:f>
        <x:v>29.116030555555554</x:v>
      </x:c>
      <x:c r="E448" s="10" t="n">
        <x:f>IF(AND(ISNUMBER(C448),ISNUMBER(D448),C448&gt;=0,D448&gt;0),C448-D448,"n.a.")</x:f>
        <x:v>14.92765</x:v>
      </x:c>
      <x:c r="F448" s="12" t="n">
        <x:f>IF(ISNUMBER(E448),E448/D448,"n.a.")</x:f>
        <x:v>0.5126952306055914</x:v>
      </x:c>
      <x:c r="G448" s="2" t="n">
        <x:f>IF(ISNUMBER(F448),IF(AND(ABS(F448)+0.00000000001&gt;=$B$6,ABS(E448)+0.000000001&gt;=$D$6),1,0),"n.a.")</x:f>
        <x:v>1</x:v>
      </x:c>
      <x:c r="H448" s="2" t="n">
        <x:f>IF(ISNUMBER(E448),SIGN(E448),"n.a.")</x:f>
        <x:v>1</x:v>
      </x:c>
      <x:c r="I448" s="2" t="n">
        <x:f>IF(NOT(ISNUMBER(G448)),"n.a.",IF(G448=0,0,IF(AND(B448=B434,A448=EDATE(A434,1),H448=H434,ISNUMBER(I434)),I434+1,1)))</x:f>
        <x:v>9</x:v>
      </x:c>
      <x:c r="J448" s="2" t="n">
        <x:f>IF(ISNUMBER(F448),IF(AND(ABS(F448)+0.00000000001&gt;=$B$7,ABS(E448)+0.000000001&gt;=$D$7),1,0),"n.a.")</x:f>
        <x:v>1</x:v>
      </x:c>
      <x:c r="K448" s="2" t="str">
        <x:f>IF(NOT(ISNUMBER(F448)),"No evaluable",IF(OR(J448=1,I448&gt;=$B$8),"Prioridad",IF(G448=1,"Observar","Sin umbral")))</x:f>
        <x:v>Prioridad</x:v>
      </x:c>
      <x:c r="L448" s="2" t="str">
        <x:f>IF(K448="No evaluable","Faltan datos",IF(J448=1,"Magnitud",IF(I448&gt;=$B$8,"Persistencia",IF(G448=1,"Cambio del mes","Sin umbral"))))</x:f>
        <x:v>Magnitud</x:v>
      </x:c>
      <x:c r="M448" s="2" t="n">
        <x:f>ROW()-40</x:f>
        <x:v>408</x:v>
      </x:c>
    </x:row>
    <x:row r="449" ht="48" customHeight="1">
      <x:c r="A449" s="4" t="n">
        <x:v>45809</x:v>
      </x:c>
      <x:c r="B449" s="32" t="str">
        <x:v>Alimentación y artículos de consumo masivo</x:v>
      </x:c>
      <x:c r="C449" s="10" t="n">
        <x:f>IF(ISNUMBER('Actividades'!F586),'Actividades'!F586,"n.a.")</x:f>
        <x:v>279.086475</x:v>
      </x:c>
      <x:c r="D449" s="10" t="n">
        <x:f>IF(ISNUMBER('Actividades'!G586),'Actividades'!G586,"n.a.")</x:f>
        <x:v>265.35000694444443</x:v>
      </x:c>
      <x:c r="E449" s="10" t="n">
        <x:f>IF(AND(ISNUMBER(C449),ISNUMBER(D449),C449&gt;=0,D449&gt;0),C449-D449,"n.a.")</x:f>
        <x:v>13.736468055555576</x:v>
      </x:c>
      <x:c r="F449" s="12" t="n">
        <x:f>IF(ISNUMBER(E449),E449/D449,"n.a.")</x:f>
        <x:v>0.05176735517640872</x:v>
      </x:c>
      <x:c r="G449" s="2" t="n">
        <x:f>IF(ISNUMBER(F449),IF(AND(ABS(F449)+0.00000000001&gt;=$B$6,ABS(E449)+0.000000001&gt;=$D$6),1,0),"n.a.")</x:f>
        <x:v>0</x:v>
      </x:c>
      <x:c r="H449" s="2" t="n">
        <x:f>IF(ISNUMBER(E449),SIGN(E449),"n.a.")</x:f>
        <x:v>1</x:v>
      </x:c>
      <x:c r="I449" s="2" t="n">
        <x:f>IF(NOT(ISNUMBER(G449)),"n.a.",IF(G449=0,0,IF(AND(B449=B435,A449=EDATE(A435,1),H449=H435,ISNUMBER(I435)),I435+1,1)))</x:f>
        <x:v>0</x:v>
      </x:c>
      <x:c r="J449" s="2" t="n">
        <x:f>IF(ISNUMBER(F449),IF(AND(ABS(F449)+0.00000000001&gt;=$B$7,ABS(E449)+0.000000001&gt;=$D$7),1,0),"n.a.")</x:f>
        <x:v>0</x:v>
      </x:c>
      <x:c r="K449" s="2" t="str">
        <x:f>IF(NOT(ISNUMBER(F449)),"No evaluable",IF(OR(J449=1,I449&gt;=$B$8),"Prioridad",IF(G449=1,"Observar","Sin umbral")))</x:f>
        <x:v>Sin umbral</x:v>
      </x:c>
      <x:c r="L449" s="2" t="str">
        <x:f>IF(K449="No evaluable","Faltan datos",IF(J449=1,"Magnitud",IF(I449&gt;=$B$8,"Persistencia",IF(G449=1,"Cambio del mes","Sin umbral"))))</x:f>
        <x:v>Sin umbral</x:v>
      </x:c>
      <x:c r="M449" s="2" t="n">
        <x:f>ROW()-40</x:f>
        <x:v>409</x:v>
      </x:c>
    </x:row>
    <x:row r="450" ht="48" customHeight="1">
      <x:c r="A450" s="4" t="n">
        <x:v>45809</x:v>
      </x:c>
      <x:c r="B450" s="32" t="str">
        <x:v>Servicios públicos y transporte: agua y transporte en GBA</x:v>
      </x:c>
      <x:c r="C450" s="10" t="n">
        <x:f>IF(ISNUMBER('Actividades'!F587),'Actividades'!F587,"n.a.")</x:f>
        <x:v>74.01151527777778</x:v>
      </x:c>
      <x:c r="D450" s="10" t="n">
        <x:f>IF(ISNUMBER('Actividades'!G587),'Actividades'!G587,"n.a.")</x:f>
        <x:v>85.11647500000001</x:v>
      </x:c>
      <x:c r="E450" s="10" t="n">
        <x:f>IF(AND(ISNUMBER(C450),ISNUMBER(D450),C450&gt;=0,D450&gt;0),C450-D450,"n.a.")</x:f>
        <x:v>-11.104959722222233</x:v>
      </x:c>
      <x:c r="F450" s="12" t="n">
        <x:f>IF(ISNUMBER(E450),E450/D450,"n.a.")</x:f>
        <x:v>-0.1304678057006265</x:v>
      </x:c>
      <x:c r="G450" s="2" t="n">
        <x:f>IF(ISNUMBER(F450),IF(AND(ABS(F450)+0.00000000001&gt;=$B$6,ABS(E450)+0.000000001&gt;=$D$6),1,0),"n.a.")</x:f>
        <x:v>1</x:v>
      </x:c>
      <x:c r="H450" s="2" t="n">
        <x:f>IF(ISNUMBER(E450),SIGN(E450),"n.a.")</x:f>
        <x:v>-1</x:v>
      </x:c>
      <x:c r="I450" s="2" t="n">
        <x:f>IF(NOT(ISNUMBER(G450)),"n.a.",IF(G450=0,0,IF(AND(B450=B436,A450=EDATE(A436,1),H450=H436,ISNUMBER(I436)),I436+1,1)))</x:f>
        <x:v>9</x:v>
      </x:c>
      <x:c r="J450" s="2" t="n">
        <x:f>IF(ISNUMBER(F450),IF(AND(ABS(F450)+0.00000000001&gt;=$B$7,ABS(E450)+0.000000001&gt;=$D$7),1,0),"n.a.")</x:f>
        <x:v>0</x:v>
      </x:c>
      <x:c r="K450" s="2" t="str">
        <x:f>IF(NOT(ISNUMBER(F450)),"No evaluable",IF(OR(J450=1,I450&gt;=$B$8),"Prioridad",IF(G450=1,"Observar","Sin umbral")))</x:f>
        <x:v>Prioridad</x:v>
      </x:c>
      <x:c r="L450" s="2" t="str">
        <x:f>IF(K450="No evaluable","Faltan datos",IF(J450=1,"Magnitud",IF(I450&gt;=$B$8,"Persistencia",IF(G450=1,"Cambio del mes","Sin umbral"))))</x:f>
        <x:v>Persistencia</x:v>
      </x:c>
      <x:c r="M450" s="2" t="n">
        <x:f>ROW()-40</x:f>
        <x:v>410</x:v>
      </x:c>
    </x:row>
    <x:row r="451" ht="48" customHeight="1">
      <x:c r="A451" s="4" t="n">
        <x:v>45809</x:v>
      </x:c>
      <x:c r="B451" s="32" t="str">
        <x:v>Industria automotriz</x:v>
      </x:c>
      <x:c r="C451" s="10" t="n">
        <x:f>IF(ISNUMBER('Actividades'!F588),'Actividades'!F588,"n.a.")</x:f>
        <x:v>42.16368333333333</x:v>
      </x:c>
      <x:c r="D451" s="10" t="n">
        <x:f>IF(ISNUMBER('Actividades'!G588),'Actividades'!G588,"n.a.")</x:f>
        <x:v>36.91479861111111</x:v>
      </x:c>
      <x:c r="E451" s="10" t="n">
        <x:f>IF(AND(ISNUMBER(C451),ISNUMBER(D451),C451&gt;=0,D451&gt;0),C451-D451,"n.a.")</x:f>
        <x:v>5.248884722222222</x:v>
      </x:c>
      <x:c r="F451" s="12" t="n">
        <x:f>IF(ISNUMBER(E451),E451/D451,"n.a.")</x:f>
        <x:v>0.1421891739819039</x:v>
      </x:c>
      <x:c r="G451" s="2" t="n">
        <x:f>IF(ISNUMBER(F451),IF(AND(ABS(F451)+0.00000000001&gt;=$B$6,ABS(E451)+0.000000001&gt;=$D$6),1,0),"n.a.")</x:f>
        <x:v>1</x:v>
      </x:c>
      <x:c r="H451" s="2" t="n">
        <x:f>IF(ISNUMBER(E451),SIGN(E451),"n.a.")</x:f>
        <x:v>1</x:v>
      </x:c>
      <x:c r="I451" s="2" t="n">
        <x:f>IF(NOT(ISNUMBER(G451)),"n.a.",IF(G451=0,0,IF(AND(B451=B437,A451=EDATE(A437,1),H451=H437,ISNUMBER(I437)),I437+1,1)))</x:f>
        <x:v>1</x:v>
      </x:c>
      <x:c r="J451" s="2" t="n">
        <x:f>IF(ISNUMBER(F451),IF(AND(ABS(F451)+0.00000000001&gt;=$B$7,ABS(E451)+0.000000001&gt;=$D$7),1,0),"n.a.")</x:f>
        <x:v>0</x:v>
      </x:c>
      <x:c r="K451" s="2" t="str">
        <x:f>IF(NOT(ISNUMBER(F451)),"No evaluable",IF(OR(J451=1,I451&gt;=$B$8),"Prioridad",IF(G451=1,"Observar","Sin umbral")))</x:f>
        <x:v>Observar</x:v>
      </x:c>
      <x:c r="L451" s="2" t="str">
        <x:f>IF(K451="No evaluable","Faltan datos",IF(J451=1,"Magnitud",IF(I451&gt;=$B$8,"Persistencia",IF(G451=1,"Cambio del mes","Sin umbral"))))</x:f>
        <x:v>Cambio del mes</x:v>
      </x:c>
      <x:c r="M451" s="2" t="n">
        <x:f>ROW()-40</x:f>
        <x:v>411</x:v>
      </x:c>
    </x:row>
    <x:row r="452" ht="48" customHeight="1">
      <x:c r="A452" s="4" t="n">
        <x:v>45809</x:v>
      </x:c>
      <x:c r="B452" s="32" t="str">
        <x:v>Derivados de petróleo</x:v>
      </x:c>
      <x:c r="C452" s="10" t="n">
        <x:f>IF(ISNUMBER('Actividades'!F589),'Actividades'!F589,"n.a.")</x:f>
        <x:v>151.43318055555557</x:v>
      </x:c>
      <x:c r="D452" s="10" t="n">
        <x:f>IF(ISNUMBER('Actividades'!G589),'Actividades'!G589,"n.a.")</x:f>
        <x:v>148.24127638888888</x:v>
      </x:c>
      <x:c r="E452" s="10" t="n">
        <x:f>IF(AND(ISNUMBER(C452),ISNUMBER(D452),C452&gt;=0,D452&gt;0),C452-D452,"n.a.")</x:f>
        <x:v>3.1919041666666885</x:v>
      </x:c>
      <x:c r="F452" s="12" t="n">
        <x:f>IF(ISNUMBER(E452),E452/D452,"n.a.")</x:f>
        <x:v>0.021531817887841198</x:v>
      </x:c>
      <x:c r="G452" s="2" t="n">
        <x:f>IF(ISNUMBER(F452),IF(AND(ABS(F452)+0.00000000001&gt;=$B$6,ABS(E452)+0.000000001&gt;=$D$6),1,0),"n.a.")</x:f>
        <x:v>0</x:v>
      </x:c>
      <x:c r="H452" s="2" t="n">
        <x:f>IF(ISNUMBER(E452),SIGN(E452),"n.a.")</x:f>
        <x:v>1</x:v>
      </x:c>
      <x:c r="I452" s="2" t="n">
        <x:f>IF(NOT(ISNUMBER(G452)),"n.a.",IF(G452=0,0,IF(AND(B452=B438,A452=EDATE(A438,1),H452=H438,ISNUMBER(I438)),I438+1,1)))</x:f>
        <x:v>0</x:v>
      </x:c>
      <x:c r="J452" s="2" t="n">
        <x:f>IF(ISNUMBER(F452),IF(AND(ABS(F452)+0.00000000001&gt;=$B$7,ABS(E452)+0.000000001&gt;=$D$7),1,0),"n.a.")</x:f>
        <x:v>0</x:v>
      </x:c>
      <x:c r="K452" s="2" t="str">
        <x:f>IF(NOT(ISNUMBER(F452)),"No evaluable",IF(OR(J452=1,I452&gt;=$B$8),"Prioridad",IF(G452=1,"Observar","Sin umbral")))</x:f>
        <x:v>Sin umbral</x:v>
      </x:c>
      <x:c r="L452" s="2" t="str">
        <x:f>IF(K452="No evaluable","Faltan datos",IF(J452=1,"Magnitud",IF(I452&gt;=$B$8,"Persistencia",IF(G452=1,"Cambio del mes","Sin umbral"))))</x:f>
        <x:v>Sin umbral</x:v>
      </x:c>
      <x:c r="M452" s="2" t="n">
        <x:f>ROW()-40</x:f>
        <x:v>412</x:v>
      </x:c>
    </x:row>
    <x:row r="453" ht="48" customHeight="1">
      <x:c r="A453" s="4" t="n">
        <x:v>45809</x:v>
      </x:c>
      <x:c r="B453" s="32" t="str">
        <x:v>Construcción: elaboración de cemento y canteras</x:v>
      </x:c>
      <x:c r="C453" s="10" t="n">
        <x:f>IF(ISNUMBER('Actividades'!F590),'Actividades'!F590,"n.a.")</x:f>
        <x:v>111.61258055555555</x:v>
      </x:c>
      <x:c r="D453" s="10" t="n">
        <x:f>IF(ISNUMBER('Actividades'!G590),'Actividades'!G590,"n.a.")</x:f>
        <x:v>98.02053055555555</x:v>
      </x:c>
      <x:c r="E453" s="10" t="n">
        <x:f>IF(AND(ISNUMBER(C453),ISNUMBER(D453),C453&gt;=0,D453&gt;0),C453-D453,"n.a.")</x:f>
        <x:v>13.59205</x:v>
      </x:c>
      <x:c r="F453" s="12" t="n">
        <x:f>IF(ISNUMBER(E453),E453/D453,"n.a.")</x:f>
        <x:v>0.1386653379956597</x:v>
      </x:c>
      <x:c r="G453" s="2" t="n">
        <x:f>IF(ISNUMBER(F453),IF(AND(ABS(F453)+0.00000000001&gt;=$B$6,ABS(E453)+0.000000001&gt;=$D$6),1,0),"n.a.")</x:f>
        <x:v>1</x:v>
      </x:c>
      <x:c r="H453" s="2" t="n">
        <x:f>IF(ISNUMBER(E453),SIGN(E453),"n.a.")</x:f>
        <x:v>1</x:v>
      </x:c>
      <x:c r="I453" s="2" t="n">
        <x:f>IF(NOT(ISNUMBER(G453)),"n.a.",IF(G453=0,0,IF(AND(B453=B439,A453=EDATE(A439,1),H453=H439,ISNUMBER(I439)),I439+1,1)))</x:f>
        <x:v>1</x:v>
      </x:c>
      <x:c r="J453" s="2" t="n">
        <x:f>IF(ISNUMBER(F453),IF(AND(ABS(F453)+0.00000000001&gt;=$B$7,ABS(E453)+0.000000001&gt;=$D$7),1,0),"n.a.")</x:f>
        <x:v>0</x:v>
      </x:c>
      <x:c r="K453" s="2" t="str">
        <x:f>IF(NOT(ISNUMBER(F453)),"No evaluable",IF(OR(J453=1,I453&gt;=$B$8),"Prioridad",IF(G453=1,"Observar","Sin umbral")))</x:f>
        <x:v>Observar</x:v>
      </x:c>
      <x:c r="L453" s="2" t="str">
        <x:f>IF(K453="No evaluable","Faltan datos",IF(J453=1,"Magnitud",IF(I453&gt;=$B$8,"Persistencia",IF(G453=1,"Cambio del mes","Sin umbral"))))</x:f>
        <x:v>Cambio del mes</x:v>
      </x:c>
      <x:c r="M453" s="2" t="n">
        <x:f>ROW()-40</x:f>
        <x:v>413</x:v>
      </x:c>
    </x:row>
    <x:row r="454" ht="48" customHeight="1">
      <x:c r="A454" s="4" t="n">
        <x:v>45809</x:v>
      </x:c>
      <x:c r="B454" s="32" t="str">
        <x:v>Madera y papel</x:v>
      </x:c>
      <x:c r="C454" s="10" t="n">
        <x:f>IF(ISNUMBER('Actividades'!F591),'Actividades'!F591,"n.a.")</x:f>
        <x:v>100.88241666666666</x:v>
      </x:c>
      <x:c r="D454" s="10" t="n">
        <x:f>IF(ISNUMBER('Actividades'!G591),'Actividades'!G591,"n.a.")</x:f>
        <x:v>86.17488333333334</x:v>
      </x:c>
      <x:c r="E454" s="10" t="n">
        <x:f>IF(AND(ISNUMBER(C454),ISNUMBER(D454),C454&gt;=0,D454&gt;0),C454-D454,"n.a.")</x:f>
        <x:v>14.707533333333316</x:v>
      </x:c>
      <x:c r="F454" s="12" t="n">
        <x:f>IF(ISNUMBER(E454),E454/D454,"n.a.")</x:f>
        <x:v>0.17067076582445792</x:v>
      </x:c>
      <x:c r="G454" s="2" t="n">
        <x:f>IF(ISNUMBER(F454),IF(AND(ABS(F454)+0.00000000001&gt;=$B$6,ABS(E454)+0.000000001&gt;=$D$6),1,0),"n.a.")</x:f>
        <x:v>1</x:v>
      </x:c>
      <x:c r="H454" s="2" t="n">
        <x:f>IF(ISNUMBER(E454),SIGN(E454),"n.a.")</x:f>
        <x:v>1</x:v>
      </x:c>
      <x:c r="I454" s="2" t="n">
        <x:f>IF(NOT(ISNUMBER(G454)),"n.a.",IF(G454=0,0,IF(AND(B454=B440,A454=EDATE(A440,1),H454=H440,ISNUMBER(I440)),I440+1,1)))</x:f>
        <x:v>2</x:v>
      </x:c>
      <x:c r="J454" s="2" t="n">
        <x:f>IF(ISNUMBER(F454),IF(AND(ABS(F454)+0.00000000001&gt;=$B$7,ABS(E454)+0.000000001&gt;=$D$7),1,0),"n.a.")</x:f>
        <x:v>0</x:v>
      </x:c>
      <x:c r="K454" s="2" t="str">
        <x:f>IF(NOT(ISNUMBER(F454)),"No evaluable",IF(OR(J454=1,I454&gt;=$B$8),"Prioridad",IF(G454=1,"Observar","Sin umbral")))</x:f>
        <x:v>Observar</x:v>
      </x:c>
      <x:c r="L454" s="2" t="str">
        <x:f>IF(K454="No evaluable","Faltan datos",IF(J454=1,"Magnitud",IF(I454&gt;=$B$8,"Persistencia",IF(G454=1,"Cambio del mes","Sin umbral"))))</x:f>
        <x:v>Cambio del mes</x:v>
      </x:c>
      <x:c r="M454" s="2" t="n">
        <x:f>ROW()-40</x:f>
        <x:v>414</x:v>
      </x:c>
    </x:row>
    <x:row r="455" ht="48" customHeight="1">
      <x:c r="A455" s="4" t="n">
        <x:v>45809</x:v>
      </x:c>
      <x:c r="B455" s="32" t="str">
        <x:v>Productos metálicos no automotores</x:v>
      </x:c>
      <x:c r="C455" s="10" t="n">
        <x:f>IF(ISNUMBER('Actividades'!F592),'Actividades'!F592,"n.a.")</x:f>
        <x:v>38.19257777777777</x:v>
      </x:c>
      <x:c r="D455" s="10" t="n">
        <x:f>IF(ISNUMBER('Actividades'!G592),'Actividades'!G592,"n.a.")</x:f>
        <x:v>37.63717777777777</x:v>
      </x:c>
      <x:c r="E455" s="10" t="n">
        <x:f>IF(AND(ISNUMBER(C455),ISNUMBER(D455),C455&gt;=0,D455&gt;0),C455-D455,"n.a.")</x:f>
        <x:v>0.5553999999999988</x:v>
      </x:c>
      <x:c r="F455" s="12" t="n">
        <x:f>IF(ISNUMBER(E455),E455/D455,"n.a.")</x:f>
        <x:v>0.01475668561758967</x:v>
      </x:c>
      <x:c r="G455" s="2" t="n">
        <x:f>IF(ISNUMBER(F455),IF(AND(ABS(F455)+0.00000000001&gt;=$B$6,ABS(E455)+0.000000001&gt;=$D$6),1,0),"n.a.")</x:f>
        <x:v>0</x:v>
      </x:c>
      <x:c r="H455" s="2" t="n">
        <x:f>IF(ISNUMBER(E455),SIGN(E455),"n.a.")</x:f>
        <x:v>1</x:v>
      </x:c>
      <x:c r="I455" s="2" t="n">
        <x:f>IF(NOT(ISNUMBER(G455)),"n.a.",IF(G455=0,0,IF(AND(B455=B441,A455=EDATE(A441,1),H455=H441,ISNUMBER(I441)),I441+1,1)))</x:f>
        <x:v>0</x:v>
      </x:c>
      <x:c r="J455" s="2" t="n">
        <x:f>IF(ISNUMBER(F455),IF(AND(ABS(F455)+0.00000000001&gt;=$B$7,ABS(E455)+0.000000001&gt;=$D$7),1,0),"n.a.")</x:f>
        <x:v>0</x:v>
      </x:c>
      <x:c r="K455" s="2" t="str">
        <x:f>IF(NOT(ISNUMBER(F455)),"No evaluable",IF(OR(J455=1,I455&gt;=$B$8),"Prioridad",IF(G455=1,"Observar","Sin umbral")))</x:f>
        <x:v>Sin umbral</x:v>
      </x:c>
      <x:c r="L455" s="2" t="str">
        <x:f>IF(K455="No evaluable","Faltan datos",IF(J455=1,"Magnitud",IF(I455&gt;=$B$8,"Persistencia",IF(G455=1,"Cambio del mes","Sin umbral"))))</x:f>
        <x:v>Sin umbral</x:v>
      </x:c>
      <x:c r="M455" s="2" t="n">
        <x:f>ROW()-40</x:f>
        <x:v>415</x:v>
      </x:c>
    </x:row>
    <x:row r="456" ht="48" customHeight="1">
      <x:c r="A456" s="4" t="n">
        <x:v>45809</x:v>
      </x:c>
      <x:c r="B456" s="32" t="str">
        <x:v>Gran siderurgia</x:v>
      </x:c>
      <x:c r="C456" s="10" t="n">
        <x:f>IF(ISNUMBER('Actividades'!F593),'Actividades'!F593,"n.a.")</x:f>
        <x:v>266.9037902777778</x:v>
      </x:c>
      <x:c r="D456" s="10" t="n">
        <x:f>IF(ISNUMBER('Actividades'!G593),'Actividades'!G593,"n.a.")</x:f>
        <x:v>251.9359513888889</x:v>
      </x:c>
      <x:c r="E456" s="10" t="n">
        <x:f>IF(AND(ISNUMBER(C456),ISNUMBER(D456),C456&gt;=0,D456&gt;0),C456-D456,"n.a.")</x:f>
        <x:v>14.967838888888878</x:v>
      </x:c>
      <x:c r="F456" s="12" t="n">
        <x:f>IF(ISNUMBER(E456),E456/D456,"n.a.")</x:f>
        <x:v>0.05941128610812868</x:v>
      </x:c>
      <x:c r="G456" s="2" t="n">
        <x:f>IF(ISNUMBER(F456),IF(AND(ABS(F456)+0.00000000001&gt;=$B$6,ABS(E456)+0.000000001&gt;=$D$6),1,0),"n.a.")</x:f>
        <x:v>0</x:v>
      </x:c>
      <x:c r="H456" s="2" t="n">
        <x:f>IF(ISNUMBER(E456),SIGN(E456),"n.a.")</x:f>
        <x:v>1</x:v>
      </x:c>
      <x:c r="I456" s="2" t="n">
        <x:f>IF(NOT(ISNUMBER(G456)),"n.a.",IF(G456=0,0,IF(AND(B456=B442,A456=EDATE(A442,1),H456=H442,ISNUMBER(I442)),I442+1,1)))</x:f>
        <x:v>0</x:v>
      </x:c>
      <x:c r="J456" s="2" t="n">
        <x:f>IF(ISNUMBER(F456),IF(AND(ABS(F456)+0.00000000001&gt;=$B$7,ABS(E456)+0.000000001&gt;=$D$7),1,0),"n.a.")</x:f>
        <x:v>0</x:v>
      </x:c>
      <x:c r="K456" s="2" t="str">
        <x:f>IF(NOT(ISNUMBER(F456)),"No evaluable",IF(OR(J456=1,I456&gt;=$B$8),"Prioridad",IF(G456=1,"Observar","Sin umbral")))</x:f>
        <x:v>Sin umbral</x:v>
      </x:c>
      <x:c r="L456" s="2" t="str">
        <x:f>IF(K456="No evaluable","Faltan datos",IF(J456=1,"Magnitud",IF(I456&gt;=$B$8,"Persistencia",IF(G456=1,"Cambio del mes","Sin umbral"))))</x:f>
        <x:v>Sin umbral</x:v>
      </x:c>
      <x:c r="M456" s="2" t="n">
        <x:f>ROW()-40</x:f>
        <x:v>416</x:v>
      </x:c>
    </x:row>
    <x:row r="457" ht="48" customHeight="1">
      <x:c r="A457" s="4" t="n">
        <x:v>45809</x:v>
      </x:c>
      <x:c r="B457" s="32" t="str">
        <x:v>Industria textil</x:v>
      </x:c>
      <x:c r="C457" s="10" t="n">
        <x:f>IF(ISNUMBER('Actividades'!F594),'Actividades'!F594,"n.a.")</x:f>
        <x:v>53.01022777777778</x:v>
      </x:c>
      <x:c r="D457" s="10" t="n">
        <x:f>IF(ISNUMBER('Actividades'!G594),'Actividades'!G594,"n.a.")</x:f>
        <x:v>45.67310416666667</x:v>
      </x:c>
      <x:c r="E457" s="10" t="n">
        <x:f>IF(AND(ISNUMBER(C457),ISNUMBER(D457),C457&gt;=0,D457&gt;0),C457-D457,"n.a.")</x:f>
        <x:v>7.33712361111111</x:v>
      </x:c>
      <x:c r="F457" s="12" t="n">
        <x:f>IF(ISNUMBER(E457),E457/D457,"n.a.")</x:f>
        <x:v>0.16064429482036213</x:v>
      </x:c>
      <x:c r="G457" s="2" t="n">
        <x:f>IF(ISNUMBER(F457),IF(AND(ABS(F457)+0.00000000001&gt;=$B$6,ABS(E457)+0.000000001&gt;=$D$6),1,0),"n.a.")</x:f>
        <x:v>1</x:v>
      </x:c>
      <x:c r="H457" s="2" t="n">
        <x:f>IF(ISNUMBER(E457),SIGN(E457),"n.a.")</x:f>
        <x:v>1</x:v>
      </x:c>
      <x:c r="I457" s="2" t="n">
        <x:f>IF(NOT(ISNUMBER(G457)),"n.a.",IF(G457=0,0,IF(AND(B457=B443,A457=EDATE(A443,1),H457=H443,ISNUMBER(I443)),I443+1,1)))</x:f>
        <x:v>2</x:v>
      </x:c>
      <x:c r="J457" s="2" t="n">
        <x:f>IF(ISNUMBER(F457),IF(AND(ABS(F457)+0.00000000001&gt;=$B$7,ABS(E457)+0.000000001&gt;=$D$7),1,0),"n.a.")</x:f>
        <x:v>0</x:v>
      </x:c>
      <x:c r="K457" s="2" t="str">
        <x:f>IF(NOT(ISNUMBER(F457)),"No evaluable",IF(OR(J457=1,I457&gt;=$B$8),"Prioridad",IF(G457=1,"Observar","Sin umbral")))</x:f>
        <x:v>Observar</x:v>
      </x:c>
      <x:c r="L457" s="2" t="str">
        <x:f>IF(K457="No evaluable","Faltan datos",IF(J457=1,"Magnitud",IF(I457&gt;=$B$8,"Persistencia",IF(G457=1,"Cambio del mes","Sin umbral"))))</x:f>
        <x:v>Cambio del mes</x:v>
      </x:c>
      <x:c r="M457" s="2" t="n">
        <x:f>ROW()-40</x:f>
        <x:v>417</x:v>
      </x:c>
    </x:row>
    <x:row r="458" ht="48" customHeight="1">
      <x:c r="A458" s="4" t="n">
        <x:v>45809</x:v>
      </x:c>
      <x:c r="B458" s="32" t="str">
        <x:v>Químicas, caucho, plástico y otros minerales no metálicos</x:v>
      </x:c>
      <x:c r="C458" s="10" t="n">
        <x:f>IF(ISNUMBER('Actividades'!F595),'Actividades'!F595,"n.a.")</x:f>
        <x:v>317.5846305555555</x:v>
      </x:c>
      <x:c r="D458" s="10" t="n">
        <x:f>IF(ISNUMBER('Actividades'!G595),'Actividades'!G595,"n.a.")</x:f>
        <x:v>336.83566527777776</x:v>
      </x:c>
      <x:c r="E458" s="10" t="n">
        <x:f>IF(AND(ISNUMBER(C458),ISNUMBER(D458),C458&gt;=0,D458&gt;0),C458-D458,"n.a.")</x:f>
        <x:v>-19.251034722222244</x:v>
      </x:c>
      <x:c r="F458" s="12" t="n">
        <x:f>IF(ISNUMBER(E458),E458/D458,"n.a.")</x:f>
        <x:v>-0.05715260201542649</x:v>
      </x:c>
      <x:c r="G458" s="2" t="n">
        <x:f>IF(ISNUMBER(F458),IF(AND(ABS(F458)+0.00000000001&gt;=$B$6,ABS(E458)+0.000000001&gt;=$D$6),1,0),"n.a.")</x:f>
        <x:v>0</x:v>
      </x:c>
      <x:c r="H458" s="2" t="n">
        <x:f>IF(ISNUMBER(E458),SIGN(E458),"n.a.")</x:f>
        <x:v>-1</x:v>
      </x:c>
      <x:c r="I458" s="2" t="n">
        <x:f>IF(NOT(ISNUMBER(G458)),"n.a.",IF(G458=0,0,IF(AND(B458=B444,A458=EDATE(A444,1),H458=H444,ISNUMBER(I444)),I444+1,1)))</x:f>
        <x:v>0</x:v>
      </x:c>
      <x:c r="J458" s="2" t="n">
        <x:f>IF(ISNUMBER(F458),IF(AND(ABS(F458)+0.00000000001&gt;=$B$7,ABS(E458)+0.000000001&gt;=$D$7),1,0),"n.a.")</x:f>
        <x:v>0</x:v>
      </x:c>
      <x:c r="K458" s="2" t="str">
        <x:f>IF(NOT(ISNUMBER(F458)),"No evaluable",IF(OR(J458=1,I458&gt;=$B$8),"Prioridad",IF(G458=1,"Observar","Sin umbral")))</x:f>
        <x:v>Sin umbral</x:v>
      </x:c>
      <x:c r="L458" s="2" t="str">
        <x:f>IF(K458="No evaluable","Faltan datos",IF(J458=1,"Magnitud",IF(I458&gt;=$B$8,"Persistencia",IF(G458=1,"Cambio del mes","Sin umbral"))))</x:f>
        <x:v>Sin umbral</x:v>
      </x:c>
      <x:c r="M458" s="2" t="n">
        <x:f>ROW()-40</x:f>
        <x:v>418</x:v>
      </x:c>
    </x:row>
    <x:row r="459" ht="48" customHeight="1">
      <x:c r="A459" s="4" t="n">
        <x:v>45809</x:v>
      </x:c>
      <x:c r="B459" s="32" t="str">
        <x:v>Extracción de minerales</x:v>
      </x:c>
      <x:c r="C459" s="10" t="n">
        <x:f>IF(ISNUMBER('Actividades'!F596),'Actividades'!F596,"n.a.")</x:f>
        <x:v>25.42856388888889</x:v>
      </x:c>
      <x:c r="D459" s="10" t="n">
        <x:f>IF(ISNUMBER('Actividades'!G596),'Actividades'!G596,"n.a.")</x:f>
        <x:v>22.59985972222222</x:v>
      </x:c>
      <x:c r="E459" s="10" t="n">
        <x:f>IF(AND(ISNUMBER(C459),ISNUMBER(D459),C459&gt;=0,D459&gt;0),C459-D459,"n.a.")</x:f>
        <x:v>2.828704166666668</x:v>
      </x:c>
      <x:c r="F459" s="12" t="n">
        <x:f>IF(ISNUMBER(E459),E459/D459,"n.a.")</x:f>
        <x:v>0.1251646780747595</x:v>
      </x:c>
      <x:c r="G459" s="2" t="n">
        <x:f>IF(ISNUMBER(F459),IF(AND(ABS(F459)+0.00000000001&gt;=$B$6,ABS(E459)+0.000000001&gt;=$D$6),1,0),"n.a.")</x:f>
        <x:v>0</x:v>
      </x:c>
      <x:c r="H459" s="2" t="n">
        <x:f>IF(ISNUMBER(E459),SIGN(E459),"n.a.")</x:f>
        <x:v>1</x:v>
      </x:c>
      <x:c r="I459" s="2" t="n">
        <x:f>IF(NOT(ISNUMBER(G459)),"n.a.",IF(G459=0,0,IF(AND(B459=B445,A459=EDATE(A445,1),H459=H445,ISNUMBER(I445)),I445+1,1)))</x:f>
        <x:v>0</x:v>
      </x:c>
      <x:c r="J459" s="2" t="n">
        <x:f>IF(ISNUMBER(F459),IF(AND(ABS(F459)+0.00000000001&gt;=$B$7,ABS(E459)+0.000000001&gt;=$D$7),1,0),"n.a.")</x:f>
        <x:v>0</x:v>
      </x:c>
      <x:c r="K459" s="2" t="str">
        <x:f>IF(NOT(ISNUMBER(F459)),"No evaluable",IF(OR(J459=1,I459&gt;=$B$8),"Prioridad",IF(G459=1,"Observar","Sin umbral")))</x:f>
        <x:v>Sin umbral</x:v>
      </x:c>
      <x:c r="L459" s="2" t="str">
        <x:f>IF(K459="No evaluable","Faltan datos",IF(J459=1,"Magnitud",IF(I459&gt;=$B$8,"Persistencia",IF(G459=1,"Cambio del mes","Sin umbral"))))</x:f>
        <x:v>Sin umbral</x:v>
      </x:c>
      <x:c r="M459" s="2" t="n">
        <x:f>ROW()-40</x:f>
        <x:v>419</x:v>
      </x:c>
    </x:row>
    <x:row r="460" ht="48" customHeight="1">
      <x:c r="A460" s="4" t="n">
        <x:v>45809</x:v>
      </x:c>
      <x:c r="B460" s="32" t="str">
        <x:v>Extracción de petróleo</x:v>
      </x:c>
      <x:c r="C460" s="10" t="n">
        <x:f>IF(ISNUMBER('Actividades'!F597),'Actividades'!F597,"n.a.")</x:f>
        <x:v>151.82418888888887</x:v>
      </x:c>
      <x:c r="D460" s="10" t="n">
        <x:f>IF(ISNUMBER('Actividades'!G597),'Actividades'!G597,"n.a.")</x:f>
        <x:v>146.11640138888887</x:v>
      </x:c>
      <x:c r="E460" s="10" t="n">
        <x:f>IF(AND(ISNUMBER(C460),ISNUMBER(D460),C460&gt;=0,D460&gt;0),C460-D460,"n.a.")</x:f>
        <x:v>5.707787499999995</x:v>
      </x:c>
      <x:c r="F460" s="12" t="n">
        <x:f>IF(ISNUMBER(E460),E460/D460,"n.a.")</x:f>
        <x:v>0.039063290949855216</x:v>
      </x:c>
      <x:c r="G460" s="2" t="n">
        <x:f>IF(ISNUMBER(F460),IF(AND(ABS(F460)+0.00000000001&gt;=$B$6,ABS(E460)+0.000000001&gt;=$D$6),1,0),"n.a.")</x:f>
        <x:v>0</x:v>
      </x:c>
      <x:c r="H460" s="2" t="n">
        <x:f>IF(ISNUMBER(E460),SIGN(E460),"n.a.")</x:f>
        <x:v>1</x:v>
      </x:c>
      <x:c r="I460" s="2" t="n">
        <x:f>IF(NOT(ISNUMBER(G460)),"n.a.",IF(G460=0,0,IF(AND(B460=B446,A460=EDATE(A446,1),H460=H446,ISNUMBER(I446)),I446+1,1)))</x:f>
        <x:v>0</x:v>
      </x:c>
      <x:c r="J460" s="2" t="n">
        <x:f>IF(ISNUMBER(F460),IF(AND(ABS(F460)+0.00000000001&gt;=$B$7,ABS(E460)+0.000000001&gt;=$D$7),1,0),"n.a.")</x:f>
        <x:v>0</x:v>
      </x:c>
      <x:c r="K460" s="2" t="str">
        <x:f>IF(NOT(ISNUMBER(F460)),"No evaluable",IF(OR(J460=1,I460&gt;=$B$8),"Prioridad",IF(G460=1,"Observar","Sin umbral")))</x:f>
        <x:v>Sin umbral</x:v>
      </x:c>
      <x:c r="L460" s="2" t="str">
        <x:f>IF(K460="No evaluable","Faltan datos",IF(J460=1,"Magnitud",IF(I460&gt;=$B$8,"Persistencia",IF(G460=1,"Cambio del mes","Sin umbral"))))</x:f>
        <x:v>Sin umbral</x:v>
      </x:c>
      <x:c r="M460" s="2" t="n">
        <x:f>ROW()-40</x:f>
        <x:v>420</x:v>
      </x:c>
    </x:row>
    <x:row r="461" ht="48" customHeight="1">
      <x:c r="A461" s="4" t="n">
        <x:v>45839</x:v>
      </x:c>
      <x:c r="B461" s="32" t="str">
        <x:v>Cargas y puertos</x:v>
      </x:c>
      <x:c r="C461" s="10" t="n">
        <x:f>IF(ISNUMBER('Actividades'!F598),'Actividades'!F598,"n.a.")</x:f>
        <x:v>9.712587365591398</x:v>
      </x:c>
      <x:c r="D461" s="10" t="n">
        <x:f>IF(ISNUMBER('Actividades'!G598),'Actividades'!G598,"n.a.")</x:f>
        <x:v>10.083543010752688</x:v>
      </x:c>
      <x:c r="E461" s="10" t="n">
        <x:f>IF(AND(ISNUMBER(C461),ISNUMBER(D461),C461&gt;=0,D461&gt;0),C461-D461,"n.a.")</x:f>
        <x:v>-0.3709556451612901</x:v>
      </x:c>
      <x:c r="F461" s="12" t="n">
        <x:f>IF(ISNUMBER(E461),E461/D461,"n.a.")</x:f>
        <x:v>-0.03678822461169827</x:v>
      </x:c>
      <x:c r="G461" s="2" t="n">
        <x:f>IF(ISNUMBER(F461),IF(AND(ABS(F461)+0.00000000001&gt;=$B$6,ABS(E461)+0.000000001&gt;=$D$6),1,0),"n.a.")</x:f>
        <x:v>0</x:v>
      </x:c>
      <x:c r="H461" s="2" t="n">
        <x:f>IF(ISNUMBER(E461),SIGN(E461),"n.a.")</x:f>
        <x:v>-1</x:v>
      </x:c>
      <x:c r="I461" s="2" t="n">
        <x:f>IF(NOT(ISNUMBER(G461)),"n.a.",IF(G461=0,0,IF(AND(B461=B447,A461=EDATE(A447,1),H461=H447,ISNUMBER(I447)),I447+1,1)))</x:f>
        <x:v>0</x:v>
      </x:c>
      <x:c r="J461" s="2" t="n">
        <x:f>IF(ISNUMBER(F461),IF(AND(ABS(F461)+0.00000000001&gt;=$B$7,ABS(E461)+0.000000001&gt;=$D$7),1,0),"n.a.")</x:f>
        <x:v>0</x:v>
      </x:c>
      <x:c r="K461" s="2" t="str">
        <x:f>IF(NOT(ISNUMBER(F461)),"No evaluable",IF(OR(J461=1,I461&gt;=$B$8),"Prioridad",IF(G461=1,"Observar","Sin umbral")))</x:f>
        <x:v>Sin umbral</x:v>
      </x:c>
      <x:c r="L461" s="2" t="str">
        <x:f>IF(K461="No evaluable","Faltan datos",IF(J461=1,"Magnitud",IF(I461&gt;=$B$8,"Persistencia",IF(G461=1,"Cambio del mes","Sin umbral"))))</x:f>
        <x:v>Sin umbral</x:v>
      </x:c>
      <x:c r="M461" s="2" t="n">
        <x:f>ROW()-40</x:f>
        <x:v>421</x:v>
      </x:c>
    </x:row>
    <x:row r="462" ht="48" customHeight="1">
      <x:c r="A462" s="4" t="n">
        <x:v>45839</x:v>
      </x:c>
      <x:c r="B462" s="32" t="str">
        <x:v>Comercio y servicios: principalmente supermercados y centros comerciales</x:v>
      </x:c>
      <x:c r="C462" s="10" t="n">
        <x:f>IF(ISNUMBER('Actividades'!F599),'Actividades'!F599,"n.a.")</x:f>
        <x:v>43.9786935483871</x:v>
      </x:c>
      <x:c r="D462" s="10" t="n">
        <x:f>IF(ISNUMBER('Actividades'!G599),'Actividades'!G599,"n.a.")</x:f>
        <x:v>29.510850806451614</x:v>
      </x:c>
      <x:c r="E462" s="10" t="n">
        <x:f>IF(AND(ISNUMBER(C462),ISNUMBER(D462),C462&gt;=0,D462&gt;0),C462-D462,"n.a.")</x:f>
        <x:v>14.467842741935485</x:v>
      </x:c>
      <x:c r="F462" s="12" t="n">
        <x:f>IF(ISNUMBER(E462),E462/D462,"n.a.")</x:f>
        <x:v>0.4902550196476392</x:v>
      </x:c>
      <x:c r="G462" s="2" t="n">
        <x:f>IF(ISNUMBER(F462),IF(AND(ABS(F462)+0.00000000001&gt;=$B$6,ABS(E462)+0.000000001&gt;=$D$6),1,0),"n.a.")</x:f>
        <x:v>1</x:v>
      </x:c>
      <x:c r="H462" s="2" t="n">
        <x:f>IF(ISNUMBER(E462),SIGN(E462),"n.a.")</x:f>
        <x:v>1</x:v>
      </x:c>
      <x:c r="I462" s="2" t="n">
        <x:f>IF(NOT(ISNUMBER(G462)),"n.a.",IF(G462=0,0,IF(AND(B462=B448,A462=EDATE(A448,1),H462=H448,ISNUMBER(I448)),I448+1,1)))</x:f>
        <x:v>10</x:v>
      </x:c>
      <x:c r="J462" s="2" t="n">
        <x:f>IF(ISNUMBER(F462),IF(AND(ABS(F462)+0.00000000001&gt;=$B$7,ABS(E462)+0.000000001&gt;=$D$7),1,0),"n.a.")</x:f>
        <x:v>1</x:v>
      </x:c>
      <x:c r="K462" s="2" t="str">
        <x:f>IF(NOT(ISNUMBER(F462)),"No evaluable",IF(OR(J462=1,I462&gt;=$B$8),"Prioridad",IF(G462=1,"Observar","Sin umbral")))</x:f>
        <x:v>Prioridad</x:v>
      </x:c>
      <x:c r="L462" s="2" t="str">
        <x:f>IF(K462="No evaluable","Faltan datos",IF(J462=1,"Magnitud",IF(I462&gt;=$B$8,"Persistencia",IF(G462=1,"Cambio del mes","Sin umbral"))))</x:f>
        <x:v>Magnitud</x:v>
      </x:c>
      <x:c r="M462" s="2" t="n">
        <x:f>ROW()-40</x:f>
        <x:v>422</x:v>
      </x:c>
    </x:row>
    <x:row r="463" ht="48" customHeight="1">
      <x:c r="A463" s="4" t="n">
        <x:v>45839</x:v>
      </x:c>
      <x:c r="B463" s="32" t="str">
        <x:v>Alimentación y artículos de consumo masivo</x:v>
      </x:c>
      <x:c r="C463" s="10" t="n">
        <x:f>IF(ISNUMBER('Actividades'!F600),'Actividades'!F600,"n.a.")</x:f>
        <x:v>288.0569758064516</x:v>
      </x:c>
      <x:c r="D463" s="10" t="n">
        <x:f>IF(ISNUMBER('Actividades'!G600),'Actividades'!G600,"n.a.")</x:f>
        <x:v>283.7487849462365</x:v>
      </x:c>
      <x:c r="E463" s="10" t="n">
        <x:f>IF(AND(ISNUMBER(C463),ISNUMBER(D463),C463&gt;=0,D463&gt;0),C463-D463,"n.a.")</x:f>
        <x:v>4.308190860215063</x:v>
      </x:c>
      <x:c r="F463" s="12" t="n">
        <x:f>IF(ISNUMBER(E463),E463/D463,"n.a.")</x:f>
        <x:v>0.015183116505790009</x:v>
      </x:c>
      <x:c r="G463" s="2" t="n">
        <x:f>IF(ISNUMBER(F463),IF(AND(ABS(F463)+0.00000000001&gt;=$B$6,ABS(E463)+0.000000001&gt;=$D$6),1,0),"n.a.")</x:f>
        <x:v>0</x:v>
      </x:c>
      <x:c r="H463" s="2" t="n">
        <x:f>IF(ISNUMBER(E463),SIGN(E463),"n.a.")</x:f>
        <x:v>1</x:v>
      </x:c>
      <x:c r="I463" s="2" t="n">
        <x:f>IF(NOT(ISNUMBER(G463)),"n.a.",IF(G463=0,0,IF(AND(B463=B449,A463=EDATE(A449,1),H463=H449,ISNUMBER(I449)),I449+1,1)))</x:f>
        <x:v>0</x:v>
      </x:c>
      <x:c r="J463" s="2" t="n">
        <x:f>IF(ISNUMBER(F463),IF(AND(ABS(F463)+0.00000000001&gt;=$B$7,ABS(E463)+0.000000001&gt;=$D$7),1,0),"n.a.")</x:f>
        <x:v>0</x:v>
      </x:c>
      <x:c r="K463" s="2" t="str">
        <x:f>IF(NOT(ISNUMBER(F463)),"No evaluable",IF(OR(J463=1,I463&gt;=$B$8),"Prioridad",IF(G463=1,"Observar","Sin umbral")))</x:f>
        <x:v>Sin umbral</x:v>
      </x:c>
      <x:c r="L463" s="2" t="str">
        <x:f>IF(K463="No evaluable","Faltan datos",IF(J463=1,"Magnitud",IF(I463&gt;=$B$8,"Persistencia",IF(G463=1,"Cambio del mes","Sin umbral"))))</x:f>
        <x:v>Sin umbral</x:v>
      </x:c>
      <x:c r="M463" s="2" t="n">
        <x:f>ROW()-40</x:f>
        <x:v>423</x:v>
      </x:c>
    </x:row>
    <x:row r="464" ht="48" customHeight="1">
      <x:c r="A464" s="4" t="n">
        <x:v>45839</x:v>
      </x:c>
      <x:c r="B464" s="32" t="str">
        <x:v>Servicios públicos y transporte: agua y transporte en GBA</x:v>
      </x:c>
      <x:c r="C464" s="10" t="n">
        <x:f>IF(ISNUMBER('Actividades'!F601),'Actividades'!F601,"n.a.")</x:f>
        <x:v>73.52754032258065</x:v>
      </x:c>
      <x:c r="D464" s="10" t="n">
        <x:f>IF(ISNUMBER('Actividades'!G601),'Actividades'!G601,"n.a.")</x:f>
        <x:v>87.6144247311828</x:v>
      </x:c>
      <x:c r="E464" s="10" t="n">
        <x:f>IF(AND(ISNUMBER(C464),ISNUMBER(D464),C464&gt;=0,D464&gt;0),C464-D464,"n.a.")</x:f>
        <x:v>-14.086884408602145</x:v>
      </x:c>
      <x:c r="F464" s="12" t="n">
        <x:f>IF(ISNUMBER(E464),E464/D464,"n.a.")</x:f>
        <x:v>-0.16078270732043615</x:v>
      </x:c>
      <x:c r="G464" s="2" t="n">
        <x:f>IF(ISNUMBER(F464),IF(AND(ABS(F464)+0.00000000001&gt;=$B$6,ABS(E464)+0.000000001&gt;=$D$6),1,0),"n.a.")</x:f>
        <x:v>1</x:v>
      </x:c>
      <x:c r="H464" s="2" t="n">
        <x:f>IF(ISNUMBER(E464),SIGN(E464),"n.a.")</x:f>
        <x:v>-1</x:v>
      </x:c>
      <x:c r="I464" s="2" t="n">
        <x:f>IF(NOT(ISNUMBER(G464)),"n.a.",IF(G464=0,0,IF(AND(B464=B450,A464=EDATE(A450,1),H464=H450,ISNUMBER(I450)),I450+1,1)))</x:f>
        <x:v>10</x:v>
      </x:c>
      <x:c r="J464" s="2" t="n">
        <x:f>IF(ISNUMBER(F464),IF(AND(ABS(F464)+0.00000000001&gt;=$B$7,ABS(E464)+0.000000001&gt;=$D$7),1,0),"n.a.")</x:f>
        <x:v>0</x:v>
      </x:c>
      <x:c r="K464" s="2" t="str">
        <x:f>IF(NOT(ISNUMBER(F464)),"No evaluable",IF(OR(J464=1,I464&gt;=$B$8),"Prioridad",IF(G464=1,"Observar","Sin umbral")))</x:f>
        <x:v>Prioridad</x:v>
      </x:c>
      <x:c r="L464" s="2" t="str">
        <x:f>IF(K464="No evaluable","Faltan datos",IF(J464=1,"Magnitud",IF(I464&gt;=$B$8,"Persistencia",IF(G464=1,"Cambio del mes","Sin umbral"))))</x:f>
        <x:v>Persistencia</x:v>
      </x:c>
      <x:c r="M464" s="2" t="n">
        <x:f>ROW()-40</x:f>
        <x:v>424</x:v>
      </x:c>
    </x:row>
    <x:row r="465" ht="48" customHeight="1">
      <x:c r="A465" s="4" t="n">
        <x:v>45839</x:v>
      </x:c>
      <x:c r="B465" s="32" t="str">
        <x:v>Industria automotriz</x:v>
      </x:c>
      <x:c r="C465" s="10" t="n">
        <x:f>IF(ISNUMBER('Actividades'!F602),'Actividades'!F602,"n.a.")</x:f>
        <x:v>38.95674059139785</x:v>
      </x:c>
      <x:c r="D465" s="10" t="n">
        <x:f>IF(ISNUMBER('Actividades'!G602),'Actividades'!G602,"n.a.")</x:f>
        <x:v>42.255794354838706</x:v>
      </x:c>
      <x:c r="E465" s="10" t="n">
        <x:f>IF(AND(ISNUMBER(C465),ISNUMBER(D465),C465&gt;=0,D465&gt;0),C465-D465,"n.a.")</x:f>
        <x:v>-3.2990537634408525</x:v>
      </x:c>
      <x:c r="F465" s="12" t="n">
        <x:f>IF(ISNUMBER(E465),E465/D465,"n.a.")</x:f>
        <x:v>-0.07807340540654345</x:v>
      </x:c>
      <x:c r="G465" s="2" t="n">
        <x:f>IF(ISNUMBER(F465),IF(AND(ABS(F465)+0.00000000001&gt;=$B$6,ABS(E465)+0.000000001&gt;=$D$6),1,0),"n.a.")</x:f>
        <x:v>0</x:v>
      </x:c>
      <x:c r="H465" s="2" t="n">
        <x:f>IF(ISNUMBER(E465),SIGN(E465),"n.a.")</x:f>
        <x:v>-1</x:v>
      </x:c>
      <x:c r="I465" s="2" t="n">
        <x:f>IF(NOT(ISNUMBER(G465)),"n.a.",IF(G465=0,0,IF(AND(B465=B451,A465=EDATE(A451,1),H465=H451,ISNUMBER(I451)),I451+1,1)))</x:f>
        <x:v>0</x:v>
      </x:c>
      <x:c r="J465" s="2" t="n">
        <x:f>IF(ISNUMBER(F465),IF(AND(ABS(F465)+0.00000000001&gt;=$B$7,ABS(E465)+0.000000001&gt;=$D$7),1,0),"n.a.")</x:f>
        <x:v>0</x:v>
      </x:c>
      <x:c r="K465" s="2" t="str">
        <x:f>IF(NOT(ISNUMBER(F465)),"No evaluable",IF(OR(J465=1,I465&gt;=$B$8),"Prioridad",IF(G465=1,"Observar","Sin umbral")))</x:f>
        <x:v>Sin umbral</x:v>
      </x:c>
      <x:c r="L465" s="2" t="str">
        <x:f>IF(K465="No evaluable","Faltan datos",IF(J465=1,"Magnitud",IF(I465&gt;=$B$8,"Persistencia",IF(G465=1,"Cambio del mes","Sin umbral"))))</x:f>
        <x:v>Sin umbral</x:v>
      </x:c>
      <x:c r="M465" s="2" t="n">
        <x:f>ROW()-40</x:f>
        <x:v>425</x:v>
      </x:c>
    </x:row>
    <x:row r="466" ht="48" customHeight="1">
      <x:c r="A466" s="4" t="n">
        <x:v>45839</x:v>
      </x:c>
      <x:c r="B466" s="32" t="str">
        <x:v>Derivados de petróleo</x:v>
      </x:c>
      <x:c r="C466" s="10" t="n">
        <x:f>IF(ISNUMBER('Actividades'!F603),'Actividades'!F603,"n.a.")</x:f>
        <x:v>173.21219220430106</x:v>
      </x:c>
      <x:c r="D466" s="10" t="n">
        <x:f>IF(ISNUMBER('Actividades'!G603),'Actividades'!G603,"n.a.")</x:f>
        <x:v>144.62603494623656</x:v>
      </x:c>
      <x:c r="E466" s="10" t="n">
        <x:f>IF(AND(ISNUMBER(C466),ISNUMBER(D466),C466&gt;=0,D466&gt;0),C466-D466,"n.a.")</x:f>
        <x:v>28.586157258064503</x:v>
      </x:c>
      <x:c r="F466" s="12" t="n">
        <x:f>IF(ISNUMBER(E466),E466/D466,"n.a.")</x:f>
        <x:v>0.1976556798275715</x:v>
      </x:c>
      <x:c r="G466" s="2" t="n">
        <x:f>IF(ISNUMBER(F466),IF(AND(ABS(F466)+0.00000000001&gt;=$B$6,ABS(E466)+0.000000001&gt;=$D$6),1,0),"n.a.")</x:f>
        <x:v>1</x:v>
      </x:c>
      <x:c r="H466" s="2" t="n">
        <x:f>IF(ISNUMBER(E466),SIGN(E466),"n.a.")</x:f>
        <x:v>1</x:v>
      </x:c>
      <x:c r="I466" s="2" t="n">
        <x:f>IF(NOT(ISNUMBER(G466)),"n.a.",IF(G466=0,0,IF(AND(B466=B452,A466=EDATE(A452,1),H466=H452,ISNUMBER(I452)),I452+1,1)))</x:f>
        <x:v>1</x:v>
      </x:c>
      <x:c r="J466" s="2" t="n">
        <x:f>IF(ISNUMBER(F466),IF(AND(ABS(F466)+0.00000000001&gt;=$B$7,ABS(E466)+0.000000001&gt;=$D$7),1,0),"n.a.")</x:f>
        <x:v>0</x:v>
      </x:c>
      <x:c r="K466" s="2" t="str">
        <x:f>IF(NOT(ISNUMBER(F466)),"No evaluable",IF(OR(J466=1,I466&gt;=$B$8),"Prioridad",IF(G466=1,"Observar","Sin umbral")))</x:f>
        <x:v>Observar</x:v>
      </x:c>
      <x:c r="L466" s="2" t="str">
        <x:f>IF(K466="No evaluable","Faltan datos",IF(J466=1,"Magnitud",IF(I466&gt;=$B$8,"Persistencia",IF(G466=1,"Cambio del mes","Sin umbral"))))</x:f>
        <x:v>Cambio del mes</x:v>
      </x:c>
      <x:c r="M466" s="2" t="n">
        <x:f>ROW()-40</x:f>
        <x:v>426</x:v>
      </x:c>
    </x:row>
    <x:row r="467" ht="48" customHeight="1">
      <x:c r="A467" s="4" t="n">
        <x:v>45839</x:v>
      </x:c>
      <x:c r="B467" s="32" t="str">
        <x:v>Construcción: elaboración de cemento y canteras</x:v>
      </x:c>
      <x:c r="C467" s="10" t="n">
        <x:f>IF(ISNUMBER('Actividades'!F604),'Actividades'!F604,"n.a.")</x:f>
        <x:v>122.29569086021505</x:v>
      </x:c>
      <x:c r="D467" s="10" t="n">
        <x:f>IF(ISNUMBER('Actividades'!G604),'Actividades'!G604,"n.a.")</x:f>
        <x:v>127.71007930107527</x:v>
      </x:c>
      <x:c r="E467" s="10" t="n">
        <x:f>IF(AND(ISNUMBER(C467),ISNUMBER(D467),C467&gt;=0,D467&gt;0),C467-D467,"n.a.")</x:f>
        <x:v>-5.414388440860222</x:v>
      </x:c>
      <x:c r="F467" s="12" t="n">
        <x:f>IF(ISNUMBER(E467),E467/D467,"n.a.")</x:f>
        <x:v>-0.042395936722393335</x:v>
      </x:c>
      <x:c r="G467" s="2" t="n">
        <x:f>IF(ISNUMBER(F467),IF(AND(ABS(F467)+0.00000000001&gt;=$B$6,ABS(E467)+0.000000001&gt;=$D$6),1,0),"n.a.")</x:f>
        <x:v>0</x:v>
      </x:c>
      <x:c r="H467" s="2" t="n">
        <x:f>IF(ISNUMBER(E467),SIGN(E467),"n.a.")</x:f>
        <x:v>-1</x:v>
      </x:c>
      <x:c r="I467" s="2" t="n">
        <x:f>IF(NOT(ISNUMBER(G467)),"n.a.",IF(G467=0,0,IF(AND(B467=B453,A467=EDATE(A453,1),H467=H453,ISNUMBER(I453)),I453+1,1)))</x:f>
        <x:v>0</x:v>
      </x:c>
      <x:c r="J467" s="2" t="n">
        <x:f>IF(ISNUMBER(F467),IF(AND(ABS(F467)+0.00000000001&gt;=$B$7,ABS(E467)+0.000000001&gt;=$D$7),1,0),"n.a.")</x:f>
        <x:v>0</x:v>
      </x:c>
      <x:c r="K467" s="2" t="str">
        <x:f>IF(NOT(ISNUMBER(F467)),"No evaluable",IF(OR(J467=1,I467&gt;=$B$8),"Prioridad",IF(G467=1,"Observar","Sin umbral")))</x:f>
        <x:v>Sin umbral</x:v>
      </x:c>
      <x:c r="L467" s="2" t="str">
        <x:f>IF(K467="No evaluable","Faltan datos",IF(J467=1,"Magnitud",IF(I467&gt;=$B$8,"Persistencia",IF(G467=1,"Cambio del mes","Sin umbral"))))</x:f>
        <x:v>Sin umbral</x:v>
      </x:c>
      <x:c r="M467" s="2" t="n">
        <x:f>ROW()-40</x:f>
        <x:v>427</x:v>
      </x:c>
    </x:row>
    <x:row r="468" ht="48" customHeight="1">
      <x:c r="A468" s="4" t="n">
        <x:v>45839</x:v>
      </x:c>
      <x:c r="B468" s="32" t="str">
        <x:v>Madera y papel</x:v>
      </x:c>
      <x:c r="C468" s="10" t="n">
        <x:f>IF(ISNUMBER('Actividades'!F605),'Actividades'!F605,"n.a.")</x:f>
        <x:v>99.60840456989249</x:v>
      </x:c>
      <x:c r="D468" s="10" t="n">
        <x:f>IF(ISNUMBER('Actividades'!G605),'Actividades'!G605,"n.a.")</x:f>
        <x:v>92.99674865591398</x:v>
      </x:c>
      <x:c r="E468" s="10" t="n">
        <x:f>IF(AND(ISNUMBER(C468),ISNUMBER(D468),C468&gt;=0,D468&gt;0),C468-D468,"n.a.")</x:f>
        <x:v>6.61165591397851</x:v>
      </x:c>
      <x:c r="F468" s="12" t="n">
        <x:f>IF(ISNUMBER(E468),E468/D468,"n.a.")</x:f>
        <x:v>0.07109555989362057</x:v>
      </x:c>
      <x:c r="G468" s="2" t="n">
        <x:f>IF(ISNUMBER(F468),IF(AND(ABS(F468)+0.00000000001&gt;=$B$6,ABS(E468)+0.000000001&gt;=$D$6),1,0),"n.a.")</x:f>
        <x:v>0</x:v>
      </x:c>
      <x:c r="H468" s="2" t="n">
        <x:f>IF(ISNUMBER(E468),SIGN(E468),"n.a.")</x:f>
        <x:v>1</x:v>
      </x:c>
      <x:c r="I468" s="2" t="n">
        <x:f>IF(NOT(ISNUMBER(G468)),"n.a.",IF(G468=0,0,IF(AND(B468=B454,A468=EDATE(A454,1),H468=H454,ISNUMBER(I454)),I454+1,1)))</x:f>
        <x:v>0</x:v>
      </x:c>
      <x:c r="J468" s="2" t="n">
        <x:f>IF(ISNUMBER(F468),IF(AND(ABS(F468)+0.00000000001&gt;=$B$7,ABS(E468)+0.000000001&gt;=$D$7),1,0),"n.a.")</x:f>
        <x:v>0</x:v>
      </x:c>
      <x:c r="K468" s="2" t="str">
        <x:f>IF(NOT(ISNUMBER(F468)),"No evaluable",IF(OR(J468=1,I468&gt;=$B$8),"Prioridad",IF(G468=1,"Observar","Sin umbral")))</x:f>
        <x:v>Sin umbral</x:v>
      </x:c>
      <x:c r="L468" s="2" t="str">
        <x:f>IF(K468="No evaluable","Faltan datos",IF(J468=1,"Magnitud",IF(I468&gt;=$B$8,"Persistencia",IF(G468=1,"Cambio del mes","Sin umbral"))))</x:f>
        <x:v>Sin umbral</x:v>
      </x:c>
      <x:c r="M468" s="2" t="n">
        <x:f>ROW()-40</x:f>
        <x:v>428</x:v>
      </x:c>
    </x:row>
    <x:row r="469" ht="48" customHeight="1">
      <x:c r="A469" s="4" t="n">
        <x:v>45839</x:v>
      </x:c>
      <x:c r="B469" s="32" t="str">
        <x:v>Productos metálicos no automotores</x:v>
      </x:c>
      <x:c r="C469" s="10" t="n">
        <x:f>IF(ISNUMBER('Actividades'!F606),'Actividades'!F606,"n.a.")</x:f>
        <x:v>43.541455645161285</x:v>
      </x:c>
      <x:c r="D469" s="10" t="n">
        <x:f>IF(ISNUMBER('Actividades'!G606),'Actividades'!G606,"n.a.")</x:f>
        <x:v>39.46702284946237</x:v>
      </x:c>
      <x:c r="E469" s="10" t="n">
        <x:f>IF(AND(ISNUMBER(C469),ISNUMBER(D469),C469&gt;=0,D469&gt;0),C469-D469,"n.a.")</x:f>
        <x:v>4.074432795698918</x:v>
      </x:c>
      <x:c r="F469" s="12" t="n">
        <x:f>IF(ISNUMBER(E469),E469/D469,"n.a.")</x:f>
        <x:v>0.10323638576033159</x:v>
      </x:c>
      <x:c r="G469" s="2" t="n">
        <x:f>IF(ISNUMBER(F469),IF(AND(ABS(F469)+0.00000000001&gt;=$B$6,ABS(E469)+0.000000001&gt;=$D$6),1,0),"n.a.")</x:f>
        <x:v>0</x:v>
      </x:c>
      <x:c r="H469" s="2" t="n">
        <x:f>IF(ISNUMBER(E469),SIGN(E469),"n.a.")</x:f>
        <x:v>1</x:v>
      </x:c>
      <x:c r="I469" s="2" t="n">
        <x:f>IF(NOT(ISNUMBER(G469)),"n.a.",IF(G469=0,0,IF(AND(B469=B455,A469=EDATE(A455,1),H469=H455,ISNUMBER(I455)),I455+1,1)))</x:f>
        <x:v>0</x:v>
      </x:c>
      <x:c r="J469" s="2" t="n">
        <x:f>IF(ISNUMBER(F469),IF(AND(ABS(F469)+0.00000000001&gt;=$B$7,ABS(E469)+0.000000001&gt;=$D$7),1,0),"n.a.")</x:f>
        <x:v>0</x:v>
      </x:c>
      <x:c r="K469" s="2" t="str">
        <x:f>IF(NOT(ISNUMBER(F469)),"No evaluable",IF(OR(J469=1,I469&gt;=$B$8),"Prioridad",IF(G469=1,"Observar","Sin umbral")))</x:f>
        <x:v>Sin umbral</x:v>
      </x:c>
      <x:c r="L469" s="2" t="str">
        <x:f>IF(K469="No evaluable","Faltan datos",IF(J469=1,"Magnitud",IF(I469&gt;=$B$8,"Persistencia",IF(G469=1,"Cambio del mes","Sin umbral"))))</x:f>
        <x:v>Sin umbral</x:v>
      </x:c>
      <x:c r="M469" s="2" t="n">
        <x:f>ROW()-40</x:f>
        <x:v>429</x:v>
      </x:c>
    </x:row>
    <x:row r="470" ht="48" customHeight="1">
      <x:c r="A470" s="4" t="n">
        <x:v>45839</x:v>
      </x:c>
      <x:c r="B470" s="32" t="str">
        <x:v>Gran siderurgia</x:v>
      </x:c>
      <x:c r="C470" s="10" t="n">
        <x:f>IF(ISNUMBER('Actividades'!F607),'Actividades'!F607,"n.a.")</x:f>
        <x:v>261.25713440860216</x:v>
      </x:c>
      <x:c r="D470" s="10" t="n">
        <x:f>IF(ISNUMBER('Actividades'!G607),'Actividades'!G607,"n.a.")</x:f>
        <x:v>229.298561827957</x:v>
      </x:c>
      <x:c r="E470" s="10" t="n">
        <x:f>IF(AND(ISNUMBER(C470),ISNUMBER(D470),C470&gt;=0,D470&gt;0),C470-D470,"n.a.")</x:f>
        <x:v>31.958572580645153</x:v>
      </x:c>
      <x:c r="F470" s="12" t="n">
        <x:f>IF(ISNUMBER(E470),E470/D470,"n.a.")</x:f>
        <x:v>0.13937537298914116</x:v>
      </x:c>
      <x:c r="G470" s="2" t="n">
        <x:f>IF(ISNUMBER(F470),IF(AND(ABS(F470)+0.00000000001&gt;=$B$6,ABS(E470)+0.000000001&gt;=$D$6),1,0),"n.a.")</x:f>
        <x:v>1</x:v>
      </x:c>
      <x:c r="H470" s="2" t="n">
        <x:f>IF(ISNUMBER(E470),SIGN(E470),"n.a.")</x:f>
        <x:v>1</x:v>
      </x:c>
      <x:c r="I470" s="2" t="n">
        <x:f>IF(NOT(ISNUMBER(G470)),"n.a.",IF(G470=0,0,IF(AND(B470=B456,A470=EDATE(A456,1),H470=H456,ISNUMBER(I456)),I456+1,1)))</x:f>
        <x:v>1</x:v>
      </x:c>
      <x:c r="J470" s="2" t="n">
        <x:f>IF(ISNUMBER(F470),IF(AND(ABS(F470)+0.00000000001&gt;=$B$7,ABS(E470)+0.000000001&gt;=$D$7),1,0),"n.a.")</x:f>
        <x:v>0</x:v>
      </x:c>
      <x:c r="K470" s="2" t="str">
        <x:f>IF(NOT(ISNUMBER(F470)),"No evaluable",IF(OR(J470=1,I470&gt;=$B$8),"Prioridad",IF(G470=1,"Observar","Sin umbral")))</x:f>
        <x:v>Observar</x:v>
      </x:c>
      <x:c r="L470" s="2" t="str">
        <x:f>IF(K470="No evaluable","Faltan datos",IF(J470=1,"Magnitud",IF(I470&gt;=$B$8,"Persistencia",IF(G470=1,"Cambio del mes","Sin umbral"))))</x:f>
        <x:v>Cambio del mes</x:v>
      </x:c>
      <x:c r="M470" s="2" t="n">
        <x:f>ROW()-40</x:f>
        <x:v>430</x:v>
      </x:c>
    </x:row>
    <x:row r="471" ht="48" customHeight="1">
      <x:c r="A471" s="4" t="n">
        <x:v>45839</x:v>
      </x:c>
      <x:c r="B471" s="32" t="str">
        <x:v>Industria textil</x:v>
      </x:c>
      <x:c r="C471" s="10" t="n">
        <x:f>IF(ISNUMBER('Actividades'!F608),'Actividades'!F608,"n.a.")</x:f>
        <x:v>49.99107795698925</x:v>
      </x:c>
      <x:c r="D471" s="10" t="n">
        <x:f>IF(ISNUMBER('Actividades'!G608),'Actividades'!G608,"n.a.")</x:f>
        <x:v>53.51257258064516</x:v>
      </x:c>
      <x:c r="E471" s="10" t="n">
        <x:f>IF(AND(ISNUMBER(C471),ISNUMBER(D471),C471&gt;=0,D471&gt;0),C471-D471,"n.a.")</x:f>
        <x:v>-3.5214946236559115</x:v>
      </x:c>
      <x:c r="F471" s="12" t="n">
        <x:f>IF(ISNUMBER(E471),E471/D471,"n.a.")</x:f>
        <x:v>-0.06580686470172792</x:v>
      </x:c>
      <x:c r="G471" s="2" t="n">
        <x:f>IF(ISNUMBER(F471),IF(AND(ABS(F471)+0.00000000001&gt;=$B$6,ABS(E471)+0.000000001&gt;=$D$6),1,0),"n.a.")</x:f>
        <x:v>0</x:v>
      </x:c>
      <x:c r="H471" s="2" t="n">
        <x:f>IF(ISNUMBER(E471),SIGN(E471),"n.a.")</x:f>
        <x:v>-1</x:v>
      </x:c>
      <x:c r="I471" s="2" t="n">
        <x:f>IF(NOT(ISNUMBER(G471)),"n.a.",IF(G471=0,0,IF(AND(B471=B457,A471=EDATE(A457,1),H471=H457,ISNUMBER(I457)),I457+1,1)))</x:f>
        <x:v>0</x:v>
      </x:c>
      <x:c r="J471" s="2" t="n">
        <x:f>IF(ISNUMBER(F471),IF(AND(ABS(F471)+0.00000000001&gt;=$B$7,ABS(E471)+0.000000001&gt;=$D$7),1,0),"n.a.")</x:f>
        <x:v>0</x:v>
      </x:c>
      <x:c r="K471" s="2" t="str">
        <x:f>IF(NOT(ISNUMBER(F471)),"No evaluable",IF(OR(J471=1,I471&gt;=$B$8),"Prioridad",IF(G471=1,"Observar","Sin umbral")))</x:f>
        <x:v>Sin umbral</x:v>
      </x:c>
      <x:c r="L471" s="2" t="str">
        <x:f>IF(K471="No evaluable","Faltan datos",IF(J471=1,"Magnitud",IF(I471&gt;=$B$8,"Persistencia",IF(G471=1,"Cambio del mes","Sin umbral"))))</x:f>
        <x:v>Sin umbral</x:v>
      </x:c>
      <x:c r="M471" s="2" t="n">
        <x:f>ROW()-40</x:f>
        <x:v>431</x:v>
      </x:c>
    </x:row>
    <x:row r="472" ht="48" customHeight="1">
      <x:c r="A472" s="4" t="n">
        <x:v>45839</x:v>
      </x:c>
      <x:c r="B472" s="32" t="str">
        <x:v>Químicas, caucho, plástico y otros minerales no metálicos</x:v>
      </x:c>
      <x:c r="C472" s="10" t="n">
        <x:f>IF(ISNUMBER('Actividades'!F609),'Actividades'!F609,"n.a.")</x:f>
        <x:v>316.4524690860215</x:v>
      </x:c>
      <x:c r="D472" s="10" t="n">
        <x:f>IF(ISNUMBER('Actividades'!G609),'Actividades'!G609,"n.a.")</x:f>
        <x:v>342.4649758064516</x:v>
      </x:c>
      <x:c r="E472" s="10" t="n">
        <x:f>IF(AND(ISNUMBER(C472),ISNUMBER(D472),C472&gt;=0,D472&gt;0),C472-D472,"n.a.")</x:f>
        <x:v>-26.01250672043011</x:v>
      </x:c>
      <x:c r="F472" s="12" t="n">
        <x:f>IF(ISNUMBER(E472),E472/D472,"n.a.")</x:f>
        <x:v>-0.0759566920943513</x:v>
      </x:c>
      <x:c r="G472" s="2" t="n">
        <x:f>IF(ISNUMBER(F472),IF(AND(ABS(F472)+0.00000000001&gt;=$B$6,ABS(E472)+0.000000001&gt;=$D$6),1,0),"n.a.")</x:f>
        <x:v>0</x:v>
      </x:c>
      <x:c r="H472" s="2" t="n">
        <x:f>IF(ISNUMBER(E472),SIGN(E472),"n.a.")</x:f>
        <x:v>-1</x:v>
      </x:c>
      <x:c r="I472" s="2" t="n">
        <x:f>IF(NOT(ISNUMBER(G472)),"n.a.",IF(G472=0,0,IF(AND(B472=B458,A472=EDATE(A458,1),H472=H458,ISNUMBER(I458)),I458+1,1)))</x:f>
        <x:v>0</x:v>
      </x:c>
      <x:c r="J472" s="2" t="n">
        <x:f>IF(ISNUMBER(F472),IF(AND(ABS(F472)+0.00000000001&gt;=$B$7,ABS(E472)+0.000000001&gt;=$D$7),1,0),"n.a.")</x:f>
        <x:v>0</x:v>
      </x:c>
      <x:c r="K472" s="2" t="str">
        <x:f>IF(NOT(ISNUMBER(F472)),"No evaluable",IF(OR(J472=1,I472&gt;=$B$8),"Prioridad",IF(G472=1,"Observar","Sin umbral")))</x:f>
        <x:v>Sin umbral</x:v>
      </x:c>
      <x:c r="L472" s="2" t="str">
        <x:f>IF(K472="No evaluable","Faltan datos",IF(J472=1,"Magnitud",IF(I472&gt;=$B$8,"Persistencia",IF(G472=1,"Cambio del mes","Sin umbral"))))</x:f>
        <x:v>Sin umbral</x:v>
      </x:c>
      <x:c r="M472" s="2" t="n">
        <x:f>ROW()-40</x:f>
        <x:v>432</x:v>
      </x:c>
    </x:row>
    <x:row r="473" ht="48" customHeight="1">
      <x:c r="A473" s="4" t="n">
        <x:v>45839</x:v>
      </x:c>
      <x:c r="B473" s="32" t="str">
        <x:v>Extracción de minerales</x:v>
      </x:c>
      <x:c r="C473" s="10" t="n">
        <x:f>IF(ISNUMBER('Actividades'!F610),'Actividades'!F610,"n.a.")</x:f>
        <x:v>25.554833333333335</x:v>
      </x:c>
      <x:c r="D473" s="10" t="n">
        <x:f>IF(ISNUMBER('Actividades'!G610),'Actividades'!G610,"n.a.")</x:f>
        <x:v>22.565686827956988</x:v>
      </x:c>
      <x:c r="E473" s="10" t="n">
        <x:f>IF(AND(ISNUMBER(C473),ISNUMBER(D473),C473&gt;=0,D473&gt;0),C473-D473,"n.a.")</x:f>
        <x:v>2.989146505376347</x:v>
      </x:c>
      <x:c r="F473" s="12" t="n">
        <x:f>IF(ISNUMBER(E473),E473/D473,"n.a.")</x:f>
        <x:v>0.13246423776798347</x:v>
      </x:c>
      <x:c r="G473" s="2" t="n">
        <x:f>IF(ISNUMBER(F473),IF(AND(ABS(F473)+0.00000000001&gt;=$B$6,ABS(E473)+0.000000001&gt;=$D$6),1,0),"n.a.")</x:f>
        <x:v>0</x:v>
      </x:c>
      <x:c r="H473" s="2" t="n">
        <x:f>IF(ISNUMBER(E473),SIGN(E473),"n.a.")</x:f>
        <x:v>1</x:v>
      </x:c>
      <x:c r="I473" s="2" t="n">
        <x:f>IF(NOT(ISNUMBER(G473)),"n.a.",IF(G473=0,0,IF(AND(B473=B459,A473=EDATE(A459,1),H473=H459,ISNUMBER(I459)),I459+1,1)))</x:f>
        <x:v>0</x:v>
      </x:c>
      <x:c r="J473" s="2" t="n">
        <x:f>IF(ISNUMBER(F473),IF(AND(ABS(F473)+0.00000000001&gt;=$B$7,ABS(E473)+0.000000001&gt;=$D$7),1,0),"n.a.")</x:f>
        <x:v>0</x:v>
      </x:c>
      <x:c r="K473" s="2" t="str">
        <x:f>IF(NOT(ISNUMBER(F473)),"No evaluable",IF(OR(J473=1,I473&gt;=$B$8),"Prioridad",IF(G473=1,"Observar","Sin umbral")))</x:f>
        <x:v>Sin umbral</x:v>
      </x:c>
      <x:c r="L473" s="2" t="str">
        <x:f>IF(K473="No evaluable","Faltan datos",IF(J473=1,"Magnitud",IF(I473&gt;=$B$8,"Persistencia",IF(G473=1,"Cambio del mes","Sin umbral"))))</x:f>
        <x:v>Sin umbral</x:v>
      </x:c>
      <x:c r="M473" s="2" t="n">
        <x:f>ROW()-40</x:f>
        <x:v>433</x:v>
      </x:c>
    </x:row>
    <x:row r="474" ht="48" customHeight="1">
      <x:c r="A474" s="4" t="n">
        <x:v>45839</x:v>
      </x:c>
      <x:c r="B474" s="32" t="str">
        <x:v>Extracción de petróleo</x:v>
      </x:c>
      <x:c r="C474" s="10" t="n">
        <x:f>IF(ISNUMBER('Actividades'!F611),'Actividades'!F611,"n.a.")</x:f>
        <x:v>145.85157123655912</x:v>
      </x:c>
      <x:c r="D474" s="10" t="n">
        <x:f>IF(ISNUMBER('Actividades'!G611),'Actividades'!G611,"n.a.")</x:f>
        <x:v>145.65702688172044</x:v>
      </x:c>
      <x:c r="E474" s="10" t="n">
        <x:f>IF(AND(ISNUMBER(C474),ISNUMBER(D474),C474&gt;=0,D474&gt;0),C474-D474,"n.a.")</x:f>
        <x:v>0.19454435483868338</x:v>
      </x:c>
      <x:c r="F474" s="12" t="n">
        <x:f>IF(ISNUMBER(E474),E474/D474,"n.a.")</x:f>
        <x:v>0.0013356331582729715</x:v>
      </x:c>
      <x:c r="G474" s="2" t="n">
        <x:f>IF(ISNUMBER(F474),IF(AND(ABS(F474)+0.00000000001&gt;=$B$6,ABS(E474)+0.000000001&gt;=$D$6),1,0),"n.a.")</x:f>
        <x:v>0</x:v>
      </x:c>
      <x:c r="H474" s="2" t="n">
        <x:f>IF(ISNUMBER(E474),SIGN(E474),"n.a.")</x:f>
        <x:v>1</x:v>
      </x:c>
      <x:c r="I474" s="2" t="n">
        <x:f>IF(NOT(ISNUMBER(G474)),"n.a.",IF(G474=0,0,IF(AND(B474=B460,A474=EDATE(A460,1),H474=H460,ISNUMBER(I460)),I460+1,1)))</x:f>
        <x:v>0</x:v>
      </x:c>
      <x:c r="J474" s="2" t="n">
        <x:f>IF(ISNUMBER(F474),IF(AND(ABS(F474)+0.00000000001&gt;=$B$7,ABS(E474)+0.000000001&gt;=$D$7),1,0),"n.a.")</x:f>
        <x:v>0</x:v>
      </x:c>
      <x:c r="K474" s="2" t="str">
        <x:f>IF(NOT(ISNUMBER(F474)),"No evaluable",IF(OR(J474=1,I474&gt;=$B$8),"Prioridad",IF(G474=1,"Observar","Sin umbral")))</x:f>
        <x:v>Sin umbral</x:v>
      </x:c>
      <x:c r="L474" s="2" t="str">
        <x:f>IF(K474="No evaluable","Faltan datos",IF(J474=1,"Magnitud",IF(I474&gt;=$B$8,"Persistencia",IF(G474=1,"Cambio del mes","Sin umbral"))))</x:f>
        <x:v>Sin umbral</x:v>
      </x:c>
      <x:c r="M474" s="2" t="n">
        <x:f>ROW()-40</x:f>
        <x:v>434</x:v>
      </x:c>
    </x:row>
    <x:row r="475" ht="48" customHeight="1">
      <x:c r="A475" s="4" t="n">
        <x:v>45870</x:v>
      </x:c>
      <x:c r="B475" s="32" t="str">
        <x:v>Cargas y puertos</x:v>
      </x:c>
      <x:c r="C475" s="10" t="n">
        <x:f>IF(ISNUMBER('Actividades'!F612),'Actividades'!F612,"n.a.")</x:f>
        <x:v>9.285111559139786</x:v>
      </x:c>
      <x:c r="D475" s="10" t="n">
        <x:f>IF(ISNUMBER('Actividades'!G612),'Actividades'!G612,"n.a.")</x:f>
        <x:v>9.959030913978495</x:v>
      </x:c>
      <x:c r="E475" s="10" t="n">
        <x:f>IF(AND(ISNUMBER(C475),ISNUMBER(D475),C475&gt;=0,D475&gt;0),C475-D475,"n.a.")</x:f>
        <x:v>-0.6739193548387092</x:v>
      </x:c>
      <x:c r="F475" s="12" t="n">
        <x:f>IF(ISNUMBER(E475),E475/D475,"n.a.")</x:f>
        <x:v>-0.0676691698880858</x:v>
      </x:c>
      <x:c r="G475" s="2" t="n">
        <x:f>IF(ISNUMBER(F475),IF(AND(ABS(F475)+0.00000000001&gt;=$B$6,ABS(E475)+0.000000001&gt;=$D$6),1,0),"n.a.")</x:f>
        <x:v>0</x:v>
      </x:c>
      <x:c r="H475" s="2" t="n">
        <x:f>IF(ISNUMBER(E475),SIGN(E475),"n.a.")</x:f>
        <x:v>-1</x:v>
      </x:c>
      <x:c r="I475" s="2" t="n">
        <x:f>IF(NOT(ISNUMBER(G475)),"n.a.",IF(G475=0,0,IF(AND(B475=B461,A475=EDATE(A461,1),H475=H461,ISNUMBER(I461)),I461+1,1)))</x:f>
        <x:v>0</x:v>
      </x:c>
      <x:c r="J475" s="2" t="n">
        <x:f>IF(ISNUMBER(F475),IF(AND(ABS(F475)+0.00000000001&gt;=$B$7,ABS(E475)+0.000000001&gt;=$D$7),1,0),"n.a.")</x:f>
        <x:v>0</x:v>
      </x:c>
      <x:c r="K475" s="2" t="str">
        <x:f>IF(NOT(ISNUMBER(F475)),"No evaluable",IF(OR(J475=1,I475&gt;=$B$8),"Prioridad",IF(G475=1,"Observar","Sin umbral")))</x:f>
        <x:v>Sin umbral</x:v>
      </x:c>
      <x:c r="L475" s="2" t="str">
        <x:f>IF(K475="No evaluable","Faltan datos",IF(J475=1,"Magnitud",IF(I475&gt;=$B$8,"Persistencia",IF(G475=1,"Cambio del mes","Sin umbral"))))</x:f>
        <x:v>Sin umbral</x:v>
      </x:c>
      <x:c r="M475" s="2" t="n">
        <x:f>ROW()-40</x:f>
        <x:v>435</x:v>
      </x:c>
    </x:row>
    <x:row r="476" ht="48" customHeight="1">
      <x:c r="A476" s="4" t="n">
        <x:v>45870</x:v>
      </x:c>
      <x:c r="B476" s="32" t="str">
        <x:v>Comercio y servicios: principalmente supermercados y centros comerciales</x:v>
      </x:c>
      <x:c r="C476" s="10" t="n">
        <x:f>IF(ISNUMBER('Actividades'!F613),'Actividades'!F613,"n.a.")</x:f>
        <x:v>45.42779838709677</x:v>
      </x:c>
      <x:c r="D476" s="10" t="n">
        <x:f>IF(ISNUMBER('Actividades'!G613),'Actividades'!G613,"n.a.")</x:f>
        <x:v>32.436723118279566</x:v>
      </x:c>
      <x:c r="E476" s="10" t="n">
        <x:f>IF(AND(ISNUMBER(C476),ISNUMBER(D476),C476&gt;=0,D476&gt;0),C476-D476,"n.a.")</x:f>
        <x:v>12.991075268817205</x:v>
      </x:c>
      <x:c r="F476" s="12" t="n">
        <x:f>IF(ISNUMBER(E476),E476/D476,"n.a.")</x:f>
        <x:v>0.4005051688311926</x:v>
      </x:c>
      <x:c r="G476" s="2" t="n">
        <x:f>IF(ISNUMBER(F476),IF(AND(ABS(F476)+0.00000000001&gt;=$B$6,ABS(E476)+0.000000001&gt;=$D$6),1,0),"n.a.")</x:f>
        <x:v>1</x:v>
      </x:c>
      <x:c r="H476" s="2" t="n">
        <x:f>IF(ISNUMBER(E476),SIGN(E476),"n.a.")</x:f>
        <x:v>1</x:v>
      </x:c>
      <x:c r="I476" s="2" t="n">
        <x:f>IF(NOT(ISNUMBER(G476)),"n.a.",IF(G476=0,0,IF(AND(B476=B462,A476=EDATE(A462,1),H476=H462,ISNUMBER(I462)),I462+1,1)))</x:f>
        <x:v>11</x:v>
      </x:c>
      <x:c r="J476" s="2" t="n">
        <x:f>IF(ISNUMBER(F476),IF(AND(ABS(F476)+0.00000000001&gt;=$B$7,ABS(E476)+0.000000001&gt;=$D$7),1,0),"n.a.")</x:f>
        <x:v>1</x:v>
      </x:c>
      <x:c r="K476" s="2" t="str">
        <x:f>IF(NOT(ISNUMBER(F476)),"No evaluable",IF(OR(J476=1,I476&gt;=$B$8),"Prioridad",IF(G476=1,"Observar","Sin umbral")))</x:f>
        <x:v>Prioridad</x:v>
      </x:c>
      <x:c r="L476" s="2" t="str">
        <x:f>IF(K476="No evaluable","Faltan datos",IF(J476=1,"Magnitud",IF(I476&gt;=$B$8,"Persistencia",IF(G476=1,"Cambio del mes","Sin umbral"))))</x:f>
        <x:v>Magnitud</x:v>
      </x:c>
      <x:c r="M476" s="2" t="n">
        <x:f>ROW()-40</x:f>
        <x:v>436</x:v>
      </x:c>
    </x:row>
    <x:row r="477" ht="48" customHeight="1">
      <x:c r="A477" s="4" t="n">
        <x:v>45870</x:v>
      </x:c>
      <x:c r="B477" s="32" t="str">
        <x:v>Alimentación y artículos de consumo masivo</x:v>
      </x:c>
      <x:c r="C477" s="10" t="n">
        <x:f>IF(ISNUMBER('Actividades'!F614),'Actividades'!F614,"n.a.")</x:f>
        <x:v>285.3702419354838</x:v>
      </x:c>
      <x:c r="D477" s="10" t="n">
        <x:f>IF(ISNUMBER('Actividades'!G614),'Actividades'!G614,"n.a.")</x:f>
        <x:v>270.41067607526884</x:v>
      </x:c>
      <x:c r="E477" s="10" t="n">
        <x:f>IF(AND(ISNUMBER(C477),ISNUMBER(D477),C477&gt;=0,D477&gt;0),C477-D477,"n.a.")</x:f>
        <x:v>14.95956586021498</x:v>
      </x:c>
      <x:c r="F477" s="12" t="n">
        <x:f>IF(ISNUMBER(E477),E477/D477,"n.a.")</x:f>
        <x:v>0.055321654001748745</x:v>
      </x:c>
      <x:c r="G477" s="2" t="n">
        <x:f>IF(ISNUMBER(F477),IF(AND(ABS(F477)+0.00000000001&gt;=$B$6,ABS(E477)+0.000000001&gt;=$D$6),1,0),"n.a.")</x:f>
        <x:v>0</x:v>
      </x:c>
      <x:c r="H477" s="2" t="n">
        <x:f>IF(ISNUMBER(E477),SIGN(E477),"n.a.")</x:f>
        <x:v>1</x:v>
      </x:c>
      <x:c r="I477" s="2" t="n">
        <x:f>IF(NOT(ISNUMBER(G477)),"n.a.",IF(G477=0,0,IF(AND(B477=B463,A477=EDATE(A463,1),H477=H463,ISNUMBER(I463)),I463+1,1)))</x:f>
        <x:v>0</x:v>
      </x:c>
      <x:c r="J477" s="2" t="n">
        <x:f>IF(ISNUMBER(F477),IF(AND(ABS(F477)+0.00000000001&gt;=$B$7,ABS(E477)+0.000000001&gt;=$D$7),1,0),"n.a.")</x:f>
        <x:v>0</x:v>
      </x:c>
      <x:c r="K477" s="2" t="str">
        <x:f>IF(NOT(ISNUMBER(F477)),"No evaluable",IF(OR(J477=1,I477&gt;=$B$8),"Prioridad",IF(G477=1,"Observar","Sin umbral")))</x:f>
        <x:v>Sin umbral</x:v>
      </x:c>
      <x:c r="L477" s="2" t="str">
        <x:f>IF(K477="No evaluable","Faltan datos",IF(J477=1,"Magnitud",IF(I477&gt;=$B$8,"Persistencia",IF(G477=1,"Cambio del mes","Sin umbral"))))</x:f>
        <x:v>Sin umbral</x:v>
      </x:c>
      <x:c r="M477" s="2" t="n">
        <x:f>ROW()-40</x:f>
        <x:v>437</x:v>
      </x:c>
    </x:row>
    <x:row r="478" ht="48" customHeight="1">
      <x:c r="A478" s="4" t="n">
        <x:v>45870</x:v>
      </x:c>
      <x:c r="B478" s="32" t="str">
        <x:v>Servicios públicos y transporte: agua y transporte en GBA</x:v>
      </x:c>
      <x:c r="C478" s="10" t="n">
        <x:f>IF(ISNUMBER('Actividades'!F615),'Actividades'!F615,"n.a.")</x:f>
        <x:v>72.79087096774194</x:v>
      </x:c>
      <x:c r="D478" s="10" t="n">
        <x:f>IF(ISNUMBER('Actividades'!G615),'Actividades'!G615,"n.a.")</x:f>
        <x:v>85.22431989247312</x:v>
      </x:c>
      <x:c r="E478" s="10" t="n">
        <x:f>IF(AND(ISNUMBER(C478),ISNUMBER(D478),C478&gt;=0,D478&gt;0),C478-D478,"n.a.")</x:f>
        <x:v>-12.43344892473118</x:v>
      </x:c>
      <x:c r="F478" s="12" t="n">
        <x:f>IF(ISNUMBER(E478),E478/D478,"n.a.")</x:f>
        <x:v>-0.14589085533822235</x:v>
      </x:c>
      <x:c r="G478" s="2" t="n">
        <x:f>IF(ISNUMBER(F478),IF(AND(ABS(F478)+0.00000000001&gt;=$B$6,ABS(E478)+0.000000001&gt;=$D$6),1,0),"n.a.")</x:f>
        <x:v>1</x:v>
      </x:c>
      <x:c r="H478" s="2" t="n">
        <x:f>IF(ISNUMBER(E478),SIGN(E478),"n.a.")</x:f>
        <x:v>-1</x:v>
      </x:c>
      <x:c r="I478" s="2" t="n">
        <x:f>IF(NOT(ISNUMBER(G478)),"n.a.",IF(G478=0,0,IF(AND(B478=B464,A478=EDATE(A464,1),H478=H464,ISNUMBER(I464)),I464+1,1)))</x:f>
        <x:v>11</x:v>
      </x:c>
      <x:c r="J478" s="2" t="n">
        <x:f>IF(ISNUMBER(F478),IF(AND(ABS(F478)+0.00000000001&gt;=$B$7,ABS(E478)+0.000000001&gt;=$D$7),1,0),"n.a.")</x:f>
        <x:v>0</x:v>
      </x:c>
      <x:c r="K478" s="2" t="str">
        <x:f>IF(NOT(ISNUMBER(F478)),"No evaluable",IF(OR(J478=1,I478&gt;=$B$8),"Prioridad",IF(G478=1,"Observar","Sin umbral")))</x:f>
        <x:v>Prioridad</x:v>
      </x:c>
      <x:c r="L478" s="2" t="str">
        <x:f>IF(K478="No evaluable","Faltan datos",IF(J478=1,"Magnitud",IF(I478&gt;=$B$8,"Persistencia",IF(G478=1,"Cambio del mes","Sin umbral"))))</x:f>
        <x:v>Persistencia</x:v>
      </x:c>
      <x:c r="M478" s="2" t="n">
        <x:f>ROW()-40</x:f>
        <x:v>438</x:v>
      </x:c>
    </x:row>
    <x:row r="479" ht="48" customHeight="1">
      <x:c r="A479" s="4" t="n">
        <x:v>45870</x:v>
      </x:c>
      <x:c r="B479" s="32" t="str">
        <x:v>Industria automotriz</x:v>
      </x:c>
      <x:c r="C479" s="10" t="n">
        <x:f>IF(ISNUMBER('Actividades'!F616),'Actividades'!F616,"n.a.")</x:f>
        <x:v>40.71383198924732</x:v>
      </x:c>
      <x:c r="D479" s="10" t="n">
        <x:f>IF(ISNUMBER('Actividades'!G616),'Actividades'!G616,"n.a.")</x:f>
        <x:v>42.96219623655914</x:v>
      </x:c>
      <x:c r="E479" s="10" t="n">
        <x:f>IF(AND(ISNUMBER(C479),ISNUMBER(D479),C479&gt;=0,D479&gt;0),C479-D479,"n.a.")</x:f>
        <x:v>-2.2483642473118195</x:v>
      </x:c>
      <x:c r="F479" s="12" t="n">
        <x:f>IF(ISNUMBER(E479),E479/D479,"n.a.")</x:f>
        <x:v>-0.05233355005716747</x:v>
      </x:c>
      <x:c r="G479" s="2" t="n">
        <x:f>IF(ISNUMBER(F479),IF(AND(ABS(F479)+0.00000000001&gt;=$B$6,ABS(E479)+0.000000001&gt;=$D$6),1,0),"n.a.")</x:f>
        <x:v>0</x:v>
      </x:c>
      <x:c r="H479" s="2" t="n">
        <x:f>IF(ISNUMBER(E479),SIGN(E479),"n.a.")</x:f>
        <x:v>-1</x:v>
      </x:c>
      <x:c r="I479" s="2" t="n">
        <x:f>IF(NOT(ISNUMBER(G479)),"n.a.",IF(G479=0,0,IF(AND(B479=B465,A479=EDATE(A465,1),H479=H465,ISNUMBER(I465)),I465+1,1)))</x:f>
        <x:v>0</x:v>
      </x:c>
      <x:c r="J479" s="2" t="n">
        <x:f>IF(ISNUMBER(F479),IF(AND(ABS(F479)+0.00000000001&gt;=$B$7,ABS(E479)+0.000000001&gt;=$D$7),1,0),"n.a.")</x:f>
        <x:v>0</x:v>
      </x:c>
      <x:c r="K479" s="2" t="str">
        <x:f>IF(NOT(ISNUMBER(F479)),"No evaluable",IF(OR(J479=1,I479&gt;=$B$8),"Prioridad",IF(G479=1,"Observar","Sin umbral")))</x:f>
        <x:v>Sin umbral</x:v>
      </x:c>
      <x:c r="L479" s="2" t="str">
        <x:f>IF(K479="No evaluable","Faltan datos",IF(J479=1,"Magnitud",IF(I479&gt;=$B$8,"Persistencia",IF(G479=1,"Cambio del mes","Sin umbral"))))</x:f>
        <x:v>Sin umbral</x:v>
      </x:c>
      <x:c r="M479" s="2" t="n">
        <x:f>ROW()-40</x:f>
        <x:v>439</x:v>
      </x:c>
    </x:row>
    <x:row r="480" ht="48" customHeight="1">
      <x:c r="A480" s="4" t="n">
        <x:v>45870</x:v>
      </x:c>
      <x:c r="B480" s="32" t="str">
        <x:v>Derivados de petróleo</x:v>
      </x:c>
      <x:c r="C480" s="10" t="n">
        <x:f>IF(ISNUMBER('Actividades'!F617),'Actividades'!F617,"n.a.")</x:f>
        <x:v>144.79486559139784</x:v>
      </x:c>
      <x:c r="D480" s="10" t="n">
        <x:f>IF(ISNUMBER('Actividades'!G617),'Actividades'!G617,"n.a.")</x:f>
        <x:v>154.567001344086</x:v>
      </x:c>
      <x:c r="E480" s="10" t="n">
        <x:f>IF(AND(ISNUMBER(C480),ISNUMBER(D480),C480&gt;=0,D480&gt;0),C480-D480,"n.a.")</x:f>
        <x:v>-9.772135752688172</x:v>
      </x:c>
      <x:c r="F480" s="12" t="n">
        <x:f>IF(ISNUMBER(E480),E480/D480,"n.a.")</x:f>
        <x:v>-0.06322265210369284</x:v>
      </x:c>
      <x:c r="G480" s="2" t="n">
        <x:f>IF(ISNUMBER(F480),IF(AND(ABS(F480)+0.00000000001&gt;=$B$6,ABS(E480)+0.000000001&gt;=$D$6),1,0),"n.a.")</x:f>
        <x:v>0</x:v>
      </x:c>
      <x:c r="H480" s="2" t="n">
        <x:f>IF(ISNUMBER(E480),SIGN(E480),"n.a.")</x:f>
        <x:v>-1</x:v>
      </x:c>
      <x:c r="I480" s="2" t="n">
        <x:f>IF(NOT(ISNUMBER(G480)),"n.a.",IF(G480=0,0,IF(AND(B480=B466,A480=EDATE(A466,1),H480=H466,ISNUMBER(I466)),I466+1,1)))</x:f>
        <x:v>0</x:v>
      </x:c>
      <x:c r="J480" s="2" t="n">
        <x:f>IF(ISNUMBER(F480),IF(AND(ABS(F480)+0.00000000001&gt;=$B$7,ABS(E480)+0.000000001&gt;=$D$7),1,0),"n.a.")</x:f>
        <x:v>0</x:v>
      </x:c>
      <x:c r="K480" s="2" t="str">
        <x:f>IF(NOT(ISNUMBER(F480)),"No evaluable",IF(OR(J480=1,I480&gt;=$B$8),"Prioridad",IF(G480=1,"Observar","Sin umbral")))</x:f>
        <x:v>Sin umbral</x:v>
      </x:c>
      <x:c r="L480" s="2" t="str">
        <x:f>IF(K480="No evaluable","Faltan datos",IF(J480=1,"Magnitud",IF(I480&gt;=$B$8,"Persistencia",IF(G480=1,"Cambio del mes","Sin umbral"))))</x:f>
        <x:v>Sin umbral</x:v>
      </x:c>
      <x:c r="M480" s="2" t="n">
        <x:f>ROW()-40</x:f>
        <x:v>440</x:v>
      </x:c>
    </x:row>
    <x:row r="481" ht="48" customHeight="1">
      <x:c r="A481" s="4" t="n">
        <x:v>45870</x:v>
      </x:c>
      <x:c r="B481" s="32" t="str">
        <x:v>Construcción: elaboración de cemento y canteras</x:v>
      </x:c>
      <x:c r="C481" s="10" t="n">
        <x:f>IF(ISNUMBER('Actividades'!F618),'Actividades'!F618,"n.a.")</x:f>
        <x:v>122.58155241935485</x:v>
      </x:c>
      <x:c r="D481" s="10" t="n">
        <x:f>IF(ISNUMBER('Actividades'!G618),'Actividades'!G618,"n.a.")</x:f>
        <x:v>133.24863978494622</x:v>
      </x:c>
      <x:c r="E481" s="10" t="n">
        <x:f>IF(AND(ISNUMBER(C481),ISNUMBER(D481),C481&gt;=0,D481&gt;0),C481-D481,"n.a.")</x:f>
        <x:v>-10.667087365591371</x:v>
      </x:c>
      <x:c r="F481" s="12" t="n">
        <x:f>IF(ISNUMBER(E481),E481/D481,"n.a.")</x:f>
        <x:v>-0.08005400567545971</x:v>
      </x:c>
      <x:c r="G481" s="2" t="n">
        <x:f>IF(ISNUMBER(F481),IF(AND(ABS(F481)+0.00000000001&gt;=$B$6,ABS(E481)+0.000000001&gt;=$D$6),1,0),"n.a.")</x:f>
        <x:v>0</x:v>
      </x:c>
      <x:c r="H481" s="2" t="n">
        <x:f>IF(ISNUMBER(E481),SIGN(E481),"n.a.")</x:f>
        <x:v>-1</x:v>
      </x:c>
      <x:c r="I481" s="2" t="n">
        <x:f>IF(NOT(ISNUMBER(G481)),"n.a.",IF(G481=0,0,IF(AND(B481=B467,A481=EDATE(A467,1),H481=H467,ISNUMBER(I467)),I467+1,1)))</x:f>
        <x:v>0</x:v>
      </x:c>
      <x:c r="J481" s="2" t="n">
        <x:f>IF(ISNUMBER(F481),IF(AND(ABS(F481)+0.00000000001&gt;=$B$7,ABS(E481)+0.000000001&gt;=$D$7),1,0),"n.a.")</x:f>
        <x:v>0</x:v>
      </x:c>
      <x:c r="K481" s="2" t="str">
        <x:f>IF(NOT(ISNUMBER(F481)),"No evaluable",IF(OR(J481=1,I481&gt;=$B$8),"Prioridad",IF(G481=1,"Observar","Sin umbral")))</x:f>
        <x:v>Sin umbral</x:v>
      </x:c>
      <x:c r="L481" s="2" t="str">
        <x:f>IF(K481="No evaluable","Faltan datos",IF(J481=1,"Magnitud",IF(I481&gt;=$B$8,"Persistencia",IF(G481=1,"Cambio del mes","Sin umbral"))))</x:f>
        <x:v>Sin umbral</x:v>
      </x:c>
      <x:c r="M481" s="2" t="n">
        <x:f>ROW()-40</x:f>
        <x:v>441</x:v>
      </x:c>
    </x:row>
    <x:row r="482" ht="48" customHeight="1">
      <x:c r="A482" s="4" t="n">
        <x:v>45870</x:v>
      </x:c>
      <x:c r="B482" s="32" t="str">
        <x:v>Madera y papel</x:v>
      </x:c>
      <x:c r="C482" s="10" t="n">
        <x:f>IF(ISNUMBER('Actividades'!F619),'Actividades'!F619,"n.a.")</x:f>
        <x:v>104.69448521505376</x:v>
      </x:c>
      <x:c r="D482" s="10" t="n">
        <x:f>IF(ISNUMBER('Actividades'!G619),'Actividades'!G619,"n.a.")</x:f>
        <x:v>96.62161962365592</x:v>
      </x:c>
      <x:c r="E482" s="10" t="n">
        <x:f>IF(AND(ISNUMBER(C482),ISNUMBER(D482),C482&gt;=0,D482&gt;0),C482-D482,"n.a.")</x:f>
        <x:v>8.072865591397843</x:v>
      </x:c>
      <x:c r="F482" s="12" t="n">
        <x:f>IF(ISNUMBER(E482),E482/D482,"n.a.")</x:f>
        <x:v>0.08355133791838612</x:v>
      </x:c>
      <x:c r="G482" s="2" t="n">
        <x:f>IF(ISNUMBER(F482),IF(AND(ABS(F482)+0.00000000001&gt;=$B$6,ABS(E482)+0.000000001&gt;=$D$6),1,0),"n.a.")</x:f>
        <x:v>0</x:v>
      </x:c>
      <x:c r="H482" s="2" t="n">
        <x:f>IF(ISNUMBER(E482),SIGN(E482),"n.a.")</x:f>
        <x:v>1</x:v>
      </x:c>
      <x:c r="I482" s="2" t="n">
        <x:f>IF(NOT(ISNUMBER(G482)),"n.a.",IF(G482=0,0,IF(AND(B482=B468,A482=EDATE(A468,1),H482=H468,ISNUMBER(I468)),I468+1,1)))</x:f>
        <x:v>0</x:v>
      </x:c>
      <x:c r="J482" s="2" t="n">
        <x:f>IF(ISNUMBER(F482),IF(AND(ABS(F482)+0.00000000001&gt;=$B$7,ABS(E482)+0.000000001&gt;=$D$7),1,0),"n.a.")</x:f>
        <x:v>0</x:v>
      </x:c>
      <x:c r="K482" s="2" t="str">
        <x:f>IF(NOT(ISNUMBER(F482)),"No evaluable",IF(OR(J482=1,I482&gt;=$B$8),"Prioridad",IF(G482=1,"Observar","Sin umbral")))</x:f>
        <x:v>Sin umbral</x:v>
      </x:c>
      <x:c r="L482" s="2" t="str">
        <x:f>IF(K482="No evaluable","Faltan datos",IF(J482=1,"Magnitud",IF(I482&gt;=$B$8,"Persistencia",IF(G482=1,"Cambio del mes","Sin umbral"))))</x:f>
        <x:v>Sin umbral</x:v>
      </x:c>
      <x:c r="M482" s="2" t="n">
        <x:f>ROW()-40</x:f>
        <x:v>442</x:v>
      </x:c>
    </x:row>
    <x:row r="483" ht="48" customHeight="1">
      <x:c r="A483" s="4" t="n">
        <x:v>45870</x:v>
      </x:c>
      <x:c r="B483" s="32" t="str">
        <x:v>Productos metálicos no automotores</x:v>
      </x:c>
      <x:c r="C483" s="10" t="n">
        <x:f>IF(ISNUMBER('Actividades'!F620),'Actividades'!F620,"n.a.")</x:f>
        <x:v>47.62105241935484</x:v>
      </x:c>
      <x:c r="D483" s="10" t="n">
        <x:f>IF(ISNUMBER('Actividades'!G620),'Actividades'!G620,"n.a.")</x:f>
        <x:v>41.913873655913974</x:v>
      </x:c>
      <x:c r="E483" s="10" t="n">
        <x:f>IF(AND(ISNUMBER(C483),ISNUMBER(D483),C483&gt;=0,D483&gt;0),C483-D483,"n.a.")</x:f>
        <x:v>5.707178763440865</x:v>
      </x:c>
      <x:c r="F483" s="12" t="n">
        <x:f>IF(ISNUMBER(E483),E483/D483,"n.a.")</x:f>
        <x:v>0.13616443114499852</x:v>
      </x:c>
      <x:c r="G483" s="2" t="n">
        <x:f>IF(ISNUMBER(F483),IF(AND(ABS(F483)+0.00000000001&gt;=$B$6,ABS(E483)+0.000000001&gt;=$D$6),1,0),"n.a.")</x:f>
        <x:v>1</x:v>
      </x:c>
      <x:c r="H483" s="2" t="n">
        <x:f>IF(ISNUMBER(E483),SIGN(E483),"n.a.")</x:f>
        <x:v>1</x:v>
      </x:c>
      <x:c r="I483" s="2" t="n">
        <x:f>IF(NOT(ISNUMBER(G483)),"n.a.",IF(G483=0,0,IF(AND(B483=B469,A483=EDATE(A469,1),H483=H469,ISNUMBER(I469)),I469+1,1)))</x:f>
        <x:v>1</x:v>
      </x:c>
      <x:c r="J483" s="2" t="n">
        <x:f>IF(ISNUMBER(F483),IF(AND(ABS(F483)+0.00000000001&gt;=$B$7,ABS(E483)+0.000000001&gt;=$D$7),1,0),"n.a.")</x:f>
        <x:v>0</x:v>
      </x:c>
      <x:c r="K483" s="2" t="str">
        <x:f>IF(NOT(ISNUMBER(F483)),"No evaluable",IF(OR(J483=1,I483&gt;=$B$8),"Prioridad",IF(G483=1,"Observar","Sin umbral")))</x:f>
        <x:v>Observar</x:v>
      </x:c>
      <x:c r="L483" s="2" t="str">
        <x:f>IF(K483="No evaluable","Faltan datos",IF(J483=1,"Magnitud",IF(I483&gt;=$B$8,"Persistencia",IF(G483=1,"Cambio del mes","Sin umbral"))))</x:f>
        <x:v>Cambio del mes</x:v>
      </x:c>
      <x:c r="M483" s="2" t="n">
        <x:f>ROW()-40</x:f>
        <x:v>443</x:v>
      </x:c>
    </x:row>
    <x:row r="484" ht="48" customHeight="1">
      <x:c r="A484" s="4" t="n">
        <x:v>45870</x:v>
      </x:c>
      <x:c r="B484" s="32" t="str">
        <x:v>Gran siderurgia</x:v>
      </x:c>
      <x:c r="C484" s="10" t="n">
        <x:f>IF(ISNUMBER('Actividades'!F621),'Actividades'!F621,"n.a.")</x:f>
        <x:v>274.7639919354839</x:v>
      </x:c>
      <x:c r="D484" s="10" t="n">
        <x:f>IF(ISNUMBER('Actividades'!G621),'Actividades'!G621,"n.a.")</x:f>
        <x:v>254.93140725806452</x:v>
      </x:c>
      <x:c r="E484" s="10" t="n">
        <x:f>IF(AND(ISNUMBER(C484),ISNUMBER(D484),C484&gt;=0,D484&gt;0),C484-D484,"n.a.")</x:f>
        <x:v>19.832584677419362</x:v>
      </x:c>
      <x:c r="F484" s="12" t="n">
        <x:f>IF(ISNUMBER(E484),E484/D484,"n.a.")</x:f>
        <x:v>0.07779576824499711</x:v>
      </x:c>
      <x:c r="G484" s="2" t="n">
        <x:f>IF(ISNUMBER(F484),IF(AND(ABS(F484)+0.00000000001&gt;=$B$6,ABS(E484)+0.000000001&gt;=$D$6),1,0),"n.a.")</x:f>
        <x:v>0</x:v>
      </x:c>
      <x:c r="H484" s="2" t="n">
        <x:f>IF(ISNUMBER(E484),SIGN(E484),"n.a.")</x:f>
        <x:v>1</x:v>
      </x:c>
      <x:c r="I484" s="2" t="n">
        <x:f>IF(NOT(ISNUMBER(G484)),"n.a.",IF(G484=0,0,IF(AND(B484=B470,A484=EDATE(A470,1),H484=H470,ISNUMBER(I470)),I470+1,1)))</x:f>
        <x:v>0</x:v>
      </x:c>
      <x:c r="J484" s="2" t="n">
        <x:f>IF(ISNUMBER(F484),IF(AND(ABS(F484)+0.00000000001&gt;=$B$7,ABS(E484)+0.000000001&gt;=$D$7),1,0),"n.a.")</x:f>
        <x:v>0</x:v>
      </x:c>
      <x:c r="K484" s="2" t="str">
        <x:f>IF(NOT(ISNUMBER(F484)),"No evaluable",IF(OR(J484=1,I484&gt;=$B$8),"Prioridad",IF(G484=1,"Observar","Sin umbral")))</x:f>
        <x:v>Sin umbral</x:v>
      </x:c>
      <x:c r="L484" s="2" t="str">
        <x:f>IF(K484="No evaluable","Faltan datos",IF(J484=1,"Magnitud",IF(I484&gt;=$B$8,"Persistencia",IF(G484=1,"Cambio del mes","Sin umbral"))))</x:f>
        <x:v>Sin umbral</x:v>
      </x:c>
      <x:c r="M484" s="2" t="n">
        <x:f>ROW()-40</x:f>
        <x:v>444</x:v>
      </x:c>
    </x:row>
    <x:row r="485" ht="48" customHeight="1">
      <x:c r="A485" s="4" t="n">
        <x:v>45870</x:v>
      </x:c>
      <x:c r="B485" s="32" t="str">
        <x:v>Industria textil</x:v>
      </x:c>
      <x:c r="C485" s="10" t="n">
        <x:f>IF(ISNUMBER('Actividades'!F622),'Actividades'!F622,"n.a.")</x:f>
        <x:v>50.04054166666667</x:v>
      </x:c>
      <x:c r="D485" s="10" t="n">
        <x:f>IF(ISNUMBER('Actividades'!G622),'Actividades'!G622,"n.a.")</x:f>
        <x:v>54.60349731182796</x:v>
      </x:c>
      <x:c r="E485" s="10" t="n">
        <x:f>IF(AND(ISNUMBER(C485),ISNUMBER(D485),C485&gt;=0,D485&gt;0),C485-D485,"n.a.")</x:f>
        <x:v>-4.5629556451612885</x:v>
      </x:c>
      <x:c r="F485" s="12" t="n">
        <x:f>IF(ISNUMBER(E485),E485/D485,"n.a.")</x:f>
        <x:v>-0.08356526357832544</x:v>
      </x:c>
      <x:c r="G485" s="2" t="n">
        <x:f>IF(ISNUMBER(F485),IF(AND(ABS(F485)+0.00000000001&gt;=$B$6,ABS(E485)+0.000000001&gt;=$D$6),1,0),"n.a.")</x:f>
        <x:v>0</x:v>
      </x:c>
      <x:c r="H485" s="2" t="n">
        <x:f>IF(ISNUMBER(E485),SIGN(E485),"n.a.")</x:f>
        <x:v>-1</x:v>
      </x:c>
      <x:c r="I485" s="2" t="n">
        <x:f>IF(NOT(ISNUMBER(G485)),"n.a.",IF(G485=0,0,IF(AND(B485=B471,A485=EDATE(A471,1),H485=H471,ISNUMBER(I471)),I471+1,1)))</x:f>
        <x:v>0</x:v>
      </x:c>
      <x:c r="J485" s="2" t="n">
        <x:f>IF(ISNUMBER(F485),IF(AND(ABS(F485)+0.00000000001&gt;=$B$7,ABS(E485)+0.000000001&gt;=$D$7),1,0),"n.a.")</x:f>
        <x:v>0</x:v>
      </x:c>
      <x:c r="K485" s="2" t="str">
        <x:f>IF(NOT(ISNUMBER(F485)),"No evaluable",IF(OR(J485=1,I485&gt;=$B$8),"Prioridad",IF(G485=1,"Observar","Sin umbral")))</x:f>
        <x:v>Sin umbral</x:v>
      </x:c>
      <x:c r="L485" s="2" t="str">
        <x:f>IF(K485="No evaluable","Faltan datos",IF(J485=1,"Magnitud",IF(I485&gt;=$B$8,"Persistencia",IF(G485=1,"Cambio del mes","Sin umbral"))))</x:f>
        <x:v>Sin umbral</x:v>
      </x:c>
      <x:c r="M485" s="2" t="n">
        <x:f>ROW()-40</x:f>
        <x:v>445</x:v>
      </x:c>
    </x:row>
    <x:row r="486" ht="48" customHeight="1">
      <x:c r="A486" s="4" t="n">
        <x:v>45870</x:v>
      </x:c>
      <x:c r="B486" s="32" t="str">
        <x:v>Químicas, caucho, plástico y otros minerales no metálicos</x:v>
      </x:c>
      <x:c r="C486" s="10" t="n">
        <x:f>IF(ISNUMBER('Actividades'!F623),'Actividades'!F623,"n.a.")</x:f>
        <x:v>317.85408333333334</x:v>
      </x:c>
      <x:c r="D486" s="10" t="n">
        <x:f>IF(ISNUMBER('Actividades'!G623),'Actividades'!G623,"n.a.")</x:f>
        <x:v>305.7559193548387</x:v>
      </x:c>
      <x:c r="E486" s="10" t="n">
        <x:f>IF(AND(ISNUMBER(C486),ISNUMBER(D486),C486&gt;=0,D486&gt;0),C486-D486,"n.a.")</x:f>
        <x:v>12.098163978494654</x:v>
      </x:c>
      <x:c r="F486" s="12" t="n">
        <x:f>IF(ISNUMBER(E486),E486/D486,"n.a.")</x:f>
        <x:v>0.03956804500799993</x:v>
      </x:c>
      <x:c r="G486" s="2" t="n">
        <x:f>IF(ISNUMBER(F486),IF(AND(ABS(F486)+0.00000000001&gt;=$B$6,ABS(E486)+0.000000001&gt;=$D$6),1,0),"n.a.")</x:f>
        <x:v>0</x:v>
      </x:c>
      <x:c r="H486" s="2" t="n">
        <x:f>IF(ISNUMBER(E486),SIGN(E486),"n.a.")</x:f>
        <x:v>1</x:v>
      </x:c>
      <x:c r="I486" s="2" t="n">
        <x:f>IF(NOT(ISNUMBER(G486)),"n.a.",IF(G486=0,0,IF(AND(B486=B472,A486=EDATE(A472,1),H486=H472,ISNUMBER(I472)),I472+1,1)))</x:f>
        <x:v>0</x:v>
      </x:c>
      <x:c r="J486" s="2" t="n">
        <x:f>IF(ISNUMBER(F486),IF(AND(ABS(F486)+0.00000000001&gt;=$B$7,ABS(E486)+0.000000001&gt;=$D$7),1,0),"n.a.")</x:f>
        <x:v>0</x:v>
      </x:c>
      <x:c r="K486" s="2" t="str">
        <x:f>IF(NOT(ISNUMBER(F486)),"No evaluable",IF(OR(J486=1,I486&gt;=$B$8),"Prioridad",IF(G486=1,"Observar","Sin umbral")))</x:f>
        <x:v>Sin umbral</x:v>
      </x:c>
      <x:c r="L486" s="2" t="str">
        <x:f>IF(K486="No evaluable","Faltan datos",IF(J486=1,"Magnitud",IF(I486&gt;=$B$8,"Persistencia",IF(G486=1,"Cambio del mes","Sin umbral"))))</x:f>
        <x:v>Sin umbral</x:v>
      </x:c>
      <x:c r="M486" s="2" t="n">
        <x:f>ROW()-40</x:f>
        <x:v>446</x:v>
      </x:c>
    </x:row>
    <x:row r="487" ht="48" customHeight="1">
      <x:c r="A487" s="4" t="n">
        <x:v>45870</x:v>
      </x:c>
      <x:c r="B487" s="32" t="str">
        <x:v>Extracción de minerales</x:v>
      </x:c>
      <x:c r="C487" s="10" t="n">
        <x:f>IF(ISNUMBER('Actividades'!F624),'Actividades'!F624,"n.a.")</x:f>
        <x:v>25.329064516129034</x:v>
      </x:c>
      <x:c r="D487" s="10" t="n">
        <x:f>IF(ISNUMBER('Actividades'!G624),'Actividades'!G624,"n.a.")</x:f>
        <x:v>22.694216397849463</x:v>
      </x:c>
      <x:c r="E487" s="10" t="n">
        <x:f>IF(AND(ISNUMBER(C487),ISNUMBER(D487),C487&gt;=0,D487&gt;0),C487-D487,"n.a.")</x:f>
        <x:v>2.634848118279571</x:v>
      </x:c>
      <x:c r="F487" s="12" t="n">
        <x:f>IF(ISNUMBER(E487),E487/D487,"n.a.")</x:f>
        <x:v>0.11610218533605121</x:v>
      </x:c>
      <x:c r="G487" s="2" t="n">
        <x:f>IF(ISNUMBER(F487),IF(AND(ABS(F487)+0.00000000001&gt;=$B$6,ABS(E487)+0.000000001&gt;=$D$6),1,0),"n.a.")</x:f>
        <x:v>0</x:v>
      </x:c>
      <x:c r="H487" s="2" t="n">
        <x:f>IF(ISNUMBER(E487),SIGN(E487),"n.a.")</x:f>
        <x:v>1</x:v>
      </x:c>
      <x:c r="I487" s="2" t="n">
        <x:f>IF(NOT(ISNUMBER(G487)),"n.a.",IF(G487=0,0,IF(AND(B487=B473,A487=EDATE(A473,1),H487=H473,ISNUMBER(I473)),I473+1,1)))</x:f>
        <x:v>0</x:v>
      </x:c>
      <x:c r="J487" s="2" t="n">
        <x:f>IF(ISNUMBER(F487),IF(AND(ABS(F487)+0.00000000001&gt;=$B$7,ABS(E487)+0.000000001&gt;=$D$7),1,0),"n.a.")</x:f>
        <x:v>0</x:v>
      </x:c>
      <x:c r="K487" s="2" t="str">
        <x:f>IF(NOT(ISNUMBER(F487)),"No evaluable",IF(OR(J487=1,I487&gt;=$B$8),"Prioridad",IF(G487=1,"Observar","Sin umbral")))</x:f>
        <x:v>Sin umbral</x:v>
      </x:c>
      <x:c r="L487" s="2" t="str">
        <x:f>IF(K487="No evaluable","Faltan datos",IF(J487=1,"Magnitud",IF(I487&gt;=$B$8,"Persistencia",IF(G487=1,"Cambio del mes","Sin umbral"))))</x:f>
        <x:v>Sin umbral</x:v>
      </x:c>
      <x:c r="M487" s="2" t="n">
        <x:f>ROW()-40</x:f>
        <x:v>447</x:v>
      </x:c>
    </x:row>
    <x:row r="488" ht="48" customHeight="1">
      <x:c r="A488" s="4" t="n">
        <x:v>45870</x:v>
      </x:c>
      <x:c r="B488" s="32" t="str">
        <x:v>Extracción de petróleo</x:v>
      </x:c>
      <x:c r="C488" s="10" t="n">
        <x:f>IF(ISNUMBER('Actividades'!F625),'Actividades'!F625,"n.a.")</x:f>
        <x:v>145.03430913978497</x:v>
      </x:c>
      <x:c r="D488" s="10" t="n">
        <x:f>IF(ISNUMBER('Actividades'!G625),'Actividades'!G625,"n.a.")</x:f>
        <x:v>147.00640456989248</x:v>
      </x:c>
      <x:c r="E488" s="10" t="n">
        <x:f>IF(AND(ISNUMBER(C488),ISNUMBER(D488),C488&gt;=0,D488&gt;0),C488-D488,"n.a.")</x:f>
        <x:v>-1.9720954301075153</x:v>
      </x:c>
      <x:c r="F488" s="12" t="n">
        <x:f>IF(ISNUMBER(E488),E488/D488,"n.a.")</x:f>
        <x:v>-0.013415030697998641</x:v>
      </x:c>
      <x:c r="G488" s="2" t="n">
        <x:f>IF(ISNUMBER(F488),IF(AND(ABS(F488)+0.00000000001&gt;=$B$6,ABS(E488)+0.000000001&gt;=$D$6),1,0),"n.a.")</x:f>
        <x:v>0</x:v>
      </x:c>
      <x:c r="H488" s="2" t="n">
        <x:f>IF(ISNUMBER(E488),SIGN(E488),"n.a.")</x:f>
        <x:v>-1</x:v>
      </x:c>
      <x:c r="I488" s="2" t="n">
        <x:f>IF(NOT(ISNUMBER(G488)),"n.a.",IF(G488=0,0,IF(AND(B488=B474,A488=EDATE(A474,1),H488=H474,ISNUMBER(I474)),I474+1,1)))</x:f>
        <x:v>0</x:v>
      </x:c>
      <x:c r="J488" s="2" t="n">
        <x:f>IF(ISNUMBER(F488),IF(AND(ABS(F488)+0.00000000001&gt;=$B$7,ABS(E488)+0.000000001&gt;=$D$7),1,0),"n.a.")</x:f>
        <x:v>0</x:v>
      </x:c>
      <x:c r="K488" s="2" t="str">
        <x:f>IF(NOT(ISNUMBER(F488)),"No evaluable",IF(OR(J488=1,I488&gt;=$B$8),"Prioridad",IF(G488=1,"Observar","Sin umbral")))</x:f>
        <x:v>Sin umbral</x:v>
      </x:c>
      <x:c r="L488" s="2" t="str">
        <x:f>IF(K488="No evaluable","Faltan datos",IF(J488=1,"Magnitud",IF(I488&gt;=$B$8,"Persistencia",IF(G488=1,"Cambio del mes","Sin umbral"))))</x:f>
        <x:v>Sin umbral</x:v>
      </x:c>
      <x:c r="M488" s="2" t="n">
        <x:f>ROW()-40</x:f>
        <x:v>448</x:v>
      </x:c>
    </x:row>
    <x:row r="489" ht="48" customHeight="1">
      <x:c r="A489" s="4" t="n">
        <x:v>45901</x:v>
      </x:c>
      <x:c r="B489" s="32" t="str">
        <x:v>Cargas y puertos</x:v>
      </x:c>
      <x:c r="C489" s="10" t="n">
        <x:f>IF(ISNUMBER('Actividades'!F626),'Actividades'!F626,"n.a.")</x:f>
        <x:v>9.291180555555554</x:v>
      </x:c>
      <x:c r="D489" s="10" t="n">
        <x:f>IF(ISNUMBER('Actividades'!G626),'Actividades'!G626,"n.a.")</x:f>
        <x:v>9.502590277777777</x:v>
      </x:c>
      <x:c r="E489" s="10" t="n">
        <x:f>IF(AND(ISNUMBER(C489),ISNUMBER(D489),C489&gt;=0,D489&gt;0),C489-D489,"n.a.")</x:f>
        <x:v>-0.2114097222222231</x:v>
      </x:c>
      <x:c r="F489" s="12" t="n">
        <x:f>IF(ISNUMBER(E489),E489/D489,"n.a.")</x:f>
        <x:v>-0.02224758892494965</x:v>
      </x:c>
      <x:c r="G489" s="2" t="n">
        <x:f>IF(ISNUMBER(F489),IF(AND(ABS(F489)+0.00000000001&gt;=$B$6,ABS(E489)+0.000000001&gt;=$D$6),1,0),"n.a.")</x:f>
        <x:v>0</x:v>
      </x:c>
      <x:c r="H489" s="2" t="n">
        <x:f>IF(ISNUMBER(E489),SIGN(E489),"n.a.")</x:f>
        <x:v>-1</x:v>
      </x:c>
      <x:c r="I489" s="2" t="n">
        <x:f>IF(NOT(ISNUMBER(G489)),"n.a.",IF(G489=0,0,IF(AND(B489=B475,A489=EDATE(A475,1),H489=H475,ISNUMBER(I475)),I475+1,1)))</x:f>
        <x:v>0</x:v>
      </x:c>
      <x:c r="J489" s="2" t="n">
        <x:f>IF(ISNUMBER(F489),IF(AND(ABS(F489)+0.00000000001&gt;=$B$7,ABS(E489)+0.000000001&gt;=$D$7),1,0),"n.a.")</x:f>
        <x:v>0</x:v>
      </x:c>
      <x:c r="K489" s="2" t="str">
        <x:f>IF(NOT(ISNUMBER(F489)),"No evaluable",IF(OR(J489=1,I489&gt;=$B$8),"Prioridad",IF(G489=1,"Observar","Sin umbral")))</x:f>
        <x:v>Sin umbral</x:v>
      </x:c>
      <x:c r="L489" s="2" t="str">
        <x:f>IF(K489="No evaluable","Faltan datos",IF(J489=1,"Magnitud",IF(I489&gt;=$B$8,"Persistencia",IF(G489=1,"Cambio del mes","Sin umbral"))))</x:f>
        <x:v>Sin umbral</x:v>
      </x:c>
      <x:c r="M489" s="2" t="n">
        <x:f>ROW()-40</x:f>
        <x:v>449</x:v>
      </x:c>
    </x:row>
    <x:row r="490" ht="48" customHeight="1">
      <x:c r="A490" s="4" t="n">
        <x:v>45901</x:v>
      </x:c>
      <x:c r="B490" s="32" t="str">
        <x:v>Comercio y servicios: principalmente supermercados y centros comerciales</x:v>
      </x:c>
      <x:c r="C490" s="10" t="n">
        <x:f>IF(ISNUMBER('Actividades'!F627),'Actividades'!F627,"n.a.")</x:f>
        <x:v>45.520700000000005</x:v>
      </x:c>
      <x:c r="D490" s="10" t="n">
        <x:f>IF(ISNUMBER('Actividades'!G627),'Actividades'!G627,"n.a.")</x:f>
        <x:v>31.98450972222222</x:v>
      </x:c>
      <x:c r="E490" s="10" t="n">
        <x:f>IF(AND(ISNUMBER(C490),ISNUMBER(D490),C490&gt;=0,D490&gt;0),C490-D490,"n.a.")</x:f>
        <x:v>13.536190277777784</x:v>
      </x:c>
      <x:c r="F490" s="12" t="n">
        <x:f>IF(ISNUMBER(E490),E490/D490,"n.a.")</x:f>
        <x:v>0.42321081033713953</x:v>
      </x:c>
      <x:c r="G490" s="2" t="n">
        <x:f>IF(ISNUMBER(F490),IF(AND(ABS(F490)+0.00000000001&gt;=$B$6,ABS(E490)+0.000000001&gt;=$D$6),1,0),"n.a.")</x:f>
        <x:v>1</x:v>
      </x:c>
      <x:c r="H490" s="2" t="n">
        <x:f>IF(ISNUMBER(E490),SIGN(E490),"n.a.")</x:f>
        <x:v>1</x:v>
      </x:c>
      <x:c r="I490" s="2" t="n">
        <x:f>IF(NOT(ISNUMBER(G490)),"n.a.",IF(G490=0,0,IF(AND(B490=B476,A490=EDATE(A476,1),H490=H476,ISNUMBER(I476)),I476+1,1)))</x:f>
        <x:v>12</x:v>
      </x:c>
      <x:c r="J490" s="2" t="n">
        <x:f>IF(ISNUMBER(F490),IF(AND(ABS(F490)+0.00000000001&gt;=$B$7,ABS(E490)+0.000000001&gt;=$D$7),1,0),"n.a.")</x:f>
        <x:v>1</x:v>
      </x:c>
      <x:c r="K490" s="2" t="str">
        <x:f>IF(NOT(ISNUMBER(F490)),"No evaluable",IF(OR(J490=1,I490&gt;=$B$8),"Prioridad",IF(G490=1,"Observar","Sin umbral")))</x:f>
        <x:v>Prioridad</x:v>
      </x:c>
      <x:c r="L490" s="2" t="str">
        <x:f>IF(K490="No evaluable","Faltan datos",IF(J490=1,"Magnitud",IF(I490&gt;=$B$8,"Persistencia",IF(G490=1,"Cambio del mes","Sin umbral"))))</x:f>
        <x:v>Magnitud</x:v>
      </x:c>
      <x:c r="M490" s="2" t="n">
        <x:f>ROW()-40</x:f>
        <x:v>450</x:v>
      </x:c>
    </x:row>
    <x:row r="491" ht="48" customHeight="1">
      <x:c r="A491" s="4" t="n">
        <x:v>45901</x:v>
      </x:c>
      <x:c r="B491" s="32" t="str">
        <x:v>Alimentación y artículos de consumo masivo</x:v>
      </x:c>
      <x:c r="C491" s="10" t="n">
        <x:f>IF(ISNUMBER('Actividades'!F628),'Actividades'!F628,"n.a.")</x:f>
        <x:v>290.5302805555556</x:v>
      </x:c>
      <x:c r="D491" s="10" t="n">
        <x:f>IF(ISNUMBER('Actividades'!G628),'Actividades'!G628,"n.a.")</x:f>
        <x:v>291.8013208333333</x:v>
      </x:c>
      <x:c r="E491" s="10" t="n">
        <x:f>IF(AND(ISNUMBER(C491),ISNUMBER(D491),C491&gt;=0,D491&gt;0),C491-D491,"n.a.")</x:f>
        <x:v>-1.271040277777729</x:v>
      </x:c>
      <x:c r="F491" s="12" t="n">
        <x:f>IF(ISNUMBER(E491),E491/D491,"n.a.")</x:f>
        <x:v>-0.004355841413424248</x:v>
      </x:c>
      <x:c r="G491" s="2" t="n">
        <x:f>IF(ISNUMBER(F491),IF(AND(ABS(F491)+0.00000000001&gt;=$B$6,ABS(E491)+0.000000001&gt;=$D$6),1,0),"n.a.")</x:f>
        <x:v>0</x:v>
      </x:c>
      <x:c r="H491" s="2" t="n">
        <x:f>IF(ISNUMBER(E491),SIGN(E491),"n.a.")</x:f>
        <x:v>-1</x:v>
      </x:c>
      <x:c r="I491" s="2" t="n">
        <x:f>IF(NOT(ISNUMBER(G491)),"n.a.",IF(G491=0,0,IF(AND(B491=B477,A491=EDATE(A477,1),H491=H477,ISNUMBER(I477)),I477+1,1)))</x:f>
        <x:v>0</x:v>
      </x:c>
      <x:c r="J491" s="2" t="n">
        <x:f>IF(ISNUMBER(F491),IF(AND(ABS(F491)+0.00000000001&gt;=$B$7,ABS(E491)+0.000000001&gt;=$D$7),1,0),"n.a.")</x:f>
        <x:v>0</x:v>
      </x:c>
      <x:c r="K491" s="2" t="str">
        <x:f>IF(NOT(ISNUMBER(F491)),"No evaluable",IF(OR(J491=1,I491&gt;=$B$8),"Prioridad",IF(G491=1,"Observar","Sin umbral")))</x:f>
        <x:v>Sin umbral</x:v>
      </x:c>
      <x:c r="L491" s="2" t="str">
        <x:f>IF(K491="No evaluable","Faltan datos",IF(J491=1,"Magnitud",IF(I491&gt;=$B$8,"Persistencia",IF(G491=1,"Cambio del mes","Sin umbral"))))</x:f>
        <x:v>Sin umbral</x:v>
      </x:c>
      <x:c r="M491" s="2" t="n">
        <x:f>ROW()-40</x:f>
        <x:v>451</x:v>
      </x:c>
    </x:row>
    <x:row r="492" ht="48" customHeight="1">
      <x:c r="A492" s="4" t="n">
        <x:v>45901</x:v>
      </x:c>
      <x:c r="B492" s="32" t="str">
        <x:v>Servicios públicos y transporte: agua y transporte en GBA</x:v>
      </x:c>
      <x:c r="C492" s="10" t="n">
        <x:f>IF(ISNUMBER('Actividades'!F629),'Actividades'!F629,"n.a.")</x:f>
        <x:v>73.09747777777778</x:v>
      </x:c>
      <x:c r="D492" s="10" t="n">
        <x:f>IF(ISNUMBER('Actividades'!G629),'Actividades'!G629,"n.a.")</x:f>
        <x:v>86.07814166666667</x:v>
      </x:c>
      <x:c r="E492" s="10" t="n">
        <x:f>IF(AND(ISNUMBER(C492),ISNUMBER(D492),C492&gt;=0,D492&gt;0),C492-D492,"n.a.")</x:f>
        <x:v>-12.980663888888884</x:v>
      </x:c>
      <x:c r="F492" s="12" t="n">
        <x:f>IF(ISNUMBER(E492),E492/D492,"n.a.")</x:f>
        <x:v>-0.1508009308467167</x:v>
      </x:c>
      <x:c r="G492" s="2" t="n">
        <x:f>IF(ISNUMBER(F492),IF(AND(ABS(F492)+0.00000000001&gt;=$B$6,ABS(E492)+0.000000001&gt;=$D$6),1,0),"n.a.")</x:f>
        <x:v>1</x:v>
      </x:c>
      <x:c r="H492" s="2" t="n">
        <x:f>IF(ISNUMBER(E492),SIGN(E492),"n.a.")</x:f>
        <x:v>-1</x:v>
      </x:c>
      <x:c r="I492" s="2" t="n">
        <x:f>IF(NOT(ISNUMBER(G492)),"n.a.",IF(G492=0,0,IF(AND(B492=B478,A492=EDATE(A478,1),H492=H478,ISNUMBER(I478)),I478+1,1)))</x:f>
        <x:v>12</x:v>
      </x:c>
      <x:c r="J492" s="2" t="n">
        <x:f>IF(ISNUMBER(F492),IF(AND(ABS(F492)+0.00000000001&gt;=$B$7,ABS(E492)+0.000000001&gt;=$D$7),1,0),"n.a.")</x:f>
        <x:v>0</x:v>
      </x:c>
      <x:c r="K492" s="2" t="str">
        <x:f>IF(NOT(ISNUMBER(F492)),"No evaluable",IF(OR(J492=1,I492&gt;=$B$8),"Prioridad",IF(G492=1,"Observar","Sin umbral")))</x:f>
        <x:v>Prioridad</x:v>
      </x:c>
      <x:c r="L492" s="2" t="str">
        <x:f>IF(K492="No evaluable","Faltan datos",IF(J492=1,"Magnitud",IF(I492&gt;=$B$8,"Persistencia",IF(G492=1,"Cambio del mes","Sin umbral"))))</x:f>
        <x:v>Persistencia</x:v>
      </x:c>
      <x:c r="M492" s="2" t="n">
        <x:f>ROW()-40</x:f>
        <x:v>452</x:v>
      </x:c>
    </x:row>
    <x:row r="493" ht="48" customHeight="1">
      <x:c r="A493" s="4" t="n">
        <x:v>45901</x:v>
      </x:c>
      <x:c r="B493" s="32" t="str">
        <x:v>Industria automotriz</x:v>
      </x:c>
      <x:c r="C493" s="10" t="n">
        <x:f>IF(ISNUMBER('Actividades'!F630),'Actividades'!F630,"n.a.")</x:f>
        <x:v>41.29134305555556</x:v>
      </x:c>
      <x:c r="D493" s="10" t="n">
        <x:f>IF(ISNUMBER('Actividades'!G630),'Actividades'!G630,"n.a.")</x:f>
        <x:v>41.262163888888885</x:v>
      </x:c>
      <x:c r="E493" s="10" t="n">
        <x:f>IF(AND(ISNUMBER(C493),ISNUMBER(D493),C493&gt;=0,D493&gt;0),C493-D493,"n.a.")</x:f>
        <x:v>0.02917916666667253</x:v>
      </x:c>
      <x:c r="F493" s="12" t="n">
        <x:f>IF(ISNUMBER(E493),E493/D493,"n.a.")</x:f>
        <x:v>0.0007071652069737894</x:v>
      </x:c>
      <x:c r="G493" s="2" t="n">
        <x:f>IF(ISNUMBER(F493),IF(AND(ABS(F493)+0.00000000001&gt;=$B$6,ABS(E493)+0.000000001&gt;=$D$6),1,0),"n.a.")</x:f>
        <x:v>0</x:v>
      </x:c>
      <x:c r="H493" s="2" t="n">
        <x:f>IF(ISNUMBER(E493),SIGN(E493),"n.a.")</x:f>
        <x:v>1</x:v>
      </x:c>
      <x:c r="I493" s="2" t="n">
        <x:f>IF(NOT(ISNUMBER(G493)),"n.a.",IF(G493=0,0,IF(AND(B493=B479,A493=EDATE(A479,1),H493=H479,ISNUMBER(I479)),I479+1,1)))</x:f>
        <x:v>0</x:v>
      </x:c>
      <x:c r="J493" s="2" t="n">
        <x:f>IF(ISNUMBER(F493),IF(AND(ABS(F493)+0.00000000001&gt;=$B$7,ABS(E493)+0.000000001&gt;=$D$7),1,0),"n.a.")</x:f>
        <x:v>0</x:v>
      </x:c>
      <x:c r="K493" s="2" t="str">
        <x:f>IF(NOT(ISNUMBER(F493)),"No evaluable",IF(OR(J493=1,I493&gt;=$B$8),"Prioridad",IF(G493=1,"Observar","Sin umbral")))</x:f>
        <x:v>Sin umbral</x:v>
      </x:c>
      <x:c r="L493" s="2" t="str">
        <x:f>IF(K493="No evaluable","Faltan datos",IF(J493=1,"Magnitud",IF(I493&gt;=$B$8,"Persistencia",IF(G493=1,"Cambio del mes","Sin umbral"))))</x:f>
        <x:v>Sin umbral</x:v>
      </x:c>
      <x:c r="M493" s="2" t="n">
        <x:f>ROW()-40</x:f>
        <x:v>453</x:v>
      </x:c>
    </x:row>
    <x:row r="494" ht="48" customHeight="1">
      <x:c r="A494" s="4" t="n">
        <x:v>45901</x:v>
      </x:c>
      <x:c r="B494" s="32" t="str">
        <x:v>Derivados de petróleo</x:v>
      </x:c>
      <x:c r="C494" s="10" t="n">
        <x:f>IF(ISNUMBER('Actividades'!F631),'Actividades'!F631,"n.a.")</x:f>
        <x:v>153.63866666666667</x:v>
      </x:c>
      <x:c r="D494" s="10" t="n">
        <x:f>IF(ISNUMBER('Actividades'!G631),'Actividades'!G631,"n.a.")</x:f>
        <x:v>152.1239111111111</x:v>
      </x:c>
      <x:c r="E494" s="10" t="n">
        <x:f>IF(AND(ISNUMBER(C494),ISNUMBER(D494),C494&gt;=0,D494&gt;0),C494-D494,"n.a.")</x:f>
        <x:v>1.5147555555555527</x:v>
      </x:c>
      <x:c r="F494" s="12" t="n">
        <x:f>IF(ISNUMBER(E494),E494/D494,"n.a.")</x:f>
        <x:v>0.009957379773447825</x:v>
      </x:c>
      <x:c r="G494" s="2" t="n">
        <x:f>IF(ISNUMBER(F494),IF(AND(ABS(F494)+0.00000000001&gt;=$B$6,ABS(E494)+0.000000001&gt;=$D$6),1,0),"n.a.")</x:f>
        <x:v>0</x:v>
      </x:c>
      <x:c r="H494" s="2" t="n">
        <x:f>IF(ISNUMBER(E494),SIGN(E494),"n.a.")</x:f>
        <x:v>1</x:v>
      </x:c>
      <x:c r="I494" s="2" t="n">
        <x:f>IF(NOT(ISNUMBER(G494)),"n.a.",IF(G494=0,0,IF(AND(B494=B480,A494=EDATE(A480,1),H494=H480,ISNUMBER(I480)),I480+1,1)))</x:f>
        <x:v>0</x:v>
      </x:c>
      <x:c r="J494" s="2" t="n">
        <x:f>IF(ISNUMBER(F494),IF(AND(ABS(F494)+0.00000000001&gt;=$B$7,ABS(E494)+0.000000001&gt;=$D$7),1,0),"n.a.")</x:f>
        <x:v>0</x:v>
      </x:c>
      <x:c r="K494" s="2" t="str">
        <x:f>IF(NOT(ISNUMBER(F494)),"No evaluable",IF(OR(J494=1,I494&gt;=$B$8),"Prioridad",IF(G494=1,"Observar","Sin umbral")))</x:f>
        <x:v>Sin umbral</x:v>
      </x:c>
      <x:c r="L494" s="2" t="str">
        <x:f>IF(K494="No evaluable","Faltan datos",IF(J494=1,"Magnitud",IF(I494&gt;=$B$8,"Persistencia",IF(G494=1,"Cambio del mes","Sin umbral"))))</x:f>
        <x:v>Sin umbral</x:v>
      </x:c>
      <x:c r="M494" s="2" t="n">
        <x:f>ROW()-40</x:f>
        <x:v>454</x:v>
      </x:c>
    </x:row>
    <x:row r="495" ht="48" customHeight="1">
      <x:c r="A495" s="4" t="n">
        <x:v>45901</x:v>
      </x:c>
      <x:c r="B495" s="32" t="str">
        <x:v>Construcción: elaboración de cemento y canteras</x:v>
      </x:c>
      <x:c r="C495" s="10" t="n">
        <x:f>IF(ISNUMBER('Actividades'!F632),'Actividades'!F632,"n.a.")</x:f>
        <x:v>147.98140833333335</x:v>
      </x:c>
      <x:c r="D495" s="10" t="n">
        <x:f>IF(ISNUMBER('Actividades'!G632),'Actividades'!G632,"n.a.")</x:f>
        <x:v>157.56987222222224</x:v>
      </x:c>
      <x:c r="E495" s="10" t="n">
        <x:f>IF(AND(ISNUMBER(C495),ISNUMBER(D495),C495&gt;=0,D495&gt;0),C495-D495,"n.a.")</x:f>
        <x:v>-9.588463888888896</x:v>
      </x:c>
      <x:c r="F495" s="12" t="n">
        <x:f>IF(ISNUMBER(E495),E495/D495,"n.a.")</x:f>
        <x:v>-0.06085213977559236</x:v>
      </x:c>
      <x:c r="G495" s="2" t="n">
        <x:f>IF(ISNUMBER(F495),IF(AND(ABS(F495)+0.00000000001&gt;=$B$6,ABS(E495)+0.000000001&gt;=$D$6),1,0),"n.a.")</x:f>
        <x:v>0</x:v>
      </x:c>
      <x:c r="H495" s="2" t="n">
        <x:f>IF(ISNUMBER(E495),SIGN(E495),"n.a.")</x:f>
        <x:v>-1</x:v>
      </x:c>
      <x:c r="I495" s="2" t="n">
        <x:f>IF(NOT(ISNUMBER(G495)),"n.a.",IF(G495=0,0,IF(AND(B495=B481,A495=EDATE(A481,1),H495=H481,ISNUMBER(I481)),I481+1,1)))</x:f>
        <x:v>0</x:v>
      </x:c>
      <x:c r="J495" s="2" t="n">
        <x:f>IF(ISNUMBER(F495),IF(AND(ABS(F495)+0.00000000001&gt;=$B$7,ABS(E495)+0.000000001&gt;=$D$7),1,0),"n.a.")</x:f>
        <x:v>0</x:v>
      </x:c>
      <x:c r="K495" s="2" t="str">
        <x:f>IF(NOT(ISNUMBER(F495)),"No evaluable",IF(OR(J495=1,I495&gt;=$B$8),"Prioridad",IF(G495=1,"Observar","Sin umbral")))</x:f>
        <x:v>Sin umbral</x:v>
      </x:c>
      <x:c r="L495" s="2" t="str">
        <x:f>IF(K495="No evaluable","Faltan datos",IF(J495=1,"Magnitud",IF(I495&gt;=$B$8,"Persistencia",IF(G495=1,"Cambio del mes","Sin umbral"))))</x:f>
        <x:v>Sin umbral</x:v>
      </x:c>
      <x:c r="M495" s="2" t="n">
        <x:f>ROW()-40</x:f>
        <x:v>455</x:v>
      </x:c>
    </x:row>
    <x:row r="496" ht="48" customHeight="1">
      <x:c r="A496" s="4" t="n">
        <x:v>45901</x:v>
      </x:c>
      <x:c r="B496" s="32" t="str">
        <x:v>Madera y papel</x:v>
      </x:c>
      <x:c r="C496" s="10" t="n">
        <x:f>IF(ISNUMBER('Actividades'!F633),'Actividades'!F633,"n.a.")</x:f>
        <x:v>106.09065000000001</x:v>
      </x:c>
      <x:c r="D496" s="10" t="n">
        <x:f>IF(ISNUMBER('Actividades'!G633),'Actividades'!G633,"n.a.")</x:f>
        <x:v>98.49534999999999</x:v>
      </x:c>
      <x:c r="E496" s="10" t="n">
        <x:f>IF(AND(ISNUMBER(C496),ISNUMBER(D496),C496&gt;=0,D496&gt;0),C496-D496,"n.a.")</x:f>
        <x:v>7.595300000000023</x:v>
      </x:c>
      <x:c r="F496" s="12" t="n">
        <x:f>IF(ISNUMBER(E496),E496/D496,"n.a.")</x:f>
        <x:v>0.07711328504340585</x:v>
      </x:c>
      <x:c r="G496" s="2" t="n">
        <x:f>IF(ISNUMBER(F496),IF(AND(ABS(F496)+0.00000000001&gt;=$B$6,ABS(E496)+0.000000001&gt;=$D$6),1,0),"n.a.")</x:f>
        <x:v>0</x:v>
      </x:c>
      <x:c r="H496" s="2" t="n">
        <x:f>IF(ISNUMBER(E496),SIGN(E496),"n.a.")</x:f>
        <x:v>1</x:v>
      </x:c>
      <x:c r="I496" s="2" t="n">
        <x:f>IF(NOT(ISNUMBER(G496)),"n.a.",IF(G496=0,0,IF(AND(B496=B482,A496=EDATE(A482,1),H496=H482,ISNUMBER(I482)),I482+1,1)))</x:f>
        <x:v>0</x:v>
      </x:c>
      <x:c r="J496" s="2" t="n">
        <x:f>IF(ISNUMBER(F496),IF(AND(ABS(F496)+0.00000000001&gt;=$B$7,ABS(E496)+0.000000001&gt;=$D$7),1,0),"n.a.")</x:f>
        <x:v>0</x:v>
      </x:c>
      <x:c r="K496" s="2" t="str">
        <x:f>IF(NOT(ISNUMBER(F496)),"No evaluable",IF(OR(J496=1,I496&gt;=$B$8),"Prioridad",IF(G496=1,"Observar","Sin umbral")))</x:f>
        <x:v>Sin umbral</x:v>
      </x:c>
      <x:c r="L496" s="2" t="str">
        <x:f>IF(K496="No evaluable","Faltan datos",IF(J496=1,"Magnitud",IF(I496&gt;=$B$8,"Persistencia",IF(G496=1,"Cambio del mes","Sin umbral"))))</x:f>
        <x:v>Sin umbral</x:v>
      </x:c>
      <x:c r="M496" s="2" t="n">
        <x:f>ROW()-40</x:f>
        <x:v>456</x:v>
      </x:c>
    </x:row>
    <x:row r="497" ht="48" customHeight="1">
      <x:c r="A497" s="4" t="n">
        <x:v>45901</x:v>
      </x:c>
      <x:c r="B497" s="32" t="str">
        <x:v>Productos metálicos no automotores</x:v>
      </x:c>
      <x:c r="C497" s="10" t="n">
        <x:f>IF(ISNUMBER('Actividades'!F634),'Actividades'!F634,"n.a.")</x:f>
        <x:v>48.4106111111111</x:v>
      </x:c>
      <x:c r="D497" s="10" t="n">
        <x:f>IF(ISNUMBER('Actividades'!G634),'Actividades'!G634,"n.a.")</x:f>
        <x:v>42.796524999999995</x:v>
      </x:c>
      <x:c r="E497" s="10" t="n">
        <x:f>IF(AND(ISNUMBER(C497),ISNUMBER(D497),C497&gt;=0,D497&gt;0),C497-D497,"n.a.")</x:f>
        <x:v>5.6140861111111064</x:v>
      </x:c>
      <x:c r="F497" s="12" t="n">
        <x:f>IF(ISNUMBER(E497),E497/D497,"n.a.")</x:f>
        <x:v>0.13118088702554956</x:v>
      </x:c>
      <x:c r="G497" s="2" t="n">
        <x:f>IF(ISNUMBER(F497),IF(AND(ABS(F497)+0.00000000001&gt;=$B$6,ABS(E497)+0.000000001&gt;=$D$6),1,0),"n.a.")</x:f>
        <x:v>1</x:v>
      </x:c>
      <x:c r="H497" s="2" t="n">
        <x:f>IF(ISNUMBER(E497),SIGN(E497),"n.a.")</x:f>
        <x:v>1</x:v>
      </x:c>
      <x:c r="I497" s="2" t="n">
        <x:f>IF(NOT(ISNUMBER(G497)),"n.a.",IF(G497=0,0,IF(AND(B497=B483,A497=EDATE(A483,1),H497=H483,ISNUMBER(I483)),I483+1,1)))</x:f>
        <x:v>2</x:v>
      </x:c>
      <x:c r="J497" s="2" t="n">
        <x:f>IF(ISNUMBER(F497),IF(AND(ABS(F497)+0.00000000001&gt;=$B$7,ABS(E497)+0.000000001&gt;=$D$7),1,0),"n.a.")</x:f>
        <x:v>0</x:v>
      </x:c>
      <x:c r="K497" s="2" t="str">
        <x:f>IF(NOT(ISNUMBER(F497)),"No evaluable",IF(OR(J497=1,I497&gt;=$B$8),"Prioridad",IF(G497=1,"Observar","Sin umbral")))</x:f>
        <x:v>Observar</x:v>
      </x:c>
      <x:c r="L497" s="2" t="str">
        <x:f>IF(K497="No evaluable","Faltan datos",IF(J497=1,"Magnitud",IF(I497&gt;=$B$8,"Persistencia",IF(G497=1,"Cambio del mes","Sin umbral"))))</x:f>
        <x:v>Cambio del mes</x:v>
      </x:c>
      <x:c r="M497" s="2" t="n">
        <x:f>ROW()-40</x:f>
        <x:v>457</x:v>
      </x:c>
    </x:row>
    <x:row r="498" ht="48" customHeight="1">
      <x:c r="A498" s="4" t="n">
        <x:v>45901</x:v>
      </x:c>
      <x:c r="B498" s="32" t="str">
        <x:v>Gran siderurgia</x:v>
      </x:c>
      <x:c r="C498" s="10" t="n">
        <x:f>IF(ISNUMBER('Actividades'!F635),'Actividades'!F635,"n.a.")</x:f>
        <x:v>283.8709013888889</x:v>
      </x:c>
      <x:c r="D498" s="10" t="n">
        <x:f>IF(ISNUMBER('Actividades'!G635),'Actividades'!G635,"n.a.")</x:f>
        <x:v>277.0638638888889</x:v>
      </x:c>
      <x:c r="E498" s="10" t="n">
        <x:f>IF(AND(ISNUMBER(C498),ISNUMBER(D498),C498&gt;=0,D498&gt;0),C498-D498,"n.a.")</x:f>
        <x:v>6.807037500000035</x:v>
      </x:c>
      <x:c r="F498" s="12" t="n">
        <x:f>IF(ISNUMBER(E498),E498/D498,"n.a.")</x:f>
        <x:v>0.02456847820013752</x:v>
      </x:c>
      <x:c r="G498" s="2" t="n">
        <x:f>IF(ISNUMBER(F498),IF(AND(ABS(F498)+0.00000000001&gt;=$B$6,ABS(E498)+0.000000001&gt;=$D$6),1,0),"n.a.")</x:f>
        <x:v>0</x:v>
      </x:c>
      <x:c r="H498" s="2" t="n">
        <x:f>IF(ISNUMBER(E498),SIGN(E498),"n.a.")</x:f>
        <x:v>1</x:v>
      </x:c>
      <x:c r="I498" s="2" t="n">
        <x:f>IF(NOT(ISNUMBER(G498)),"n.a.",IF(G498=0,0,IF(AND(B498=B484,A498=EDATE(A484,1),H498=H484,ISNUMBER(I484)),I484+1,1)))</x:f>
        <x:v>0</x:v>
      </x:c>
      <x:c r="J498" s="2" t="n">
        <x:f>IF(ISNUMBER(F498),IF(AND(ABS(F498)+0.00000000001&gt;=$B$7,ABS(E498)+0.000000001&gt;=$D$7),1,0),"n.a.")</x:f>
        <x:v>0</x:v>
      </x:c>
      <x:c r="K498" s="2" t="str">
        <x:f>IF(NOT(ISNUMBER(F498)),"No evaluable",IF(OR(J498=1,I498&gt;=$B$8),"Prioridad",IF(G498=1,"Observar","Sin umbral")))</x:f>
        <x:v>Sin umbral</x:v>
      </x:c>
      <x:c r="L498" s="2" t="str">
        <x:f>IF(K498="No evaluable","Faltan datos",IF(J498=1,"Magnitud",IF(I498&gt;=$B$8,"Persistencia",IF(G498=1,"Cambio del mes","Sin umbral"))))</x:f>
        <x:v>Sin umbral</x:v>
      </x:c>
      <x:c r="M498" s="2" t="n">
        <x:f>ROW()-40</x:f>
        <x:v>458</x:v>
      </x:c>
    </x:row>
    <x:row r="499" ht="48" customHeight="1">
      <x:c r="A499" s="4" t="n">
        <x:v>45901</x:v>
      </x:c>
      <x:c r="B499" s="32" t="str">
        <x:v>Industria textil</x:v>
      </x:c>
      <x:c r="C499" s="10" t="n">
        <x:f>IF(ISNUMBER('Actividades'!F636),'Actividades'!F636,"n.a.")</x:f>
        <x:v>48.661901388888886</x:v>
      </x:c>
      <x:c r="D499" s="10" t="n">
        <x:f>IF(ISNUMBER('Actividades'!G636),'Actividades'!G636,"n.a.")</x:f>
        <x:v>55.916716666666666</x:v>
      </x:c>
      <x:c r="E499" s="10" t="n">
        <x:f>IF(AND(ISNUMBER(C499),ISNUMBER(D499),C499&gt;=0,D499&gt;0),C499-D499,"n.a.")</x:f>
        <x:v>-7.25481527777778</x:v>
      </x:c>
      <x:c r="F499" s="12" t="n">
        <x:f>IF(ISNUMBER(E499),E499/D499,"n.a.")</x:f>
        <x:v>-0.12974322725394488</x:v>
      </x:c>
      <x:c r="G499" s="2" t="n">
        <x:f>IF(ISNUMBER(F499),IF(AND(ABS(F499)+0.00000000001&gt;=$B$6,ABS(E499)+0.000000001&gt;=$D$6),1,0),"n.a.")</x:f>
        <x:v>1</x:v>
      </x:c>
      <x:c r="H499" s="2" t="n">
        <x:f>IF(ISNUMBER(E499),SIGN(E499),"n.a.")</x:f>
        <x:v>-1</x:v>
      </x:c>
      <x:c r="I499" s="2" t="n">
        <x:f>IF(NOT(ISNUMBER(G499)),"n.a.",IF(G499=0,0,IF(AND(B499=B485,A499=EDATE(A485,1),H499=H485,ISNUMBER(I485)),I485+1,1)))</x:f>
        <x:v>1</x:v>
      </x:c>
      <x:c r="J499" s="2" t="n">
        <x:f>IF(ISNUMBER(F499),IF(AND(ABS(F499)+0.00000000001&gt;=$B$7,ABS(E499)+0.000000001&gt;=$D$7),1,0),"n.a.")</x:f>
        <x:v>0</x:v>
      </x:c>
      <x:c r="K499" s="2" t="str">
        <x:f>IF(NOT(ISNUMBER(F499)),"No evaluable",IF(OR(J499=1,I499&gt;=$B$8),"Prioridad",IF(G499=1,"Observar","Sin umbral")))</x:f>
        <x:v>Observar</x:v>
      </x:c>
      <x:c r="L499" s="2" t="str">
        <x:f>IF(K499="No evaluable","Faltan datos",IF(J499=1,"Magnitud",IF(I499&gt;=$B$8,"Persistencia",IF(G499=1,"Cambio del mes","Sin umbral"))))</x:f>
        <x:v>Cambio del mes</x:v>
      </x:c>
      <x:c r="M499" s="2" t="n">
        <x:f>ROW()-40</x:f>
        <x:v>459</x:v>
      </x:c>
    </x:row>
    <x:row r="500" ht="48" customHeight="1">
      <x:c r="A500" s="4" t="n">
        <x:v>45901</x:v>
      </x:c>
      <x:c r="B500" s="32" t="str">
        <x:v>Químicas, caucho, plástico y otros minerales no metálicos</x:v>
      </x:c>
      <x:c r="C500" s="10" t="n">
        <x:f>IF(ISNUMBER('Actividades'!F637),'Actividades'!F637,"n.a.")</x:f>
        <x:v>330.6130569444445</x:v>
      </x:c>
      <x:c r="D500" s="10" t="n">
        <x:f>IF(ISNUMBER('Actividades'!G637),'Actividades'!G637,"n.a.")</x:f>
        <x:v>330.2625458333333</x:v>
      </x:c>
      <x:c r="E500" s="10" t="n">
        <x:f>IF(AND(ISNUMBER(C500),ISNUMBER(D500),C500&gt;=0,D500&gt;0),C500-D500,"n.a.")</x:f>
        <x:v>0.3505111111111887</x:v>
      </x:c>
      <x:c r="F500" s="12" t="n">
        <x:f>IF(ISNUMBER(E500),E500/D500,"n.a.")</x:f>
        <x:v>0.0010613105104811788</x:v>
      </x:c>
      <x:c r="G500" s="2" t="n">
        <x:f>IF(ISNUMBER(F500),IF(AND(ABS(F500)+0.00000000001&gt;=$B$6,ABS(E500)+0.000000001&gt;=$D$6),1,0),"n.a.")</x:f>
        <x:v>0</x:v>
      </x:c>
      <x:c r="H500" s="2" t="n">
        <x:f>IF(ISNUMBER(E500),SIGN(E500),"n.a.")</x:f>
        <x:v>1</x:v>
      </x:c>
      <x:c r="I500" s="2" t="n">
        <x:f>IF(NOT(ISNUMBER(G500)),"n.a.",IF(G500=0,0,IF(AND(B500=B486,A500=EDATE(A486,1),H500=H486,ISNUMBER(I486)),I486+1,1)))</x:f>
        <x:v>0</x:v>
      </x:c>
      <x:c r="J500" s="2" t="n">
        <x:f>IF(ISNUMBER(F500),IF(AND(ABS(F500)+0.00000000001&gt;=$B$7,ABS(E500)+0.000000001&gt;=$D$7),1,0),"n.a.")</x:f>
        <x:v>0</x:v>
      </x:c>
      <x:c r="K500" s="2" t="str">
        <x:f>IF(NOT(ISNUMBER(F500)),"No evaluable",IF(OR(J500=1,I500&gt;=$B$8),"Prioridad",IF(G500=1,"Observar","Sin umbral")))</x:f>
        <x:v>Sin umbral</x:v>
      </x:c>
      <x:c r="L500" s="2" t="str">
        <x:f>IF(K500="No evaluable","Faltan datos",IF(J500=1,"Magnitud",IF(I500&gt;=$B$8,"Persistencia",IF(G500=1,"Cambio del mes","Sin umbral"))))</x:f>
        <x:v>Sin umbral</x:v>
      </x:c>
      <x:c r="M500" s="2" t="n">
        <x:f>ROW()-40</x:f>
        <x:v>460</x:v>
      </x:c>
    </x:row>
    <x:row r="501" ht="48" customHeight="1">
      <x:c r="A501" s="4" t="n">
        <x:v>45901</x:v>
      </x:c>
      <x:c r="B501" s="32" t="str">
        <x:v>Extracción de minerales</x:v>
      </x:c>
      <x:c r="C501" s="10" t="n">
        <x:f>IF(ISNUMBER('Actividades'!F638),'Actividades'!F638,"n.a.")</x:f>
        <x:v>23.35125277777778</x:v>
      </x:c>
      <x:c r="D501" s="10" t="n">
        <x:f>IF(ISNUMBER('Actividades'!G638),'Actividades'!G638,"n.a.")</x:f>
        <x:v>23.909290277777778</x:v>
      </x:c>
      <x:c r="E501" s="10" t="n">
        <x:f>IF(AND(ISNUMBER(C501),ISNUMBER(D501),C501&gt;=0,D501&gt;0),C501-D501,"n.a.")</x:f>
        <x:v>-0.5580374999999975</x:v>
      </x:c>
      <x:c r="F501" s="12" t="n">
        <x:f>IF(ISNUMBER(E501),E501/D501,"n.a.")</x:f>
        <x:v>-0.02333977686149301</x:v>
      </x:c>
      <x:c r="G501" s="2" t="n">
        <x:f>IF(ISNUMBER(F501),IF(AND(ABS(F501)+0.00000000001&gt;=$B$6,ABS(E501)+0.000000001&gt;=$D$6),1,0),"n.a.")</x:f>
        <x:v>0</x:v>
      </x:c>
      <x:c r="H501" s="2" t="n">
        <x:f>IF(ISNUMBER(E501),SIGN(E501),"n.a.")</x:f>
        <x:v>-1</x:v>
      </x:c>
      <x:c r="I501" s="2" t="n">
        <x:f>IF(NOT(ISNUMBER(G501)),"n.a.",IF(G501=0,0,IF(AND(B501=B487,A501=EDATE(A487,1),H501=H487,ISNUMBER(I487)),I487+1,1)))</x:f>
        <x:v>0</x:v>
      </x:c>
      <x:c r="J501" s="2" t="n">
        <x:f>IF(ISNUMBER(F501),IF(AND(ABS(F501)+0.00000000001&gt;=$B$7,ABS(E501)+0.000000001&gt;=$D$7),1,0),"n.a.")</x:f>
        <x:v>0</x:v>
      </x:c>
      <x:c r="K501" s="2" t="str">
        <x:f>IF(NOT(ISNUMBER(F501)),"No evaluable",IF(OR(J501=1,I501&gt;=$B$8),"Prioridad",IF(G501=1,"Observar","Sin umbral")))</x:f>
        <x:v>Sin umbral</x:v>
      </x:c>
      <x:c r="L501" s="2" t="str">
        <x:f>IF(K501="No evaluable","Faltan datos",IF(J501=1,"Magnitud",IF(I501&gt;=$B$8,"Persistencia",IF(G501=1,"Cambio del mes","Sin umbral"))))</x:f>
        <x:v>Sin umbral</x:v>
      </x:c>
      <x:c r="M501" s="2" t="n">
        <x:f>ROW()-40</x:f>
        <x:v>461</x:v>
      </x:c>
    </x:row>
    <x:row r="502" ht="48" customHeight="1">
      <x:c r="A502" s="4" t="n">
        <x:v>45901</x:v>
      </x:c>
      <x:c r="B502" s="32" t="str">
        <x:v>Extracción de petróleo</x:v>
      </x:c>
      <x:c r="C502" s="10" t="n">
        <x:f>IF(ISNUMBER('Actividades'!F639),'Actividades'!F639,"n.a.")</x:f>
        <x:v>155.7255763888889</x:v>
      </x:c>
      <x:c r="D502" s="10" t="n">
        <x:f>IF(ISNUMBER('Actividades'!G639),'Actividades'!G639,"n.a.")</x:f>
        <x:v>144.58456527777778</x:v>
      </x:c>
      <x:c r="E502" s="10" t="n">
        <x:f>IF(AND(ISNUMBER(C502),ISNUMBER(D502),C502&gt;=0,D502&gt;0),C502-D502,"n.a.")</x:f>
        <x:v>11.141011111111112</x:v>
      </x:c>
      <x:c r="F502" s="12" t="n">
        <x:f>IF(ISNUMBER(E502),E502/D502,"n.a.")</x:f>
        <x:v>0.07705532806843424</x:v>
      </x:c>
      <x:c r="G502" s="2" t="n">
        <x:f>IF(ISNUMBER(F502),IF(AND(ABS(F502)+0.00000000001&gt;=$B$6,ABS(E502)+0.000000001&gt;=$D$6),1,0),"n.a.")</x:f>
        <x:v>0</x:v>
      </x:c>
      <x:c r="H502" s="2" t="n">
        <x:f>IF(ISNUMBER(E502),SIGN(E502),"n.a.")</x:f>
        <x:v>1</x:v>
      </x:c>
      <x:c r="I502" s="2" t="n">
        <x:f>IF(NOT(ISNUMBER(G502)),"n.a.",IF(G502=0,0,IF(AND(B502=B488,A502=EDATE(A488,1),H502=H488,ISNUMBER(I488)),I488+1,1)))</x:f>
        <x:v>0</x:v>
      </x:c>
      <x:c r="J502" s="2" t="n">
        <x:f>IF(ISNUMBER(F502),IF(AND(ABS(F502)+0.00000000001&gt;=$B$7,ABS(E502)+0.000000001&gt;=$D$7),1,0),"n.a.")</x:f>
        <x:v>0</x:v>
      </x:c>
      <x:c r="K502" s="2" t="str">
        <x:f>IF(NOT(ISNUMBER(F502)),"No evaluable",IF(OR(J502=1,I502&gt;=$B$8),"Prioridad",IF(G502=1,"Observar","Sin umbral")))</x:f>
        <x:v>Sin umbral</x:v>
      </x:c>
      <x:c r="L502" s="2" t="str">
        <x:f>IF(K502="No evaluable","Faltan datos",IF(J502=1,"Magnitud",IF(I502&gt;=$B$8,"Persistencia",IF(G502=1,"Cambio del mes","Sin umbral"))))</x:f>
        <x:v>Sin umbral</x:v>
      </x:c>
      <x:c r="M502" s="2" t="n">
        <x:f>ROW()-40</x:f>
        <x:v>462</x:v>
      </x:c>
    </x:row>
    <x:row r="503" ht="48" customHeight="1">
      <x:c r="A503" s="4" t="n">
        <x:v>45931</x:v>
      </x:c>
      <x:c r="B503" s="32" t="str">
        <x:v>Cargas y puertos</x:v>
      </x:c>
      <x:c r="C503" s="10" t="n">
        <x:f>IF(ISNUMBER('Actividades'!F640),'Actividades'!F640,"n.a.")</x:f>
        <x:v>9.690801075268817</x:v>
      </x:c>
      <x:c r="D503" s="10" t="n">
        <x:f>IF(ISNUMBER('Actividades'!G640),'Actividades'!G640,"n.a.")</x:f>
        <x:v>9.916600806451614</x:v>
      </x:c>
      <x:c r="E503" s="10" t="n">
        <x:f>IF(AND(ISNUMBER(C503),ISNUMBER(D503),C503&gt;=0,D503&gt;0),C503-D503,"n.a.")</x:f>
        <x:v>-0.2257997311827964</x:v>
      </x:c>
      <x:c r="F503" s="12" t="n">
        <x:f>IF(ISNUMBER(E503),E503/D503,"n.a.")</x:f>
        <x:v>-0.02276987201460141</x:v>
      </x:c>
      <x:c r="G503" s="2" t="n">
        <x:f>IF(ISNUMBER(F503),IF(AND(ABS(F503)+0.00000000001&gt;=$B$6,ABS(E503)+0.000000001&gt;=$D$6),1,0),"n.a.")</x:f>
        <x:v>0</x:v>
      </x:c>
      <x:c r="H503" s="2" t="n">
        <x:f>IF(ISNUMBER(E503),SIGN(E503),"n.a.")</x:f>
        <x:v>-1</x:v>
      </x:c>
      <x:c r="I503" s="2" t="n">
        <x:f>IF(NOT(ISNUMBER(G503)),"n.a.",IF(G503=0,0,IF(AND(B503=B489,A503=EDATE(A489,1),H503=H489,ISNUMBER(I489)),I489+1,1)))</x:f>
        <x:v>0</x:v>
      </x:c>
      <x:c r="J503" s="2" t="n">
        <x:f>IF(ISNUMBER(F503),IF(AND(ABS(F503)+0.00000000001&gt;=$B$7,ABS(E503)+0.000000001&gt;=$D$7),1,0),"n.a.")</x:f>
        <x:v>0</x:v>
      </x:c>
      <x:c r="K503" s="2" t="str">
        <x:f>IF(NOT(ISNUMBER(F503)),"No evaluable",IF(OR(J503=1,I503&gt;=$B$8),"Prioridad",IF(G503=1,"Observar","Sin umbral")))</x:f>
        <x:v>Sin umbral</x:v>
      </x:c>
      <x:c r="L503" s="2" t="str">
        <x:f>IF(K503="No evaluable","Faltan datos",IF(J503=1,"Magnitud",IF(I503&gt;=$B$8,"Persistencia",IF(G503=1,"Cambio del mes","Sin umbral"))))</x:f>
        <x:v>Sin umbral</x:v>
      </x:c>
      <x:c r="M503" s="2" t="n">
        <x:f>ROW()-40</x:f>
        <x:v>463</x:v>
      </x:c>
    </x:row>
    <x:row r="504" ht="48" customHeight="1">
      <x:c r="A504" s="4" t="n">
        <x:v>45931</x:v>
      </x:c>
      <x:c r="B504" s="32" t="str">
        <x:v>Comercio y servicios: principalmente supermercados y centros comerciales</x:v>
      </x:c>
      <x:c r="C504" s="10" t="n">
        <x:f>IF(ISNUMBER('Actividades'!F641),'Actividades'!F641,"n.a.")</x:f>
        <x:v>48.259151881720435</x:v>
      </x:c>
      <x:c r="D504" s="10" t="n">
        <x:f>IF(ISNUMBER('Actividades'!G641),'Actividades'!G641,"n.a.")</x:f>
        <x:v>43.676810483870966</x:v>
      </x:c>
      <x:c r="E504" s="10" t="n">
        <x:f>IF(AND(ISNUMBER(C504),ISNUMBER(D504),C504&gt;=0,D504&gt;0),C504-D504,"n.a.")</x:f>
        <x:v>4.5823413978494685</x:v>
      </x:c>
      <x:c r="F504" s="12" t="n">
        <x:f>IF(ISNUMBER(E504),E504/D504,"n.a.")</x:f>
        <x:v>0.10491474416479293</x:v>
      </x:c>
      <x:c r="G504" s="2" t="n">
        <x:f>IF(ISNUMBER(F504),IF(AND(ABS(F504)+0.00000000001&gt;=$B$6,ABS(E504)+0.000000001&gt;=$D$6),1,0),"n.a.")</x:f>
        <x:v>0</x:v>
      </x:c>
      <x:c r="H504" s="2" t="n">
        <x:f>IF(ISNUMBER(E504),SIGN(E504),"n.a.")</x:f>
        <x:v>1</x:v>
      </x:c>
      <x:c r="I504" s="2" t="n">
        <x:f>IF(NOT(ISNUMBER(G504)),"n.a.",IF(G504=0,0,IF(AND(B504=B490,A504=EDATE(A490,1),H504=H490,ISNUMBER(I490)),I490+1,1)))</x:f>
        <x:v>0</x:v>
      </x:c>
      <x:c r="J504" s="2" t="n">
        <x:f>IF(ISNUMBER(F504),IF(AND(ABS(F504)+0.00000000001&gt;=$B$7,ABS(E504)+0.000000001&gt;=$D$7),1,0),"n.a.")</x:f>
        <x:v>0</x:v>
      </x:c>
      <x:c r="K504" s="2" t="str">
        <x:f>IF(NOT(ISNUMBER(F504)),"No evaluable",IF(OR(J504=1,I504&gt;=$B$8),"Prioridad",IF(G504=1,"Observar","Sin umbral")))</x:f>
        <x:v>Sin umbral</x:v>
      </x:c>
      <x:c r="L504" s="2" t="str">
        <x:f>IF(K504="No evaluable","Faltan datos",IF(J504=1,"Magnitud",IF(I504&gt;=$B$8,"Persistencia",IF(G504=1,"Cambio del mes","Sin umbral"))))</x:f>
        <x:v>Sin umbral</x:v>
      </x:c>
      <x:c r="M504" s="2" t="n">
        <x:f>ROW()-40</x:f>
        <x:v>464</x:v>
      </x:c>
    </x:row>
    <x:row r="505" ht="48" customHeight="1">
      <x:c r="A505" s="4" t="n">
        <x:v>45931</x:v>
      </x:c>
      <x:c r="B505" s="32" t="str">
        <x:v>Alimentación y artículos de consumo masivo</x:v>
      </x:c>
      <x:c r="C505" s="10" t="n">
        <x:f>IF(ISNUMBER('Actividades'!F642),'Actividades'!F642,"n.a.")</x:f>
        <x:v>281.7715766129033</x:v>
      </x:c>
      <x:c r="D505" s="10" t="n">
        <x:f>IF(ISNUMBER('Actividades'!G642),'Actividades'!G642,"n.a.")</x:f>
        <x:v>287.3545564516129</x:v>
      </x:c>
      <x:c r="E505" s="10" t="n">
        <x:f>IF(AND(ISNUMBER(C505),ISNUMBER(D505),C505&gt;=0,D505&gt;0),C505-D505,"n.a.")</x:f>
        <x:v>-5.582979838709605</x:v>
      </x:c>
      <x:c r="F505" s="12" t="n">
        <x:f>IF(ISNUMBER(E505),E505/D505,"n.a.")</x:f>
        <x:v>-0.01942888920103034</x:v>
      </x:c>
      <x:c r="G505" s="2" t="n">
        <x:f>IF(ISNUMBER(F505),IF(AND(ABS(F505)+0.00000000001&gt;=$B$6,ABS(E505)+0.000000001&gt;=$D$6),1,0),"n.a.")</x:f>
        <x:v>0</x:v>
      </x:c>
      <x:c r="H505" s="2" t="n">
        <x:f>IF(ISNUMBER(E505),SIGN(E505),"n.a.")</x:f>
        <x:v>-1</x:v>
      </x:c>
      <x:c r="I505" s="2" t="n">
        <x:f>IF(NOT(ISNUMBER(G505)),"n.a.",IF(G505=0,0,IF(AND(B505=B491,A505=EDATE(A491,1),H505=H491,ISNUMBER(I491)),I491+1,1)))</x:f>
        <x:v>0</x:v>
      </x:c>
      <x:c r="J505" s="2" t="n">
        <x:f>IF(ISNUMBER(F505),IF(AND(ABS(F505)+0.00000000001&gt;=$B$7,ABS(E505)+0.000000001&gt;=$D$7),1,0),"n.a.")</x:f>
        <x:v>0</x:v>
      </x:c>
      <x:c r="K505" s="2" t="str">
        <x:f>IF(NOT(ISNUMBER(F505)),"No evaluable",IF(OR(J505=1,I505&gt;=$B$8),"Prioridad",IF(G505=1,"Observar","Sin umbral")))</x:f>
        <x:v>Sin umbral</x:v>
      </x:c>
      <x:c r="L505" s="2" t="str">
        <x:f>IF(K505="No evaluable","Faltan datos",IF(J505=1,"Magnitud",IF(I505&gt;=$B$8,"Persistencia",IF(G505=1,"Cambio del mes","Sin umbral"))))</x:f>
        <x:v>Sin umbral</x:v>
      </x:c>
      <x:c r="M505" s="2" t="n">
        <x:f>ROW()-40</x:f>
        <x:v>465</x:v>
      </x:c>
    </x:row>
    <x:row r="506" ht="48" customHeight="1">
      <x:c r="A506" s="4" t="n">
        <x:v>45931</x:v>
      </x:c>
      <x:c r="B506" s="32" t="str">
        <x:v>Servicios públicos y transporte: agua y transporte en GBA</x:v>
      </x:c>
      <x:c r="C506" s="10" t="n">
        <x:f>IF(ISNUMBER('Actividades'!F643),'Actividades'!F643,"n.a.")</x:f>
        <x:v>72.0537432795699</x:v>
      </x:c>
      <x:c r="D506" s="10" t="n">
        <x:f>IF(ISNUMBER('Actividades'!G643),'Actividades'!G643,"n.a.")</x:f>
        <x:v>73.76425537634408</x:v>
      </x:c>
      <x:c r="E506" s="10" t="n">
        <x:f>IF(AND(ISNUMBER(C506),ISNUMBER(D506),C506&gt;=0,D506&gt;0),C506-D506,"n.a.")</x:f>
        <x:v>-1.7105120967741811</x:v>
      </x:c>
      <x:c r="F506" s="12" t="n">
        <x:f>IF(ISNUMBER(E506),E506/D506,"n.a.")</x:f>
        <x:v>-0.02318890210505312</x:v>
      </x:c>
      <x:c r="G506" s="2" t="n">
        <x:f>IF(ISNUMBER(F506),IF(AND(ABS(F506)+0.00000000001&gt;=$B$6,ABS(E506)+0.000000001&gt;=$D$6),1,0),"n.a.")</x:f>
        <x:v>0</x:v>
      </x:c>
      <x:c r="H506" s="2" t="n">
        <x:f>IF(ISNUMBER(E506),SIGN(E506),"n.a.")</x:f>
        <x:v>-1</x:v>
      </x:c>
      <x:c r="I506" s="2" t="n">
        <x:f>IF(NOT(ISNUMBER(G506)),"n.a.",IF(G506=0,0,IF(AND(B506=B492,A506=EDATE(A492,1),H506=H492,ISNUMBER(I492)),I492+1,1)))</x:f>
        <x:v>0</x:v>
      </x:c>
      <x:c r="J506" s="2" t="n">
        <x:f>IF(ISNUMBER(F506),IF(AND(ABS(F506)+0.00000000001&gt;=$B$7,ABS(E506)+0.000000001&gt;=$D$7),1,0),"n.a.")</x:f>
        <x:v>0</x:v>
      </x:c>
      <x:c r="K506" s="2" t="str">
        <x:f>IF(NOT(ISNUMBER(F506)),"No evaluable",IF(OR(J506=1,I506&gt;=$B$8),"Prioridad",IF(G506=1,"Observar","Sin umbral")))</x:f>
        <x:v>Sin umbral</x:v>
      </x:c>
      <x:c r="L506" s="2" t="str">
        <x:f>IF(K506="No evaluable","Faltan datos",IF(J506=1,"Magnitud",IF(I506&gt;=$B$8,"Persistencia",IF(G506=1,"Cambio del mes","Sin umbral"))))</x:f>
        <x:v>Sin umbral</x:v>
      </x:c>
      <x:c r="M506" s="2" t="n">
        <x:f>ROW()-40</x:f>
        <x:v>466</x:v>
      </x:c>
    </x:row>
    <x:row r="507" ht="48" customHeight="1">
      <x:c r="A507" s="4" t="n">
        <x:v>45931</x:v>
      </x:c>
      <x:c r="B507" s="32" t="str">
        <x:v>Industria automotriz</x:v>
      </x:c>
      <x:c r="C507" s="10" t="n">
        <x:f>IF(ISNUMBER('Actividades'!F644),'Actividades'!F644,"n.a.")</x:f>
        <x:v>41.631485215053765</x:v>
      </x:c>
      <x:c r="D507" s="10" t="n">
        <x:f>IF(ISNUMBER('Actividades'!G644),'Actividades'!G644,"n.a.")</x:f>
        <x:v>42.818172043010755</x:v>
      </x:c>
      <x:c r="E507" s="10" t="n">
        <x:f>IF(AND(ISNUMBER(C507),ISNUMBER(D507),C507&gt;=0,D507&gt;0),C507-D507,"n.a.")</x:f>
        <x:v>-1.18668682795699</x:v>
      </x:c>
      <x:c r="F507" s="12" t="n">
        <x:f>IF(ISNUMBER(E507),E507/D507,"n.a.")</x:f>
        <x:v>-0.02771456069551418</x:v>
      </x:c>
      <x:c r="G507" s="2" t="n">
        <x:f>IF(ISNUMBER(F507),IF(AND(ABS(F507)+0.00000000001&gt;=$B$6,ABS(E507)+0.000000001&gt;=$D$6),1,0),"n.a.")</x:f>
        <x:v>0</x:v>
      </x:c>
      <x:c r="H507" s="2" t="n">
        <x:f>IF(ISNUMBER(E507),SIGN(E507),"n.a.")</x:f>
        <x:v>-1</x:v>
      </x:c>
      <x:c r="I507" s="2" t="n">
        <x:f>IF(NOT(ISNUMBER(G507)),"n.a.",IF(G507=0,0,IF(AND(B507=B493,A507=EDATE(A493,1),H507=H493,ISNUMBER(I493)),I493+1,1)))</x:f>
        <x:v>0</x:v>
      </x:c>
      <x:c r="J507" s="2" t="n">
        <x:f>IF(ISNUMBER(F507),IF(AND(ABS(F507)+0.00000000001&gt;=$B$7,ABS(E507)+0.000000001&gt;=$D$7),1,0),"n.a.")</x:f>
        <x:v>0</x:v>
      </x:c>
      <x:c r="K507" s="2" t="str">
        <x:f>IF(NOT(ISNUMBER(F507)),"No evaluable",IF(OR(J507=1,I507&gt;=$B$8),"Prioridad",IF(G507=1,"Observar","Sin umbral")))</x:f>
        <x:v>Sin umbral</x:v>
      </x:c>
      <x:c r="L507" s="2" t="str">
        <x:f>IF(K507="No evaluable","Faltan datos",IF(J507=1,"Magnitud",IF(I507&gt;=$B$8,"Persistencia",IF(G507=1,"Cambio del mes","Sin umbral"))))</x:f>
        <x:v>Sin umbral</x:v>
      </x:c>
      <x:c r="M507" s="2" t="n">
        <x:f>ROW()-40</x:f>
        <x:v>467</x:v>
      </x:c>
    </x:row>
    <x:row r="508" ht="48" customHeight="1">
      <x:c r="A508" s="4" t="n">
        <x:v>45931</x:v>
      </x:c>
      <x:c r="B508" s="32" t="str">
        <x:v>Derivados de petróleo</x:v>
      </x:c>
      <x:c r="C508" s="10" t="n">
        <x:f>IF(ISNUMBER('Actividades'!F645),'Actividades'!F645,"n.a.")</x:f>
        <x:v>193.04855107526882</x:v>
      </x:c>
      <x:c r="D508" s="10" t="n">
        <x:f>IF(ISNUMBER('Actividades'!G645),'Actividades'!G645,"n.a.")</x:f>
        <x:v>149.40455913978496</x:v>
      </x:c>
      <x:c r="E508" s="10" t="n">
        <x:f>IF(AND(ISNUMBER(C508),ISNUMBER(D508),C508&gt;=0,D508&gt;0),C508-D508,"n.a.")</x:f>
        <x:v>43.643991935483854</x:v>
      </x:c>
      <x:c r="F508" s="12" t="n">
        <x:f>IF(ISNUMBER(E508),E508/D508,"n.a.")</x:f>
        <x:v>0.29211954566024945</x:v>
      </x:c>
      <x:c r="G508" s="2" t="n">
        <x:f>IF(ISNUMBER(F508),IF(AND(ABS(F508)+0.00000000001&gt;=$B$6,ABS(E508)+0.000000001&gt;=$D$6),1,0),"n.a.")</x:f>
        <x:v>1</x:v>
      </x:c>
      <x:c r="H508" s="2" t="n">
        <x:f>IF(ISNUMBER(E508),SIGN(E508),"n.a.")</x:f>
        <x:v>1</x:v>
      </x:c>
      <x:c r="I508" s="2" t="n">
        <x:f>IF(NOT(ISNUMBER(G508)),"n.a.",IF(G508=0,0,IF(AND(B508=B494,A508=EDATE(A494,1),H508=H494,ISNUMBER(I494)),I494+1,1)))</x:f>
        <x:v>1</x:v>
      </x:c>
      <x:c r="J508" s="2" t="n">
        <x:f>IF(ISNUMBER(F508),IF(AND(ABS(F508)+0.00000000001&gt;=$B$7,ABS(E508)+0.000000001&gt;=$D$7),1,0),"n.a.")</x:f>
        <x:v>1</x:v>
      </x:c>
      <x:c r="K508" s="2" t="str">
        <x:f>IF(NOT(ISNUMBER(F508)),"No evaluable",IF(OR(J508=1,I508&gt;=$B$8),"Prioridad",IF(G508=1,"Observar","Sin umbral")))</x:f>
        <x:v>Prioridad</x:v>
      </x:c>
      <x:c r="L508" s="2" t="str">
        <x:f>IF(K508="No evaluable","Faltan datos",IF(J508=1,"Magnitud",IF(I508&gt;=$B$8,"Persistencia",IF(G508=1,"Cambio del mes","Sin umbral"))))</x:f>
        <x:v>Magnitud</x:v>
      </x:c>
      <x:c r="M508" s="2" t="n">
        <x:f>ROW()-40</x:f>
        <x:v>468</x:v>
      </x:c>
    </x:row>
    <x:row r="509" ht="48" customHeight="1">
      <x:c r="A509" s="4" t="n">
        <x:v>45931</x:v>
      </x:c>
      <x:c r="B509" s="32" t="str">
        <x:v>Construcción: elaboración de cemento y canteras</x:v>
      </x:c>
      <x:c r="C509" s="10" t="n">
        <x:f>IF(ISNUMBER('Actividades'!F646),'Actividades'!F646,"n.a.")</x:f>
        <x:v>148.12838978494622</x:v>
      </x:c>
      <x:c r="D509" s="10" t="n">
        <x:f>IF(ISNUMBER('Actividades'!G646),'Actividades'!G646,"n.a.")</x:f>
        <x:v>172.92159543010752</x:v>
      </x:c>
      <x:c r="E509" s="10" t="n">
        <x:f>IF(AND(ISNUMBER(C509),ISNUMBER(D509),C509&gt;=0,D509&gt;0),C509-D509,"n.a.")</x:f>
        <x:v>-24.793205645161294</x:v>
      </x:c>
      <x:c r="F509" s="12" t="n">
        <x:f>IF(ISNUMBER(E509),E509/D509,"n.a.")</x:f>
        <x:v>-0.14337830728136186</x:v>
      </x:c>
      <x:c r="G509" s="2" t="n">
        <x:f>IF(ISNUMBER(F509),IF(AND(ABS(F509)+0.00000000001&gt;=$B$6,ABS(E509)+0.000000001&gt;=$D$6),1,0),"n.a.")</x:f>
        <x:v>1</x:v>
      </x:c>
      <x:c r="H509" s="2" t="n">
        <x:f>IF(ISNUMBER(E509),SIGN(E509),"n.a.")</x:f>
        <x:v>-1</x:v>
      </x:c>
      <x:c r="I509" s="2" t="n">
        <x:f>IF(NOT(ISNUMBER(G509)),"n.a.",IF(G509=0,0,IF(AND(B509=B495,A509=EDATE(A495,1),H509=H495,ISNUMBER(I495)),I495+1,1)))</x:f>
        <x:v>1</x:v>
      </x:c>
      <x:c r="J509" s="2" t="n">
        <x:f>IF(ISNUMBER(F509),IF(AND(ABS(F509)+0.00000000001&gt;=$B$7,ABS(E509)+0.000000001&gt;=$D$7),1,0),"n.a.")</x:f>
        <x:v>0</x:v>
      </x:c>
      <x:c r="K509" s="2" t="str">
        <x:f>IF(NOT(ISNUMBER(F509)),"No evaluable",IF(OR(J509=1,I509&gt;=$B$8),"Prioridad",IF(G509=1,"Observar","Sin umbral")))</x:f>
        <x:v>Observar</x:v>
      </x:c>
      <x:c r="L509" s="2" t="str">
        <x:f>IF(K509="No evaluable","Faltan datos",IF(J509=1,"Magnitud",IF(I509&gt;=$B$8,"Persistencia",IF(G509=1,"Cambio del mes","Sin umbral"))))</x:f>
        <x:v>Cambio del mes</x:v>
      </x:c>
      <x:c r="M509" s="2" t="n">
        <x:f>ROW()-40</x:f>
        <x:v>469</x:v>
      </x:c>
    </x:row>
    <x:row r="510" ht="48" customHeight="1">
      <x:c r="A510" s="4" t="n">
        <x:v>45931</x:v>
      </x:c>
      <x:c r="B510" s="32" t="str">
        <x:v>Madera y papel</x:v>
      </x:c>
      <x:c r="C510" s="10" t="n">
        <x:f>IF(ISNUMBER('Actividades'!F647),'Actividades'!F647,"n.a.")</x:f>
        <x:v>101.0890241935484</x:v>
      </x:c>
      <x:c r="D510" s="10" t="n">
        <x:f>IF(ISNUMBER('Actividades'!G647),'Actividades'!G647,"n.a.")</x:f>
        <x:v>98.67534005376345</x:v>
      </x:c>
      <x:c r="E510" s="10" t="n">
        <x:f>IF(AND(ISNUMBER(C510),ISNUMBER(D510),C510&gt;=0,D510&gt;0),C510-D510,"n.a.")</x:f>
        <x:v>2.413684139784948</x:v>
      </x:c>
      <x:c r="F510" s="12" t="n">
        <x:f>IF(ISNUMBER(E510),E510/D510,"n.a.")</x:f>
        <x:v>0.024460864674698334</x:v>
      </x:c>
      <x:c r="G510" s="2" t="n">
        <x:f>IF(ISNUMBER(F510),IF(AND(ABS(F510)+0.00000000001&gt;=$B$6,ABS(E510)+0.000000001&gt;=$D$6),1,0),"n.a.")</x:f>
        <x:v>0</x:v>
      </x:c>
      <x:c r="H510" s="2" t="n">
        <x:f>IF(ISNUMBER(E510),SIGN(E510),"n.a.")</x:f>
        <x:v>1</x:v>
      </x:c>
      <x:c r="I510" s="2" t="n">
        <x:f>IF(NOT(ISNUMBER(G510)),"n.a.",IF(G510=0,0,IF(AND(B510=B496,A510=EDATE(A496,1),H510=H496,ISNUMBER(I496)),I496+1,1)))</x:f>
        <x:v>0</x:v>
      </x:c>
      <x:c r="J510" s="2" t="n">
        <x:f>IF(ISNUMBER(F510),IF(AND(ABS(F510)+0.00000000001&gt;=$B$7,ABS(E510)+0.000000001&gt;=$D$7),1,0),"n.a.")</x:f>
        <x:v>0</x:v>
      </x:c>
      <x:c r="K510" s="2" t="str">
        <x:f>IF(NOT(ISNUMBER(F510)),"No evaluable",IF(OR(J510=1,I510&gt;=$B$8),"Prioridad",IF(G510=1,"Observar","Sin umbral")))</x:f>
        <x:v>Sin umbral</x:v>
      </x:c>
      <x:c r="L510" s="2" t="str">
        <x:f>IF(K510="No evaluable","Faltan datos",IF(J510=1,"Magnitud",IF(I510&gt;=$B$8,"Persistencia",IF(G510=1,"Cambio del mes","Sin umbral"))))</x:f>
        <x:v>Sin umbral</x:v>
      </x:c>
      <x:c r="M510" s="2" t="n">
        <x:f>ROW()-40</x:f>
        <x:v>470</x:v>
      </x:c>
    </x:row>
    <x:row r="511" ht="48" customHeight="1">
      <x:c r="A511" s="4" t="n">
        <x:v>45931</x:v>
      </x:c>
      <x:c r="B511" s="32" t="str">
        <x:v>Productos metálicos no automotores</x:v>
      </x:c>
      <x:c r="C511" s="10" t="n">
        <x:f>IF(ISNUMBER('Actividades'!F648),'Actividades'!F648,"n.a.")</x:f>
        <x:v>44.82654301075269</x:v>
      </x:c>
      <x:c r="D511" s="10" t="n">
        <x:f>IF(ISNUMBER('Actividades'!G648),'Actividades'!G648,"n.a.")</x:f>
        <x:v>43.676311827956994</x:v>
      </x:c>
      <x:c r="E511" s="10" t="n">
        <x:f>IF(AND(ISNUMBER(C511),ISNUMBER(D511),C511&gt;=0,D511&gt;0),C511-D511,"n.a.")</x:f>
        <x:v>1.150231182795693</x:v>
      </x:c>
      <x:c r="F511" s="12" t="n">
        <x:f>IF(ISNUMBER(E511),E511/D511,"n.a.")</x:f>
        <x:v>0.026335355130866055</x:v>
      </x:c>
      <x:c r="G511" s="2" t="n">
        <x:f>IF(ISNUMBER(F511),IF(AND(ABS(F511)+0.00000000001&gt;=$B$6,ABS(E511)+0.000000001&gt;=$D$6),1,0),"n.a.")</x:f>
        <x:v>0</x:v>
      </x:c>
      <x:c r="H511" s="2" t="n">
        <x:f>IF(ISNUMBER(E511),SIGN(E511),"n.a.")</x:f>
        <x:v>1</x:v>
      </x:c>
      <x:c r="I511" s="2" t="n">
        <x:f>IF(NOT(ISNUMBER(G511)),"n.a.",IF(G511=0,0,IF(AND(B511=B497,A511=EDATE(A497,1),H511=H497,ISNUMBER(I497)),I497+1,1)))</x:f>
        <x:v>0</x:v>
      </x:c>
      <x:c r="J511" s="2" t="n">
        <x:f>IF(ISNUMBER(F511),IF(AND(ABS(F511)+0.00000000001&gt;=$B$7,ABS(E511)+0.000000001&gt;=$D$7),1,0),"n.a.")</x:f>
        <x:v>0</x:v>
      </x:c>
      <x:c r="K511" s="2" t="str">
        <x:f>IF(NOT(ISNUMBER(F511)),"No evaluable",IF(OR(J511=1,I511&gt;=$B$8),"Prioridad",IF(G511=1,"Observar","Sin umbral")))</x:f>
        <x:v>Sin umbral</x:v>
      </x:c>
      <x:c r="L511" s="2" t="str">
        <x:f>IF(K511="No evaluable","Faltan datos",IF(J511=1,"Magnitud",IF(I511&gt;=$B$8,"Persistencia",IF(G511=1,"Cambio del mes","Sin umbral"))))</x:f>
        <x:v>Sin umbral</x:v>
      </x:c>
      <x:c r="M511" s="2" t="n">
        <x:f>ROW()-40</x:f>
        <x:v>471</x:v>
      </x:c>
    </x:row>
    <x:row r="512" ht="48" customHeight="1">
      <x:c r="A512" s="4" t="n">
        <x:v>45931</x:v>
      </x:c>
      <x:c r="B512" s="32" t="str">
        <x:v>Gran siderurgia</x:v>
      </x:c>
      <x:c r="C512" s="10" t="n">
        <x:f>IF(ISNUMBER('Actividades'!F649),'Actividades'!F649,"n.a.")</x:f>
        <x:v>287.5612244623656</x:v>
      </x:c>
      <x:c r="D512" s="10" t="n">
        <x:f>IF(ISNUMBER('Actividades'!G649),'Actividades'!G649,"n.a.")</x:f>
        <x:v>295.38708467741935</x:v>
      </x:c>
      <x:c r="E512" s="10" t="n">
        <x:f>IF(AND(ISNUMBER(C512),ISNUMBER(D512),C512&gt;=0,D512&gt;0),C512-D512,"n.a.")</x:f>
        <x:v>-7.825860215053751</x:v>
      </x:c>
      <x:c r="F512" s="12" t="n">
        <x:f>IF(ISNUMBER(E512),E512/D512,"n.a.")</x:f>
        <x:v>-0.026493576127744604</x:v>
      </x:c>
      <x:c r="G512" s="2" t="n">
        <x:f>IF(ISNUMBER(F512),IF(AND(ABS(F512)+0.00000000001&gt;=$B$6,ABS(E512)+0.000000001&gt;=$D$6),1,0),"n.a.")</x:f>
        <x:v>0</x:v>
      </x:c>
      <x:c r="H512" s="2" t="n">
        <x:f>IF(ISNUMBER(E512),SIGN(E512),"n.a.")</x:f>
        <x:v>-1</x:v>
      </x:c>
      <x:c r="I512" s="2" t="n">
        <x:f>IF(NOT(ISNUMBER(G512)),"n.a.",IF(G512=0,0,IF(AND(B512=B498,A512=EDATE(A498,1),H512=H498,ISNUMBER(I498)),I498+1,1)))</x:f>
        <x:v>0</x:v>
      </x:c>
      <x:c r="J512" s="2" t="n">
        <x:f>IF(ISNUMBER(F512),IF(AND(ABS(F512)+0.00000000001&gt;=$B$7,ABS(E512)+0.000000001&gt;=$D$7),1,0),"n.a.")</x:f>
        <x:v>0</x:v>
      </x:c>
      <x:c r="K512" s="2" t="str">
        <x:f>IF(NOT(ISNUMBER(F512)),"No evaluable",IF(OR(J512=1,I512&gt;=$B$8),"Prioridad",IF(G512=1,"Observar","Sin umbral")))</x:f>
        <x:v>Sin umbral</x:v>
      </x:c>
      <x:c r="L512" s="2" t="str">
        <x:f>IF(K512="No evaluable","Faltan datos",IF(J512=1,"Magnitud",IF(I512&gt;=$B$8,"Persistencia",IF(G512=1,"Cambio del mes","Sin umbral"))))</x:f>
        <x:v>Sin umbral</x:v>
      </x:c>
      <x:c r="M512" s="2" t="n">
        <x:f>ROW()-40</x:f>
        <x:v>472</x:v>
      </x:c>
    </x:row>
    <x:row r="513" ht="48" customHeight="1">
      <x:c r="A513" s="4" t="n">
        <x:v>45931</x:v>
      </x:c>
      <x:c r="B513" s="32" t="str">
        <x:v>Industria textil</x:v>
      </x:c>
      <x:c r="C513" s="10" t="n">
        <x:f>IF(ISNUMBER('Actividades'!F650),'Actividades'!F650,"n.a.")</x:f>
        <x:v>43.08152419354839</x:v>
      </x:c>
      <x:c r="D513" s="10" t="n">
        <x:f>IF(ISNUMBER('Actividades'!G650),'Actividades'!G650,"n.a.")</x:f>
        <x:v>58.80636155913979</x:v>
      </x:c>
      <x:c r="E513" s="10" t="n">
        <x:f>IF(AND(ISNUMBER(C513),ISNUMBER(D513),C513&gt;=0,D513&gt;0),C513-D513,"n.a.")</x:f>
        <x:v>-15.724837365591398</x:v>
      </x:c>
      <x:c r="F513" s="12" t="n">
        <x:f>IF(ISNUMBER(E513),E513/D513,"n.a.")</x:f>
        <x:v>-0.2674002769203363</x:v>
      </x:c>
      <x:c r="G513" s="2" t="n">
        <x:f>IF(ISNUMBER(F513),IF(AND(ABS(F513)+0.00000000001&gt;=$B$6,ABS(E513)+0.000000001&gt;=$D$6),1,0),"n.a.")</x:f>
        <x:v>1</x:v>
      </x:c>
      <x:c r="H513" s="2" t="n">
        <x:f>IF(ISNUMBER(E513),SIGN(E513),"n.a.")</x:f>
        <x:v>-1</x:v>
      </x:c>
      <x:c r="I513" s="2" t="n">
        <x:f>IF(NOT(ISNUMBER(G513)),"n.a.",IF(G513=0,0,IF(AND(B513=B499,A513=EDATE(A499,1),H513=H499,ISNUMBER(I499)),I499+1,1)))</x:f>
        <x:v>2</x:v>
      </x:c>
      <x:c r="J513" s="2" t="n">
        <x:f>IF(ISNUMBER(F513),IF(AND(ABS(F513)+0.00000000001&gt;=$B$7,ABS(E513)+0.000000001&gt;=$D$7),1,0),"n.a.")</x:f>
        <x:v>1</x:v>
      </x:c>
      <x:c r="K513" s="2" t="str">
        <x:f>IF(NOT(ISNUMBER(F513)),"No evaluable",IF(OR(J513=1,I513&gt;=$B$8),"Prioridad",IF(G513=1,"Observar","Sin umbral")))</x:f>
        <x:v>Prioridad</x:v>
      </x:c>
      <x:c r="L513" s="2" t="str">
        <x:f>IF(K513="No evaluable","Faltan datos",IF(J513=1,"Magnitud",IF(I513&gt;=$B$8,"Persistencia",IF(G513=1,"Cambio del mes","Sin umbral"))))</x:f>
        <x:v>Magnitud</x:v>
      </x:c>
      <x:c r="M513" s="2" t="n">
        <x:f>ROW()-40</x:f>
        <x:v>473</x:v>
      </x:c>
    </x:row>
    <x:row r="514" ht="48" customHeight="1">
      <x:c r="A514" s="4" t="n">
        <x:v>45931</x:v>
      </x:c>
      <x:c r="B514" s="32" t="str">
        <x:v>Químicas, caucho, plástico y otros minerales no metálicos</x:v>
      </x:c>
      <x:c r="C514" s="10" t="n">
        <x:f>IF(ISNUMBER('Actividades'!F651),'Actividades'!F651,"n.a.")</x:f>
        <x:v>330.8044879032258</x:v>
      </x:c>
      <x:c r="D514" s="10" t="n">
        <x:f>IF(ISNUMBER('Actividades'!G651),'Actividades'!G651,"n.a.")</x:f>
        <x:v>298.94210887096773</x:v>
      </x:c>
      <x:c r="E514" s="10" t="n">
        <x:f>IF(AND(ISNUMBER(C514),ISNUMBER(D514),C514&gt;=0,D514&gt;0),C514-D514,"n.a.")</x:f>
        <x:v>31.862379032258048</x:v>
      </x:c>
      <x:c r="F514" s="12" t="n">
        <x:f>IF(ISNUMBER(E514),E514/D514,"n.a.")</x:f>
        <x:v>0.10658377688106427</x:v>
      </x:c>
      <x:c r="G514" s="2" t="n">
        <x:f>IF(ISNUMBER(F514),IF(AND(ABS(F514)+0.00000000001&gt;=$B$6,ABS(E514)+0.000000001&gt;=$D$6),1,0),"n.a.")</x:f>
        <x:v>1</x:v>
      </x:c>
      <x:c r="H514" s="2" t="n">
        <x:f>IF(ISNUMBER(E514),SIGN(E514),"n.a.")</x:f>
        <x:v>1</x:v>
      </x:c>
      <x:c r="I514" s="2" t="n">
        <x:f>IF(NOT(ISNUMBER(G514)),"n.a.",IF(G514=0,0,IF(AND(B514=B500,A514=EDATE(A500,1),H514=H500,ISNUMBER(I500)),I500+1,1)))</x:f>
        <x:v>1</x:v>
      </x:c>
      <x:c r="J514" s="2" t="n">
        <x:f>IF(ISNUMBER(F514),IF(AND(ABS(F514)+0.00000000001&gt;=$B$7,ABS(E514)+0.000000001&gt;=$D$7),1,0),"n.a.")</x:f>
        <x:v>0</x:v>
      </x:c>
      <x:c r="K514" s="2" t="str">
        <x:f>IF(NOT(ISNUMBER(F514)),"No evaluable",IF(OR(J514=1,I514&gt;=$B$8),"Prioridad",IF(G514=1,"Observar","Sin umbral")))</x:f>
        <x:v>Observar</x:v>
      </x:c>
      <x:c r="L514" s="2" t="str">
        <x:f>IF(K514="No evaluable","Faltan datos",IF(J514=1,"Magnitud",IF(I514&gt;=$B$8,"Persistencia",IF(G514=1,"Cambio del mes","Sin umbral"))))</x:f>
        <x:v>Cambio del mes</x:v>
      </x:c>
      <x:c r="M514" s="2" t="n">
        <x:f>ROW()-40</x:f>
        <x:v>474</x:v>
      </x:c>
    </x:row>
    <x:row r="515" ht="48" customHeight="1">
      <x:c r="A515" s="4" t="n">
        <x:v>45931</x:v>
      </x:c>
      <x:c r="B515" s="32" t="str">
        <x:v>Extracción de minerales</x:v>
      </x:c>
      <x:c r="C515" s="10" t="n">
        <x:f>IF(ISNUMBER('Actividades'!F652),'Actividades'!F652,"n.a.")</x:f>
        <x:v>25.597166666666666</x:v>
      </x:c>
      <x:c r="D515" s="10" t="n">
        <x:f>IF(ISNUMBER('Actividades'!G652),'Actividades'!G652,"n.a.")</x:f>
        <x:v>24.063864247311827</x:v>
      </x:c>
      <x:c r="E515" s="10" t="n">
        <x:f>IF(AND(ISNUMBER(C515),ISNUMBER(D515),C515&gt;=0,D515&gt;0),C515-D515,"n.a.")</x:f>
        <x:v>1.5333024193548397</x:v>
      </x:c>
      <x:c r="F515" s="12" t="n">
        <x:f>IF(ISNUMBER(E515),E515/D515,"n.a.")</x:f>
        <x:v>0.06371804642831315</x:v>
      </x:c>
      <x:c r="G515" s="2" t="n">
        <x:f>IF(ISNUMBER(F515),IF(AND(ABS(F515)+0.00000000001&gt;=$B$6,ABS(E515)+0.000000001&gt;=$D$6),1,0),"n.a.")</x:f>
        <x:v>0</x:v>
      </x:c>
      <x:c r="H515" s="2" t="n">
        <x:f>IF(ISNUMBER(E515),SIGN(E515),"n.a.")</x:f>
        <x:v>1</x:v>
      </x:c>
      <x:c r="I515" s="2" t="n">
        <x:f>IF(NOT(ISNUMBER(G515)),"n.a.",IF(G515=0,0,IF(AND(B515=B501,A515=EDATE(A501,1),H515=H501,ISNUMBER(I501)),I501+1,1)))</x:f>
        <x:v>0</x:v>
      </x:c>
      <x:c r="J515" s="2" t="n">
        <x:f>IF(ISNUMBER(F515),IF(AND(ABS(F515)+0.00000000001&gt;=$B$7,ABS(E515)+0.000000001&gt;=$D$7),1,0),"n.a.")</x:f>
        <x:v>0</x:v>
      </x:c>
      <x:c r="K515" s="2" t="str">
        <x:f>IF(NOT(ISNUMBER(F515)),"No evaluable",IF(OR(J515=1,I515&gt;=$B$8),"Prioridad",IF(G515=1,"Observar","Sin umbral")))</x:f>
        <x:v>Sin umbral</x:v>
      </x:c>
      <x:c r="L515" s="2" t="str">
        <x:f>IF(K515="No evaluable","Faltan datos",IF(J515=1,"Magnitud",IF(I515&gt;=$B$8,"Persistencia",IF(G515=1,"Cambio del mes","Sin umbral"))))</x:f>
        <x:v>Sin umbral</x:v>
      </x:c>
      <x:c r="M515" s="2" t="n">
        <x:f>ROW()-40</x:f>
        <x:v>475</x:v>
      </x:c>
    </x:row>
    <x:row r="516" ht="48" customHeight="1">
      <x:c r="A516" s="4" t="n">
        <x:v>45931</x:v>
      </x:c>
      <x:c r="B516" s="32" t="str">
        <x:v>Extracción de petróleo</x:v>
      </x:c>
      <x:c r="C516" s="10" t="n">
        <x:f>IF(ISNUMBER('Actividades'!F653),'Actividades'!F653,"n.a.")</x:f>
        <x:v>155.66002150537636</x:v>
      </x:c>
      <x:c r="D516" s="10" t="n">
        <x:f>IF(ISNUMBER('Actividades'!G653),'Actividades'!G653,"n.a.")</x:f>
        <x:v>149.80320295698925</x:v>
      </x:c>
      <x:c r="E516" s="10" t="n">
        <x:f>IF(AND(ISNUMBER(C516),ISNUMBER(D516),C516&gt;=0,D516&gt;0),C516-D516,"n.a.")</x:f>
        <x:v>5.8568185483871105</x:v>
      </x:c>
      <x:c r="F516" s="12" t="n">
        <x:f>IF(ISNUMBER(E516),E516/D516,"n.a.")</x:f>
        <x:v>0.03909675115603964</x:v>
      </x:c>
      <x:c r="G516" s="2" t="n">
        <x:f>IF(ISNUMBER(F516),IF(AND(ABS(F516)+0.00000000001&gt;=$B$6,ABS(E516)+0.000000001&gt;=$D$6),1,0),"n.a.")</x:f>
        <x:v>0</x:v>
      </x:c>
      <x:c r="H516" s="2" t="n">
        <x:f>IF(ISNUMBER(E516),SIGN(E516),"n.a.")</x:f>
        <x:v>1</x:v>
      </x:c>
      <x:c r="I516" s="2" t="n">
        <x:f>IF(NOT(ISNUMBER(G516)),"n.a.",IF(G516=0,0,IF(AND(B516=B502,A516=EDATE(A502,1),H516=H502,ISNUMBER(I502)),I502+1,1)))</x:f>
        <x:v>0</x:v>
      </x:c>
      <x:c r="J516" s="2" t="n">
        <x:f>IF(ISNUMBER(F516),IF(AND(ABS(F516)+0.00000000001&gt;=$B$7,ABS(E516)+0.000000001&gt;=$D$7),1,0),"n.a.")</x:f>
        <x:v>0</x:v>
      </x:c>
      <x:c r="K516" s="2" t="str">
        <x:f>IF(NOT(ISNUMBER(F516)),"No evaluable",IF(OR(J516=1,I516&gt;=$B$8),"Prioridad",IF(G516=1,"Observar","Sin umbral")))</x:f>
        <x:v>Sin umbral</x:v>
      </x:c>
      <x:c r="L516" s="2" t="str">
        <x:f>IF(K516="No evaluable","Faltan datos",IF(J516=1,"Magnitud",IF(I516&gt;=$B$8,"Persistencia",IF(G516=1,"Cambio del mes","Sin umbral"))))</x:f>
        <x:v>Sin umbral</x:v>
      </x:c>
      <x:c r="M516" s="2" t="n">
        <x:f>ROW()-40</x:f>
        <x:v>476</x:v>
      </x:c>
    </x:row>
    <x:row r="517" ht="48" customHeight="1">
      <x:c r="A517" s="4" t="n">
        <x:v>45962</x:v>
      </x:c>
      <x:c r="B517" s="32" t="str">
        <x:v>Cargas y puertos</x:v>
      </x:c>
      <x:c r="C517" s="10" t="n">
        <x:f>IF(ISNUMBER('Actividades'!F654),'Actividades'!F654,"n.a.")</x:f>
        <x:v>10.149722222222222</x:v>
      </x:c>
      <x:c r="D517" s="10" t="n">
        <x:f>IF(ISNUMBER('Actividades'!G654),'Actividades'!G654,"n.a.")</x:f>
        <x:v>10.34502638888889</x:v>
      </x:c>
      <x:c r="E517" s="10" t="n">
        <x:f>IF(AND(ISNUMBER(C517),ISNUMBER(D517),C517&gt;=0,D517&gt;0),C517-D517,"n.a.")</x:f>
        <x:v>-0.19530416666666817</x:v>
      </x:c>
      <x:c r="F517" s="12" t="n">
        <x:f>IF(ISNUMBER(E517),E517/D517,"n.a.")</x:f>
        <x:v>-0.018879039968079277</x:v>
      </x:c>
      <x:c r="G517" s="2" t="n">
        <x:f>IF(ISNUMBER(F517),IF(AND(ABS(F517)+0.00000000001&gt;=$B$6,ABS(E517)+0.000000001&gt;=$D$6),1,0),"n.a.")</x:f>
        <x:v>0</x:v>
      </x:c>
      <x:c r="H517" s="2" t="n">
        <x:f>IF(ISNUMBER(E517),SIGN(E517),"n.a.")</x:f>
        <x:v>-1</x:v>
      </x:c>
      <x:c r="I517" s="2" t="n">
        <x:f>IF(NOT(ISNUMBER(G517)),"n.a.",IF(G517=0,0,IF(AND(B517=B503,A517=EDATE(A503,1),H517=H503,ISNUMBER(I503)),I503+1,1)))</x:f>
        <x:v>0</x:v>
      </x:c>
      <x:c r="J517" s="2" t="n">
        <x:f>IF(ISNUMBER(F517),IF(AND(ABS(F517)+0.00000000001&gt;=$B$7,ABS(E517)+0.000000001&gt;=$D$7),1,0),"n.a.")</x:f>
        <x:v>0</x:v>
      </x:c>
      <x:c r="K517" s="2" t="str">
        <x:f>IF(NOT(ISNUMBER(F517)),"No evaluable",IF(OR(J517=1,I517&gt;=$B$8),"Prioridad",IF(G517=1,"Observar","Sin umbral")))</x:f>
        <x:v>Sin umbral</x:v>
      </x:c>
      <x:c r="L517" s="2" t="str">
        <x:f>IF(K517="No evaluable","Faltan datos",IF(J517=1,"Magnitud",IF(I517&gt;=$B$8,"Persistencia",IF(G517=1,"Cambio del mes","Sin umbral"))))</x:f>
        <x:v>Sin umbral</x:v>
      </x:c>
      <x:c r="M517" s="2" t="n">
        <x:f>ROW()-40</x:f>
        <x:v>477</x:v>
      </x:c>
    </x:row>
    <x:row r="518" ht="48" customHeight="1">
      <x:c r="A518" s="4" t="n">
        <x:v>45962</x:v>
      </x:c>
      <x:c r="B518" s="32" t="str">
        <x:v>Comercio y servicios: principalmente supermercados y centros comerciales</x:v>
      </x:c>
      <x:c r="C518" s="10" t="n">
        <x:f>IF(ISNUMBER('Actividades'!F655),'Actividades'!F655,"n.a.")</x:f>
        <x:v>49.93407777777778</x:v>
      </x:c>
      <x:c r="D518" s="10" t="n">
        <x:f>IF(ISNUMBER('Actividades'!G655),'Actividades'!G655,"n.a.")</x:f>
        <x:v>48.0542125</x:v>
      </x:c>
      <x:c r="E518" s="10" t="n">
        <x:f>IF(AND(ISNUMBER(C518),ISNUMBER(D518),C518&gt;=0,D518&gt;0),C518-D518,"n.a.")</x:f>
        <x:v>1.8798652777777818</x:v>
      </x:c>
      <x:c r="F518" s="12" t="n">
        <x:f>IF(ISNUMBER(E518),E518/D518,"n.a.")</x:f>
        <x:v>0.03911967713086094</x:v>
      </x:c>
      <x:c r="G518" s="2" t="n">
        <x:f>IF(ISNUMBER(F518),IF(AND(ABS(F518)+0.00000000001&gt;=$B$6,ABS(E518)+0.000000001&gt;=$D$6),1,0),"n.a.")</x:f>
        <x:v>0</x:v>
      </x:c>
      <x:c r="H518" s="2" t="n">
        <x:f>IF(ISNUMBER(E518),SIGN(E518),"n.a.")</x:f>
        <x:v>1</x:v>
      </x:c>
      <x:c r="I518" s="2" t="n">
        <x:f>IF(NOT(ISNUMBER(G518)),"n.a.",IF(G518=0,0,IF(AND(B518=B504,A518=EDATE(A504,1),H518=H504,ISNUMBER(I504)),I504+1,1)))</x:f>
        <x:v>0</x:v>
      </x:c>
      <x:c r="J518" s="2" t="n">
        <x:f>IF(ISNUMBER(F518),IF(AND(ABS(F518)+0.00000000001&gt;=$B$7,ABS(E518)+0.000000001&gt;=$D$7),1,0),"n.a.")</x:f>
        <x:v>0</x:v>
      </x:c>
      <x:c r="K518" s="2" t="str">
        <x:f>IF(NOT(ISNUMBER(F518)),"No evaluable",IF(OR(J518=1,I518&gt;=$B$8),"Prioridad",IF(G518=1,"Observar","Sin umbral")))</x:f>
        <x:v>Sin umbral</x:v>
      </x:c>
      <x:c r="L518" s="2" t="str">
        <x:f>IF(K518="No evaluable","Faltan datos",IF(J518=1,"Magnitud",IF(I518&gt;=$B$8,"Persistencia",IF(G518=1,"Cambio del mes","Sin umbral"))))</x:f>
        <x:v>Sin umbral</x:v>
      </x:c>
      <x:c r="M518" s="2" t="n">
        <x:f>ROW()-40</x:f>
        <x:v>478</x:v>
      </x:c>
    </x:row>
    <x:row r="519" ht="48" customHeight="1">
      <x:c r="A519" s="4" t="n">
        <x:v>45962</x:v>
      </x:c>
      <x:c r="B519" s="32" t="str">
        <x:v>Alimentación y artículos de consumo masivo</x:v>
      </x:c>
      <x:c r="C519" s="10" t="n">
        <x:f>IF(ISNUMBER('Actividades'!F656),'Actividades'!F656,"n.a.")</x:f>
        <x:v>280.7010791666667</x:v>
      </x:c>
      <x:c r="D519" s="10" t="n">
        <x:f>IF(ISNUMBER('Actividades'!G656),'Actividades'!G656,"n.a.")</x:f>
        <x:v>294.1251888888889</x:v>
      </x:c>
      <x:c r="E519" s="10" t="n">
        <x:f>IF(AND(ISNUMBER(C519),ISNUMBER(D519),C519&gt;=0,D519&gt;0),C519-D519,"n.a.")</x:f>
        <x:v>-13.42410972222217</x:v>
      </x:c>
      <x:c r="F519" s="12" t="n">
        <x:f>IF(ISNUMBER(E519),E519/D519,"n.a.")</x:f>
        <x:v>-0.045640802723949526</x:v>
      </x:c>
      <x:c r="G519" s="2" t="n">
        <x:f>IF(ISNUMBER(F519),IF(AND(ABS(F519)+0.00000000001&gt;=$B$6,ABS(E519)+0.000000001&gt;=$D$6),1,0),"n.a.")</x:f>
        <x:v>0</x:v>
      </x:c>
      <x:c r="H519" s="2" t="n">
        <x:f>IF(ISNUMBER(E519),SIGN(E519),"n.a.")</x:f>
        <x:v>-1</x:v>
      </x:c>
      <x:c r="I519" s="2" t="n">
        <x:f>IF(NOT(ISNUMBER(G519)),"n.a.",IF(G519=0,0,IF(AND(B519=B505,A519=EDATE(A505,1),H519=H505,ISNUMBER(I505)),I505+1,1)))</x:f>
        <x:v>0</x:v>
      </x:c>
      <x:c r="J519" s="2" t="n">
        <x:f>IF(ISNUMBER(F519),IF(AND(ABS(F519)+0.00000000001&gt;=$B$7,ABS(E519)+0.000000001&gt;=$D$7),1,0),"n.a.")</x:f>
        <x:v>0</x:v>
      </x:c>
      <x:c r="K519" s="2" t="str">
        <x:f>IF(NOT(ISNUMBER(F519)),"No evaluable",IF(OR(J519=1,I519&gt;=$B$8),"Prioridad",IF(G519=1,"Observar","Sin umbral")))</x:f>
        <x:v>Sin umbral</x:v>
      </x:c>
      <x:c r="L519" s="2" t="str">
        <x:f>IF(K519="No evaluable","Faltan datos",IF(J519=1,"Magnitud",IF(I519&gt;=$B$8,"Persistencia",IF(G519=1,"Cambio del mes","Sin umbral"))))</x:f>
        <x:v>Sin umbral</x:v>
      </x:c>
      <x:c r="M519" s="2" t="n">
        <x:f>ROW()-40</x:f>
        <x:v>479</x:v>
      </x:c>
    </x:row>
    <x:row r="520" ht="48" customHeight="1">
      <x:c r="A520" s="4" t="n">
        <x:v>45962</x:v>
      </x:c>
      <x:c r="B520" s="32" t="str">
        <x:v>Servicios públicos y transporte: agua y transporte en GBA</x:v>
      </x:c>
      <x:c r="C520" s="10" t="n">
        <x:f>IF(ISNUMBER('Actividades'!F657),'Actividades'!F657,"n.a.")</x:f>
        <x:v>71.71094722222223</x:v>
      </x:c>
      <x:c r="D520" s="10" t="n">
        <x:f>IF(ISNUMBER('Actividades'!G657),'Actividades'!G657,"n.a.")</x:f>
        <x:v>74.77258888888888</x:v>
      </x:c>
      <x:c r="E520" s="10" t="n">
        <x:f>IF(AND(ISNUMBER(C520),ISNUMBER(D520),C520&gt;=0,D520&gt;0),C520-D520,"n.a.")</x:f>
        <x:v>-3.0616416666666453</x:v>
      </x:c>
      <x:c r="F520" s="12" t="n">
        <x:f>IF(ISNUMBER(E520),E520/D520,"n.a.")</x:f>
        <x:v>-0.040946043358431876</x:v>
      </x:c>
      <x:c r="G520" s="2" t="n">
        <x:f>IF(ISNUMBER(F520),IF(AND(ABS(F520)+0.00000000001&gt;=$B$6,ABS(E520)+0.000000001&gt;=$D$6),1,0),"n.a.")</x:f>
        <x:v>0</x:v>
      </x:c>
      <x:c r="H520" s="2" t="n">
        <x:f>IF(ISNUMBER(E520),SIGN(E520),"n.a.")</x:f>
        <x:v>-1</x:v>
      </x:c>
      <x:c r="I520" s="2" t="n">
        <x:f>IF(NOT(ISNUMBER(G520)),"n.a.",IF(G520=0,0,IF(AND(B520=B506,A520=EDATE(A506,1),H520=H506,ISNUMBER(I506)),I506+1,1)))</x:f>
        <x:v>0</x:v>
      </x:c>
      <x:c r="J520" s="2" t="n">
        <x:f>IF(ISNUMBER(F520),IF(AND(ABS(F520)+0.00000000001&gt;=$B$7,ABS(E520)+0.000000001&gt;=$D$7),1,0),"n.a.")</x:f>
        <x:v>0</x:v>
      </x:c>
      <x:c r="K520" s="2" t="str">
        <x:f>IF(NOT(ISNUMBER(F520)),"No evaluable",IF(OR(J520=1,I520&gt;=$B$8),"Prioridad",IF(G520=1,"Observar","Sin umbral")))</x:f>
        <x:v>Sin umbral</x:v>
      </x:c>
      <x:c r="L520" s="2" t="str">
        <x:f>IF(K520="No evaluable","Faltan datos",IF(J520=1,"Magnitud",IF(I520&gt;=$B$8,"Persistencia",IF(G520=1,"Cambio del mes","Sin umbral"))))</x:f>
        <x:v>Sin umbral</x:v>
      </x:c>
      <x:c r="M520" s="2" t="n">
        <x:f>ROW()-40</x:f>
        <x:v>480</x:v>
      </x:c>
    </x:row>
    <x:row r="521" ht="48" customHeight="1">
      <x:c r="A521" s="4" t="n">
        <x:v>45962</x:v>
      </x:c>
      <x:c r="B521" s="32" t="str">
        <x:v>Industria automotriz</x:v>
      </x:c>
      <x:c r="C521" s="10" t="n">
        <x:f>IF(ISNUMBER('Actividades'!F658),'Actividades'!F658,"n.a.")</x:f>
        <x:v>41.784724999999995</x:v>
      </x:c>
      <x:c r="D521" s="10" t="n">
        <x:f>IF(ISNUMBER('Actividades'!G658),'Actividades'!G658,"n.a.")</x:f>
        <x:v>45.94604583333333</x:v>
      </x:c>
      <x:c r="E521" s="10" t="n">
        <x:f>IF(AND(ISNUMBER(C521),ISNUMBER(D521),C521&gt;=0,D521&gt;0),C521-D521,"n.a.")</x:f>
        <x:v>-4.161320833333335</x:v>
      </x:c>
      <x:c r="F521" s="12" t="n">
        <x:f>IF(ISNUMBER(E521),E521/D521,"n.a.")</x:f>
        <x:v>-0.09056972711924524</x:v>
      </x:c>
      <x:c r="G521" s="2" t="n">
        <x:f>IF(ISNUMBER(F521),IF(AND(ABS(F521)+0.00000000001&gt;=$B$6,ABS(E521)+0.000000001&gt;=$D$6),1,0),"n.a.")</x:f>
        <x:v>0</x:v>
      </x:c>
      <x:c r="H521" s="2" t="n">
        <x:f>IF(ISNUMBER(E521),SIGN(E521),"n.a.")</x:f>
        <x:v>-1</x:v>
      </x:c>
      <x:c r="I521" s="2" t="n">
        <x:f>IF(NOT(ISNUMBER(G521)),"n.a.",IF(G521=0,0,IF(AND(B521=B507,A521=EDATE(A507,1),H521=H507,ISNUMBER(I507)),I507+1,1)))</x:f>
        <x:v>0</x:v>
      </x:c>
      <x:c r="J521" s="2" t="n">
        <x:f>IF(ISNUMBER(F521),IF(AND(ABS(F521)+0.00000000001&gt;=$B$7,ABS(E521)+0.000000001&gt;=$D$7),1,0),"n.a.")</x:f>
        <x:v>0</x:v>
      </x:c>
      <x:c r="K521" s="2" t="str">
        <x:f>IF(NOT(ISNUMBER(F521)),"No evaluable",IF(OR(J521=1,I521&gt;=$B$8),"Prioridad",IF(G521=1,"Observar","Sin umbral")))</x:f>
        <x:v>Sin umbral</x:v>
      </x:c>
      <x:c r="L521" s="2" t="str">
        <x:f>IF(K521="No evaluable","Faltan datos",IF(J521=1,"Magnitud",IF(I521&gt;=$B$8,"Persistencia",IF(G521=1,"Cambio del mes","Sin umbral"))))</x:f>
        <x:v>Sin umbral</x:v>
      </x:c>
      <x:c r="M521" s="2" t="n">
        <x:f>ROW()-40</x:f>
        <x:v>481</x:v>
      </x:c>
    </x:row>
    <x:row r="522" ht="48" customHeight="1">
      <x:c r="A522" s="4" t="n">
        <x:v>45962</x:v>
      </x:c>
      <x:c r="B522" s="32" t="str">
        <x:v>Derivados de petróleo</x:v>
      </x:c>
      <x:c r="C522" s="10" t="n">
        <x:f>IF(ISNUMBER('Actividades'!F659),'Actividades'!F659,"n.a.")</x:f>
        <x:v>157.05166527777777</x:v>
      </x:c>
      <x:c r="D522" s="10" t="n">
        <x:f>IF(ISNUMBER('Actividades'!G659),'Actividades'!G659,"n.a.")</x:f>
        <x:v>165.5309777777778</x:v>
      </x:c>
      <x:c r="E522" s="10" t="n">
        <x:f>IF(AND(ISNUMBER(C522),ISNUMBER(D522),C522&gt;=0,D522&gt;0),C522-D522,"n.a.")</x:f>
        <x:v>-8.47931250000002</x:v>
      </x:c>
      <x:c r="F522" s="12" t="n">
        <x:f>IF(ISNUMBER(E522),E522/D522,"n.a.")</x:f>
        <x:v>-0.051224928492740116</x:v>
      </x:c>
      <x:c r="G522" s="2" t="n">
        <x:f>IF(ISNUMBER(F522),IF(AND(ABS(F522)+0.00000000001&gt;=$B$6,ABS(E522)+0.000000001&gt;=$D$6),1,0),"n.a.")</x:f>
        <x:v>0</x:v>
      </x:c>
      <x:c r="H522" s="2" t="n">
        <x:f>IF(ISNUMBER(E522),SIGN(E522),"n.a.")</x:f>
        <x:v>-1</x:v>
      </x:c>
      <x:c r="I522" s="2" t="n">
        <x:f>IF(NOT(ISNUMBER(G522)),"n.a.",IF(G522=0,0,IF(AND(B522=B508,A522=EDATE(A508,1),H522=H508,ISNUMBER(I508)),I508+1,1)))</x:f>
        <x:v>0</x:v>
      </x:c>
      <x:c r="J522" s="2" t="n">
        <x:f>IF(ISNUMBER(F522),IF(AND(ABS(F522)+0.00000000001&gt;=$B$7,ABS(E522)+0.000000001&gt;=$D$7),1,0),"n.a.")</x:f>
        <x:v>0</x:v>
      </x:c>
      <x:c r="K522" s="2" t="str">
        <x:f>IF(NOT(ISNUMBER(F522)),"No evaluable",IF(OR(J522=1,I522&gt;=$B$8),"Prioridad",IF(G522=1,"Observar","Sin umbral")))</x:f>
        <x:v>Sin umbral</x:v>
      </x:c>
      <x:c r="L522" s="2" t="str">
        <x:f>IF(K522="No evaluable","Faltan datos",IF(J522=1,"Magnitud",IF(I522&gt;=$B$8,"Persistencia",IF(G522=1,"Cambio del mes","Sin umbral"))))</x:f>
        <x:v>Sin umbral</x:v>
      </x:c>
      <x:c r="M522" s="2" t="n">
        <x:f>ROW()-40</x:f>
        <x:v>482</x:v>
      </x:c>
    </x:row>
    <x:row r="523" ht="48" customHeight="1">
      <x:c r="A523" s="4" t="n">
        <x:v>45962</x:v>
      </x:c>
      <x:c r="B523" s="32" t="str">
        <x:v>Construcción: elaboración de cemento y canteras</x:v>
      </x:c>
      <x:c r="C523" s="10" t="n">
        <x:f>IF(ISNUMBER('Actividades'!F660),'Actividades'!F660,"n.a.")</x:f>
        <x:v>157.78632083333335</x:v>
      </x:c>
      <x:c r="D523" s="10" t="n">
        <x:f>IF(ISNUMBER('Actividades'!G660),'Actividades'!G660,"n.a.")</x:f>
        <x:v>163.7979222222222</x:v>
      </x:c>
      <x:c r="E523" s="10" t="n">
        <x:f>IF(AND(ISNUMBER(C523),ISNUMBER(D523),C523&gt;=0,D523&gt;0),C523-D523,"n.a.")</x:f>
        <x:v>-6.011601388888863</x:v>
      </x:c>
      <x:c r="F523" s="12" t="n">
        <x:f>IF(ISNUMBER(E523),E523/D523,"n.a.")</x:f>
        <x:v>-0.036701328730733306</x:v>
      </x:c>
      <x:c r="G523" s="2" t="n">
        <x:f>IF(ISNUMBER(F523),IF(AND(ABS(F523)+0.00000000001&gt;=$B$6,ABS(E523)+0.000000001&gt;=$D$6),1,0),"n.a.")</x:f>
        <x:v>0</x:v>
      </x:c>
      <x:c r="H523" s="2" t="n">
        <x:f>IF(ISNUMBER(E523),SIGN(E523),"n.a.")</x:f>
        <x:v>-1</x:v>
      </x:c>
      <x:c r="I523" s="2" t="n">
        <x:f>IF(NOT(ISNUMBER(G523)),"n.a.",IF(G523=0,0,IF(AND(B523=B509,A523=EDATE(A509,1),H523=H509,ISNUMBER(I509)),I509+1,1)))</x:f>
        <x:v>0</x:v>
      </x:c>
      <x:c r="J523" s="2" t="n">
        <x:f>IF(ISNUMBER(F523),IF(AND(ABS(F523)+0.00000000001&gt;=$B$7,ABS(E523)+0.000000001&gt;=$D$7),1,0),"n.a.")</x:f>
        <x:v>0</x:v>
      </x:c>
      <x:c r="K523" s="2" t="str">
        <x:f>IF(NOT(ISNUMBER(F523)),"No evaluable",IF(OR(J523=1,I523&gt;=$B$8),"Prioridad",IF(G523=1,"Observar","Sin umbral")))</x:f>
        <x:v>Sin umbral</x:v>
      </x:c>
      <x:c r="L523" s="2" t="str">
        <x:f>IF(K523="No evaluable","Faltan datos",IF(J523=1,"Magnitud",IF(I523&gt;=$B$8,"Persistencia",IF(G523=1,"Cambio del mes","Sin umbral"))))</x:f>
        <x:v>Sin umbral</x:v>
      </x:c>
      <x:c r="M523" s="2" t="n">
        <x:f>ROW()-40</x:f>
        <x:v>483</x:v>
      </x:c>
    </x:row>
    <x:row r="524" ht="48" customHeight="1">
      <x:c r="A524" s="4" t="n">
        <x:v>45962</x:v>
      </x:c>
      <x:c r="B524" s="32" t="str">
        <x:v>Madera y papel</x:v>
      </x:c>
      <x:c r="C524" s="10" t="n">
        <x:f>IF(ISNUMBER('Actividades'!F661),'Actividades'!F661,"n.a.")</x:f>
        <x:v>102.12523055555556</x:v>
      </x:c>
      <x:c r="D524" s="10" t="n">
        <x:f>IF(ISNUMBER('Actividades'!G661),'Actividades'!G661,"n.a.")</x:f>
        <x:v>108.59955416666666</x:v>
      </x:c>
      <x:c r="E524" s="10" t="n">
        <x:f>IF(AND(ISNUMBER(C524),ISNUMBER(D524),C524&gt;=0,D524&gt;0),C524-D524,"n.a.")</x:f>
        <x:v>-6.474323611111103</x:v>
      </x:c>
      <x:c r="F524" s="12" t="n">
        <x:f>IF(ISNUMBER(E524),E524/D524,"n.a.")</x:f>
        <x:v>-0.05961648425531308</x:v>
      </x:c>
      <x:c r="G524" s="2" t="n">
        <x:f>IF(ISNUMBER(F524),IF(AND(ABS(F524)+0.00000000001&gt;=$B$6,ABS(E524)+0.000000001&gt;=$D$6),1,0),"n.a.")</x:f>
        <x:v>0</x:v>
      </x:c>
      <x:c r="H524" s="2" t="n">
        <x:f>IF(ISNUMBER(E524),SIGN(E524),"n.a.")</x:f>
        <x:v>-1</x:v>
      </x:c>
      <x:c r="I524" s="2" t="n">
        <x:f>IF(NOT(ISNUMBER(G524)),"n.a.",IF(G524=0,0,IF(AND(B524=B510,A524=EDATE(A510,1),H524=H510,ISNUMBER(I510)),I510+1,1)))</x:f>
        <x:v>0</x:v>
      </x:c>
      <x:c r="J524" s="2" t="n">
        <x:f>IF(ISNUMBER(F524),IF(AND(ABS(F524)+0.00000000001&gt;=$B$7,ABS(E524)+0.000000001&gt;=$D$7),1,0),"n.a.")</x:f>
        <x:v>0</x:v>
      </x:c>
      <x:c r="K524" s="2" t="str">
        <x:f>IF(NOT(ISNUMBER(F524)),"No evaluable",IF(OR(J524=1,I524&gt;=$B$8),"Prioridad",IF(G524=1,"Observar","Sin umbral")))</x:f>
        <x:v>Sin umbral</x:v>
      </x:c>
      <x:c r="L524" s="2" t="str">
        <x:f>IF(K524="No evaluable","Faltan datos",IF(J524=1,"Magnitud",IF(I524&gt;=$B$8,"Persistencia",IF(G524=1,"Cambio del mes","Sin umbral"))))</x:f>
        <x:v>Sin umbral</x:v>
      </x:c>
      <x:c r="M524" s="2" t="n">
        <x:f>ROW()-40</x:f>
        <x:v>484</x:v>
      </x:c>
    </x:row>
    <x:row r="525" ht="48" customHeight="1">
      <x:c r="A525" s="4" t="n">
        <x:v>45962</x:v>
      </x:c>
      <x:c r="B525" s="32" t="str">
        <x:v>Productos metálicos no automotores</x:v>
      </x:c>
      <x:c r="C525" s="10" t="n">
        <x:f>IF(ISNUMBER('Actividades'!F662),'Actividades'!F662,"n.a.")</x:f>
        <x:v>41.39710138888889</x:v>
      </x:c>
      <x:c r="D525" s="10" t="n">
        <x:f>IF(ISNUMBER('Actividades'!G662),'Actividades'!G662,"n.a.")</x:f>
        <x:v>44.630475000000004</x:v>
      </x:c>
      <x:c r="E525" s="10" t="n">
        <x:f>IF(AND(ISNUMBER(C525),ISNUMBER(D525),C525&gt;=0,D525&gt;0),C525-D525,"n.a.")</x:f>
        <x:v>-3.233373611111112</x:v>
      </x:c>
      <x:c r="F525" s="12" t="n">
        <x:f>IF(ISNUMBER(E525),E525/D525,"n.a.")</x:f>
        <x:v>-0.07244766297269101</x:v>
      </x:c>
      <x:c r="G525" s="2" t="n">
        <x:f>IF(ISNUMBER(F525),IF(AND(ABS(F525)+0.00000000001&gt;=$B$6,ABS(E525)+0.000000001&gt;=$D$6),1,0),"n.a.")</x:f>
        <x:v>0</x:v>
      </x:c>
      <x:c r="H525" s="2" t="n">
        <x:f>IF(ISNUMBER(E525),SIGN(E525),"n.a.")</x:f>
        <x:v>-1</x:v>
      </x:c>
      <x:c r="I525" s="2" t="n">
        <x:f>IF(NOT(ISNUMBER(G525)),"n.a.",IF(G525=0,0,IF(AND(B525=B511,A525=EDATE(A511,1),H525=H511,ISNUMBER(I511)),I511+1,1)))</x:f>
        <x:v>0</x:v>
      </x:c>
      <x:c r="J525" s="2" t="n">
        <x:f>IF(ISNUMBER(F525),IF(AND(ABS(F525)+0.00000000001&gt;=$B$7,ABS(E525)+0.000000001&gt;=$D$7),1,0),"n.a.")</x:f>
        <x:v>0</x:v>
      </x:c>
      <x:c r="K525" s="2" t="str">
        <x:f>IF(NOT(ISNUMBER(F525)),"No evaluable",IF(OR(J525=1,I525&gt;=$B$8),"Prioridad",IF(G525=1,"Observar","Sin umbral")))</x:f>
        <x:v>Sin umbral</x:v>
      </x:c>
      <x:c r="L525" s="2" t="str">
        <x:f>IF(K525="No evaluable","Faltan datos",IF(J525=1,"Magnitud",IF(I525&gt;=$B$8,"Persistencia",IF(G525=1,"Cambio del mes","Sin umbral"))))</x:f>
        <x:v>Sin umbral</x:v>
      </x:c>
      <x:c r="M525" s="2" t="n">
        <x:f>ROW()-40</x:f>
        <x:v>485</x:v>
      </x:c>
    </x:row>
    <x:row r="526" ht="48" customHeight="1">
      <x:c r="A526" s="4" t="n">
        <x:v>45962</x:v>
      </x:c>
      <x:c r="B526" s="32" t="str">
        <x:v>Gran siderurgia</x:v>
      </x:c>
      <x:c r="C526" s="10" t="n">
        <x:f>IF(ISNUMBER('Actividades'!F663),'Actividades'!F663,"n.a.")</x:f>
        <x:v>280.3812277777778</x:v>
      </x:c>
      <x:c r="D526" s="10" t="n">
        <x:f>IF(ISNUMBER('Actividades'!G663),'Actividades'!G663,"n.a.")</x:f>
        <x:v>292.23266944444447</x:v>
      </x:c>
      <x:c r="E526" s="10" t="n">
        <x:f>IF(AND(ISNUMBER(C526),ISNUMBER(D526),C526&gt;=0,D526&gt;0),C526-D526,"n.a.")</x:f>
        <x:v>-11.851441666666688</x:v>
      </x:c>
      <x:c r="F526" s="12" t="n">
        <x:f>IF(ISNUMBER(E526),E526/D526,"n.a.")</x:f>
        <x:v>-0.04055481438539072</x:v>
      </x:c>
      <x:c r="G526" s="2" t="n">
        <x:f>IF(ISNUMBER(F526),IF(AND(ABS(F526)+0.00000000001&gt;=$B$6,ABS(E526)+0.000000001&gt;=$D$6),1,0),"n.a.")</x:f>
        <x:v>0</x:v>
      </x:c>
      <x:c r="H526" s="2" t="n">
        <x:f>IF(ISNUMBER(E526),SIGN(E526),"n.a.")</x:f>
        <x:v>-1</x:v>
      </x:c>
      <x:c r="I526" s="2" t="n">
        <x:f>IF(NOT(ISNUMBER(G526)),"n.a.",IF(G526=0,0,IF(AND(B526=B512,A526=EDATE(A512,1),H526=H512,ISNUMBER(I512)),I512+1,1)))</x:f>
        <x:v>0</x:v>
      </x:c>
      <x:c r="J526" s="2" t="n">
        <x:f>IF(ISNUMBER(F526),IF(AND(ABS(F526)+0.00000000001&gt;=$B$7,ABS(E526)+0.000000001&gt;=$D$7),1,0),"n.a.")</x:f>
        <x:v>0</x:v>
      </x:c>
      <x:c r="K526" s="2" t="str">
        <x:f>IF(NOT(ISNUMBER(F526)),"No evaluable",IF(OR(J526=1,I526&gt;=$B$8),"Prioridad",IF(G526=1,"Observar","Sin umbral")))</x:f>
        <x:v>Sin umbral</x:v>
      </x:c>
      <x:c r="L526" s="2" t="str">
        <x:f>IF(K526="No evaluable","Faltan datos",IF(J526=1,"Magnitud",IF(I526&gt;=$B$8,"Persistencia",IF(G526=1,"Cambio del mes","Sin umbral"))))</x:f>
        <x:v>Sin umbral</x:v>
      </x:c>
      <x:c r="M526" s="2" t="n">
        <x:f>ROW()-40</x:f>
        <x:v>486</x:v>
      </x:c>
    </x:row>
    <x:row r="527" ht="48" customHeight="1">
      <x:c r="A527" s="4" t="n">
        <x:v>45962</x:v>
      </x:c>
      <x:c r="B527" s="32" t="str">
        <x:v>Industria textil</x:v>
      </x:c>
      <x:c r="C527" s="10" t="n">
        <x:f>IF(ISNUMBER('Actividades'!F664),'Actividades'!F664,"n.a.")</x:f>
        <x:v>43.06385416666667</x:v>
      </x:c>
      <x:c r="D527" s="10" t="n">
        <x:f>IF(ISNUMBER('Actividades'!G664),'Actividades'!G664,"n.a.")</x:f>
        <x:v>60.52300138888889</x:v>
      </x:c>
      <x:c r="E527" s="10" t="n">
        <x:f>IF(AND(ISNUMBER(C527),ISNUMBER(D527),C527&gt;=0,D527&gt;0),C527-D527,"n.a.")</x:f>
        <x:v>-17.45914722222222</x:v>
      </x:c>
      <x:c r="F527" s="12" t="n">
        <x:f>IF(ISNUMBER(E527),E527/D527,"n.a.")</x:f>
        <x:v>-0.2884712724347384</x:v>
      </x:c>
      <x:c r="G527" s="2" t="n">
        <x:f>IF(ISNUMBER(F527),IF(AND(ABS(F527)+0.00000000001&gt;=$B$6,ABS(E527)+0.000000001&gt;=$D$6),1,0),"n.a.")</x:f>
        <x:v>1</x:v>
      </x:c>
      <x:c r="H527" s="2" t="n">
        <x:f>IF(ISNUMBER(E527),SIGN(E527),"n.a.")</x:f>
        <x:v>-1</x:v>
      </x:c>
      <x:c r="I527" s="2" t="n">
        <x:f>IF(NOT(ISNUMBER(G527)),"n.a.",IF(G527=0,0,IF(AND(B527=B513,A527=EDATE(A513,1),H527=H513,ISNUMBER(I513)),I513+1,1)))</x:f>
        <x:v>3</x:v>
      </x:c>
      <x:c r="J527" s="2" t="n">
        <x:f>IF(ISNUMBER(F527),IF(AND(ABS(F527)+0.00000000001&gt;=$B$7,ABS(E527)+0.000000001&gt;=$D$7),1,0),"n.a.")</x:f>
        <x:v>1</x:v>
      </x:c>
      <x:c r="K527" s="2" t="str">
        <x:f>IF(NOT(ISNUMBER(F527)),"No evaluable",IF(OR(J527=1,I527&gt;=$B$8),"Prioridad",IF(G527=1,"Observar","Sin umbral")))</x:f>
        <x:v>Prioridad</x:v>
      </x:c>
      <x:c r="L527" s="2" t="str">
        <x:f>IF(K527="No evaluable","Faltan datos",IF(J527=1,"Magnitud",IF(I527&gt;=$B$8,"Persistencia",IF(G527=1,"Cambio del mes","Sin umbral"))))</x:f>
        <x:v>Magnitud</x:v>
      </x:c>
      <x:c r="M527" s="2" t="n">
        <x:f>ROW()-40</x:f>
        <x:v>487</x:v>
      </x:c>
    </x:row>
    <x:row r="528" ht="48" customHeight="1">
      <x:c r="A528" s="4" t="n">
        <x:v>45962</x:v>
      </x:c>
      <x:c r="B528" s="32" t="str">
        <x:v>Químicas, caucho, plástico y otros minerales no metálicos</x:v>
      </x:c>
      <x:c r="C528" s="10" t="n">
        <x:f>IF(ISNUMBER('Actividades'!F665),'Actividades'!F665,"n.a.")</x:f>
        <x:v>310.2079027777778</x:v>
      </x:c>
      <x:c r="D528" s="10" t="n">
        <x:f>IF(ISNUMBER('Actividades'!G665),'Actividades'!G665,"n.a.")</x:f>
        <x:v>317.8063902777778</x:v>
      </x:c>
      <x:c r="E528" s="10" t="n">
        <x:f>IF(AND(ISNUMBER(C528),ISNUMBER(D528),C528&gt;=0,D528&gt;0),C528-D528,"n.a.")</x:f>
        <x:v>-7.598487499999976</x:v>
      </x:c>
      <x:c r="F528" s="12" t="n">
        <x:f>IF(ISNUMBER(E528),E528/D528,"n.a.")</x:f>
        <x:v>-0.023909171534777948</x:v>
      </x:c>
      <x:c r="G528" s="2" t="n">
        <x:f>IF(ISNUMBER(F528),IF(AND(ABS(F528)+0.00000000001&gt;=$B$6,ABS(E528)+0.000000001&gt;=$D$6),1,0),"n.a.")</x:f>
        <x:v>0</x:v>
      </x:c>
      <x:c r="H528" s="2" t="n">
        <x:f>IF(ISNUMBER(E528),SIGN(E528),"n.a.")</x:f>
        <x:v>-1</x:v>
      </x:c>
      <x:c r="I528" s="2" t="n">
        <x:f>IF(NOT(ISNUMBER(G528)),"n.a.",IF(G528=0,0,IF(AND(B528=B514,A528=EDATE(A514,1),H528=H514,ISNUMBER(I514)),I514+1,1)))</x:f>
        <x:v>0</x:v>
      </x:c>
      <x:c r="J528" s="2" t="n">
        <x:f>IF(ISNUMBER(F528),IF(AND(ABS(F528)+0.00000000001&gt;=$B$7,ABS(E528)+0.000000001&gt;=$D$7),1,0),"n.a.")</x:f>
        <x:v>0</x:v>
      </x:c>
      <x:c r="K528" s="2" t="str">
        <x:f>IF(NOT(ISNUMBER(F528)),"No evaluable",IF(OR(J528=1,I528&gt;=$B$8),"Prioridad",IF(G528=1,"Observar","Sin umbral")))</x:f>
        <x:v>Sin umbral</x:v>
      </x:c>
      <x:c r="L528" s="2" t="str">
        <x:f>IF(K528="No evaluable","Faltan datos",IF(J528=1,"Magnitud",IF(I528&gt;=$B$8,"Persistencia",IF(G528=1,"Cambio del mes","Sin umbral"))))</x:f>
        <x:v>Sin umbral</x:v>
      </x:c>
      <x:c r="M528" s="2" t="n">
        <x:f>ROW()-40</x:f>
        <x:v>488</x:v>
      </x:c>
    </x:row>
    <x:row r="529" ht="48" customHeight="1">
      <x:c r="A529" s="4" t="n">
        <x:v>45962</x:v>
      </x:c>
      <x:c r="B529" s="32" t="str">
        <x:v>Extracción de minerales</x:v>
      </x:c>
      <x:c r="C529" s="10" t="n">
        <x:f>IF(ISNUMBER('Actividades'!F666),'Actividades'!F666,"n.a.")</x:f>
        <x:v>25.129833333333334</x:v>
      </x:c>
      <x:c r="D529" s="10" t="n">
        <x:f>IF(ISNUMBER('Actividades'!G666),'Actividades'!G666,"n.a.")</x:f>
        <x:v>24.36278472222222</x:v>
      </x:c>
      <x:c r="E529" s="10" t="n">
        <x:f>IF(AND(ISNUMBER(C529),ISNUMBER(D529),C529&gt;=0,D529&gt;0),C529-D529,"n.a.")</x:f>
        <x:v>0.7670486111111146</x:v>
      </x:c>
      <x:c r="F529" s="12" t="n">
        <x:f>IF(ISNUMBER(E529),E529/D529,"n.a.")</x:f>
        <x:v>0.031484439067897704</x:v>
      </x:c>
      <x:c r="G529" s="2" t="n">
        <x:f>IF(ISNUMBER(F529),IF(AND(ABS(F529)+0.00000000001&gt;=$B$6,ABS(E529)+0.000000001&gt;=$D$6),1,0),"n.a.")</x:f>
        <x:v>0</x:v>
      </x:c>
      <x:c r="H529" s="2" t="n">
        <x:f>IF(ISNUMBER(E529),SIGN(E529),"n.a.")</x:f>
        <x:v>1</x:v>
      </x:c>
      <x:c r="I529" s="2" t="n">
        <x:f>IF(NOT(ISNUMBER(G529)),"n.a.",IF(G529=0,0,IF(AND(B529=B515,A529=EDATE(A515,1),H529=H515,ISNUMBER(I515)),I515+1,1)))</x:f>
        <x:v>0</x:v>
      </x:c>
      <x:c r="J529" s="2" t="n">
        <x:f>IF(ISNUMBER(F529),IF(AND(ABS(F529)+0.00000000001&gt;=$B$7,ABS(E529)+0.000000001&gt;=$D$7),1,0),"n.a.")</x:f>
        <x:v>0</x:v>
      </x:c>
      <x:c r="K529" s="2" t="str">
        <x:f>IF(NOT(ISNUMBER(F529)),"No evaluable",IF(OR(J529=1,I529&gt;=$B$8),"Prioridad",IF(G529=1,"Observar","Sin umbral")))</x:f>
        <x:v>Sin umbral</x:v>
      </x:c>
      <x:c r="L529" s="2" t="str">
        <x:f>IF(K529="No evaluable","Faltan datos",IF(J529=1,"Magnitud",IF(I529&gt;=$B$8,"Persistencia",IF(G529=1,"Cambio del mes","Sin umbral"))))</x:f>
        <x:v>Sin umbral</x:v>
      </x:c>
      <x:c r="M529" s="2" t="n">
        <x:f>ROW()-40</x:f>
        <x:v>489</x:v>
      </x:c>
    </x:row>
    <x:row r="530" ht="48" customHeight="1">
      <x:c r="A530" s="4" t="n">
        <x:v>45962</x:v>
      </x:c>
      <x:c r="B530" s="32" t="str">
        <x:v>Extracción de petróleo</x:v>
      </x:c>
      <x:c r="C530" s="10" t="n">
        <x:f>IF(ISNUMBER('Actividades'!F667),'Actividades'!F667,"n.a.")</x:f>
        <x:v>167.11116805555557</x:v>
      </x:c>
      <x:c r="D530" s="10" t="n">
        <x:f>IF(ISNUMBER('Actividades'!G667),'Actividades'!G667,"n.a.")</x:f>
        <x:v>146.2797388888889</x:v>
      </x:c>
      <x:c r="E530" s="10" t="n">
        <x:f>IF(AND(ISNUMBER(C530),ISNUMBER(D530),C530&gt;=0,D530&gt;0),C530-D530,"n.a.")</x:f>
        <x:v>20.83142916666668</x:v>
      </x:c>
      <x:c r="F530" s="12" t="n">
        <x:f>IF(ISNUMBER(E530),E530/D530,"n.a.")</x:f>
        <x:v>0.14240816482787005</x:v>
      </x:c>
      <x:c r="G530" s="2" t="n">
        <x:f>IF(ISNUMBER(F530),IF(AND(ABS(F530)+0.00000000001&gt;=$B$6,ABS(E530)+0.000000001&gt;=$D$6),1,0),"n.a.")</x:f>
        <x:v>1</x:v>
      </x:c>
      <x:c r="H530" s="2" t="n">
        <x:f>IF(ISNUMBER(E530),SIGN(E530),"n.a.")</x:f>
        <x:v>1</x:v>
      </x:c>
      <x:c r="I530" s="2" t="n">
        <x:f>IF(NOT(ISNUMBER(G530)),"n.a.",IF(G530=0,0,IF(AND(B530=B516,A530=EDATE(A516,1),H530=H516,ISNUMBER(I516)),I516+1,1)))</x:f>
        <x:v>1</x:v>
      </x:c>
      <x:c r="J530" s="2" t="n">
        <x:f>IF(ISNUMBER(F530),IF(AND(ABS(F530)+0.00000000001&gt;=$B$7,ABS(E530)+0.000000001&gt;=$D$7),1,0),"n.a.")</x:f>
        <x:v>0</x:v>
      </x:c>
      <x:c r="K530" s="2" t="str">
        <x:f>IF(NOT(ISNUMBER(F530)),"No evaluable",IF(OR(J530=1,I530&gt;=$B$8),"Prioridad",IF(G530=1,"Observar","Sin umbral")))</x:f>
        <x:v>Observar</x:v>
      </x:c>
      <x:c r="L530" s="2" t="str">
        <x:f>IF(K530="No evaluable","Faltan datos",IF(J530=1,"Magnitud",IF(I530&gt;=$B$8,"Persistencia",IF(G530=1,"Cambio del mes","Sin umbral"))))</x:f>
        <x:v>Cambio del mes</x:v>
      </x:c>
      <x:c r="M530" s="2" t="n">
        <x:f>ROW()-40</x:f>
        <x:v>490</x:v>
      </x:c>
    </x:row>
    <x:row r="531" ht="48" customHeight="1">
      <x:c r="A531" s="4" t="n">
        <x:v>45992</x:v>
      </x:c>
      <x:c r="B531" s="32" t="str">
        <x:v>Cargas y puertos</x:v>
      </x:c>
      <x:c r="C531" s="10" t="n">
        <x:f>IF(ISNUMBER('Actividades'!F668),'Actividades'!F668,"n.a.")</x:f>
        <x:v>12.022153225806452</x:v>
      </x:c>
      <x:c r="D531" s="10" t="n">
        <x:f>IF(ISNUMBER('Actividades'!G668),'Actividades'!G668,"n.a.")</x:f>
        <x:v>10.494112903225806</x:v>
      </x:c>
      <x:c r="E531" s="10" t="n">
        <x:f>IF(AND(ISNUMBER(C531),ISNUMBER(D531),C531&gt;=0,D531&gt;0),C531-D531,"n.a.")</x:f>
        <x:v>1.5280403225806456</x:v>
      </x:c>
      <x:c r="F531" s="12" t="n">
        <x:f>IF(ISNUMBER(E531),E531/D531,"n.a.")</x:f>
        <x:v>0.14560928938652243</x:v>
      </x:c>
      <x:c r="G531" s="2" t="n">
        <x:f>IF(ISNUMBER(F531),IF(AND(ABS(F531)+0.00000000001&gt;=$B$6,ABS(E531)+0.000000001&gt;=$D$6),1,0),"n.a.")</x:f>
        <x:v>0</x:v>
      </x:c>
      <x:c r="H531" s="2" t="n">
        <x:f>IF(ISNUMBER(E531),SIGN(E531),"n.a.")</x:f>
        <x:v>1</x:v>
      </x:c>
      <x:c r="I531" s="2" t="n">
        <x:f>IF(NOT(ISNUMBER(G531)),"n.a.",IF(G531=0,0,IF(AND(B531=B517,A531=EDATE(A517,1),H531=H517,ISNUMBER(I517)),I517+1,1)))</x:f>
        <x:v>0</x:v>
      </x:c>
      <x:c r="J531" s="2" t="n">
        <x:f>IF(ISNUMBER(F531),IF(AND(ABS(F531)+0.00000000001&gt;=$B$7,ABS(E531)+0.000000001&gt;=$D$7),1,0),"n.a.")</x:f>
        <x:v>0</x:v>
      </x:c>
      <x:c r="K531" s="2" t="str">
        <x:f>IF(NOT(ISNUMBER(F531)),"No evaluable",IF(OR(J531=1,I531&gt;=$B$8),"Prioridad",IF(G531=1,"Observar","Sin umbral")))</x:f>
        <x:v>Sin umbral</x:v>
      </x:c>
      <x:c r="L531" s="2" t="str">
        <x:f>IF(K531="No evaluable","Faltan datos",IF(J531=1,"Magnitud",IF(I531&gt;=$B$8,"Persistencia",IF(G531=1,"Cambio del mes","Sin umbral"))))</x:f>
        <x:v>Sin umbral</x:v>
      </x:c>
      <x:c r="M531" s="2" t="n">
        <x:f>ROW()-40</x:f>
        <x:v>491</x:v>
      </x:c>
    </x:row>
    <x:row r="532" ht="48" customHeight="1">
      <x:c r="A532" s="4" t="n">
        <x:v>45992</x:v>
      </x:c>
      <x:c r="B532" s="32" t="str">
        <x:v>Comercio y servicios: principalmente supermercados y centros comerciales</x:v>
      </x:c>
      <x:c r="C532" s="10" t="n">
        <x:f>IF(ISNUMBER('Actividades'!F669),'Actividades'!F669,"n.a.")</x:f>
        <x:v>57.798616935483864</x:v>
      </x:c>
      <x:c r="D532" s="10" t="n">
        <x:f>IF(ISNUMBER('Actividades'!G669),'Actividades'!G669,"n.a.")</x:f>
        <x:v>49.697990591397854</x:v>
      </x:c>
      <x:c r="E532" s="10" t="n">
        <x:f>IF(AND(ISNUMBER(C532),ISNUMBER(D532),C532&gt;=0,D532&gt;0),C532-D532,"n.a.")</x:f>
        <x:v>8.10062634408601</x:v>
      </x:c>
      <x:c r="F532" s="12" t="n">
        <x:f>IF(ISNUMBER(E532),E532/D532,"n.a.")</x:f>
        <x:v>0.1629970597943679</x:v>
      </x:c>
      <x:c r="G532" s="2" t="n">
        <x:f>IF(ISNUMBER(F532),IF(AND(ABS(F532)+0.00000000001&gt;=$B$6,ABS(E532)+0.000000001&gt;=$D$6),1,0),"n.a.")</x:f>
        <x:v>1</x:v>
      </x:c>
      <x:c r="H532" s="2" t="n">
        <x:f>IF(ISNUMBER(E532),SIGN(E532),"n.a.")</x:f>
        <x:v>1</x:v>
      </x:c>
      <x:c r="I532" s="2" t="n">
        <x:f>IF(NOT(ISNUMBER(G532)),"n.a.",IF(G532=0,0,IF(AND(B532=B518,A532=EDATE(A518,1),H532=H518,ISNUMBER(I518)),I518+1,1)))</x:f>
        <x:v>1</x:v>
      </x:c>
      <x:c r="J532" s="2" t="n">
        <x:f>IF(ISNUMBER(F532),IF(AND(ABS(F532)+0.00000000001&gt;=$B$7,ABS(E532)+0.000000001&gt;=$D$7),1,0),"n.a.")</x:f>
        <x:v>0</x:v>
      </x:c>
      <x:c r="K532" s="2" t="str">
        <x:f>IF(NOT(ISNUMBER(F532)),"No evaluable",IF(OR(J532=1,I532&gt;=$B$8),"Prioridad",IF(G532=1,"Observar","Sin umbral")))</x:f>
        <x:v>Observar</x:v>
      </x:c>
      <x:c r="L532" s="2" t="str">
        <x:f>IF(K532="No evaluable","Faltan datos",IF(J532=1,"Magnitud",IF(I532&gt;=$B$8,"Persistencia",IF(G532=1,"Cambio del mes","Sin umbral"))))</x:f>
        <x:v>Cambio del mes</x:v>
      </x:c>
      <x:c r="M532" s="2" t="n">
        <x:f>ROW()-40</x:f>
        <x:v>492</x:v>
      </x:c>
    </x:row>
    <x:row r="533" ht="48" customHeight="1">
      <x:c r="A533" s="4" t="n">
        <x:v>45992</x:v>
      </x:c>
      <x:c r="B533" s="32" t="str">
        <x:v>Alimentación y artículos de consumo masivo</x:v>
      </x:c>
      <x:c r="C533" s="10" t="n">
        <x:f>IF(ISNUMBER('Actividades'!F670),'Actividades'!F670,"n.a.")</x:f>
        <x:v>275.7989247311828</x:v>
      </x:c>
      <x:c r="D533" s="10" t="n">
        <x:f>IF(ISNUMBER('Actividades'!G670),'Actividades'!G670,"n.a.")</x:f>
        <x:v>265.6165067204301</x:v>
      </x:c>
      <x:c r="E533" s="10" t="n">
        <x:f>IF(AND(ISNUMBER(C533),ISNUMBER(D533),C533&gt;=0,D533&gt;0),C533-D533,"n.a.")</x:f>
        <x:v>10.182418010752713</x:v>
      </x:c>
      <x:c r="F533" s="12" t="n">
        <x:f>IF(ISNUMBER(E533),E533/D533,"n.a.")</x:f>
        <x:v>0.038335034732875375</x:v>
      </x:c>
      <x:c r="G533" s="2" t="n">
        <x:f>IF(ISNUMBER(F533),IF(AND(ABS(F533)+0.00000000001&gt;=$B$6,ABS(E533)+0.000000001&gt;=$D$6),1,0),"n.a.")</x:f>
        <x:v>0</x:v>
      </x:c>
      <x:c r="H533" s="2" t="n">
        <x:f>IF(ISNUMBER(E533),SIGN(E533),"n.a.")</x:f>
        <x:v>1</x:v>
      </x:c>
      <x:c r="I533" s="2" t="n">
        <x:f>IF(NOT(ISNUMBER(G533)),"n.a.",IF(G533=0,0,IF(AND(B533=B519,A533=EDATE(A519,1),H533=H519,ISNUMBER(I519)),I519+1,1)))</x:f>
        <x:v>0</x:v>
      </x:c>
      <x:c r="J533" s="2" t="n">
        <x:f>IF(ISNUMBER(F533),IF(AND(ABS(F533)+0.00000000001&gt;=$B$7,ABS(E533)+0.000000001&gt;=$D$7),1,0),"n.a.")</x:f>
        <x:v>0</x:v>
      </x:c>
      <x:c r="K533" s="2" t="str">
        <x:f>IF(NOT(ISNUMBER(F533)),"No evaluable",IF(OR(J533=1,I533&gt;=$B$8),"Prioridad",IF(G533=1,"Observar","Sin umbral")))</x:f>
        <x:v>Sin umbral</x:v>
      </x:c>
      <x:c r="L533" s="2" t="str">
        <x:f>IF(K533="No evaluable","Faltan datos",IF(J533=1,"Magnitud",IF(I533&gt;=$B$8,"Persistencia",IF(G533=1,"Cambio del mes","Sin umbral"))))</x:f>
        <x:v>Sin umbral</x:v>
      </x:c>
      <x:c r="M533" s="2" t="n">
        <x:f>ROW()-40</x:f>
        <x:v>493</x:v>
      </x:c>
    </x:row>
    <x:row r="534" ht="48" customHeight="1">
      <x:c r="A534" s="4" t="n">
        <x:v>45992</x:v>
      </x:c>
      <x:c r="B534" s="32" t="str">
        <x:v>Servicios públicos y transporte: agua y transporte en GBA</x:v>
      </x:c>
      <x:c r="C534" s="10" t="n">
        <x:f>IF(ISNUMBER('Actividades'!F671),'Actividades'!F671,"n.a.")</x:f>
        <x:v>72.76983467741937</x:v>
      </x:c>
      <x:c r="D534" s="10" t="n">
        <x:f>IF(ISNUMBER('Actividades'!G671),'Actividades'!G671,"n.a.")</x:f>
        <x:v>74.30209139784945</x:v>
      </x:c>
      <x:c r="E534" s="10" t="n">
        <x:f>IF(AND(ISNUMBER(C534),ISNUMBER(D534),C534&gt;=0,D534&gt;0),C534-D534,"n.a.")</x:f>
        <x:v>-1.5322567204300839</x:v>
      </x:c>
      <x:c r="F534" s="12" t="n">
        <x:f>IF(ISNUMBER(E534),E534/D534,"n.a.")</x:f>
        <x:v>-0.02062198642869469</x:v>
      </x:c>
      <x:c r="G534" s="2" t="n">
        <x:f>IF(ISNUMBER(F534),IF(AND(ABS(F534)+0.00000000001&gt;=$B$6,ABS(E534)+0.000000001&gt;=$D$6),1,0),"n.a.")</x:f>
        <x:v>0</x:v>
      </x:c>
      <x:c r="H534" s="2" t="n">
        <x:f>IF(ISNUMBER(E534),SIGN(E534),"n.a.")</x:f>
        <x:v>-1</x:v>
      </x:c>
      <x:c r="I534" s="2" t="n">
        <x:f>IF(NOT(ISNUMBER(G534)),"n.a.",IF(G534=0,0,IF(AND(B534=B520,A534=EDATE(A520,1),H534=H520,ISNUMBER(I520)),I520+1,1)))</x:f>
        <x:v>0</x:v>
      </x:c>
      <x:c r="J534" s="2" t="n">
        <x:f>IF(ISNUMBER(F534),IF(AND(ABS(F534)+0.00000000001&gt;=$B$7,ABS(E534)+0.000000001&gt;=$D$7),1,0),"n.a.")</x:f>
        <x:v>0</x:v>
      </x:c>
      <x:c r="K534" s="2" t="str">
        <x:f>IF(NOT(ISNUMBER(F534)),"No evaluable",IF(OR(J534=1,I534&gt;=$B$8),"Prioridad",IF(G534=1,"Observar","Sin umbral")))</x:f>
        <x:v>Sin umbral</x:v>
      </x:c>
      <x:c r="L534" s="2" t="str">
        <x:f>IF(K534="No evaluable","Faltan datos",IF(J534=1,"Magnitud",IF(I534&gt;=$B$8,"Persistencia",IF(G534=1,"Cambio del mes","Sin umbral"))))</x:f>
        <x:v>Sin umbral</x:v>
      </x:c>
      <x:c r="M534" s="2" t="n">
        <x:f>ROW()-40</x:f>
        <x:v>494</x:v>
      </x:c>
    </x:row>
    <x:row r="535" ht="48" customHeight="1">
      <x:c r="A535" s="4" t="n">
        <x:v>45992</x:v>
      </x:c>
      <x:c r="B535" s="32" t="str">
        <x:v>Industria automotriz</x:v>
      </x:c>
      <x:c r="C535" s="10" t="n">
        <x:f>IF(ISNUMBER('Actividades'!F672),'Actividades'!F672,"n.a.")</x:f>
        <x:v>37.71857795698925</x:v>
      </x:c>
      <x:c r="D535" s="10" t="n">
        <x:f>IF(ISNUMBER('Actividades'!G672),'Actividades'!G672,"n.a.")</x:f>
        <x:v>38.89055107526882</x:v>
      </x:c>
      <x:c r="E535" s="10" t="n">
        <x:f>IF(AND(ISNUMBER(C535),ISNUMBER(D535),C535&gt;=0,D535&gt;0),C535-D535,"n.a.")</x:f>
        <x:v>-1.171973118279567</x:v>
      </x:c>
      <x:c r="F535" s="12" t="n">
        <x:f>IF(ISNUMBER(E535),E535/D535,"n.a.")</x:f>
        <x:v>-0.030135163577685718</x:v>
      </x:c>
      <x:c r="G535" s="2" t="n">
        <x:f>IF(ISNUMBER(F535),IF(AND(ABS(F535)+0.00000000001&gt;=$B$6,ABS(E535)+0.000000001&gt;=$D$6),1,0),"n.a.")</x:f>
        <x:v>0</x:v>
      </x:c>
      <x:c r="H535" s="2" t="n">
        <x:f>IF(ISNUMBER(E535),SIGN(E535),"n.a.")</x:f>
        <x:v>-1</x:v>
      </x:c>
      <x:c r="I535" s="2" t="n">
        <x:f>IF(NOT(ISNUMBER(G535)),"n.a.",IF(G535=0,0,IF(AND(B535=B521,A535=EDATE(A521,1),H535=H521,ISNUMBER(I521)),I521+1,1)))</x:f>
        <x:v>0</x:v>
      </x:c>
      <x:c r="J535" s="2" t="n">
        <x:f>IF(ISNUMBER(F535),IF(AND(ABS(F535)+0.00000000001&gt;=$B$7,ABS(E535)+0.000000001&gt;=$D$7),1,0),"n.a.")</x:f>
        <x:v>0</x:v>
      </x:c>
      <x:c r="K535" s="2" t="str">
        <x:f>IF(NOT(ISNUMBER(F535)),"No evaluable",IF(OR(J535=1,I535&gt;=$B$8),"Prioridad",IF(G535=1,"Observar","Sin umbral")))</x:f>
        <x:v>Sin umbral</x:v>
      </x:c>
      <x:c r="L535" s="2" t="str">
        <x:f>IF(K535="No evaluable","Faltan datos",IF(J535=1,"Magnitud",IF(I535&gt;=$B$8,"Persistencia",IF(G535=1,"Cambio del mes","Sin umbral"))))</x:f>
        <x:v>Sin umbral</x:v>
      </x:c>
      <x:c r="M535" s="2" t="n">
        <x:f>ROW()-40</x:f>
        <x:v>495</x:v>
      </x:c>
    </x:row>
    <x:row r="536" ht="48" customHeight="1">
      <x:c r="A536" s="4" t="n">
        <x:v>45992</x:v>
      </x:c>
      <x:c r="B536" s="32" t="str">
        <x:v>Derivados de petróleo</x:v>
      </x:c>
      <x:c r="C536" s="10" t="n">
        <x:f>IF(ISNUMBER('Actividades'!F673),'Actividades'!F673,"n.a.")</x:f>
        <x:v>146.027688172043</x:v>
      </x:c>
      <x:c r="D536" s="10" t="n">
        <x:f>IF(ISNUMBER('Actividades'!G673),'Actividades'!G673,"n.a.")</x:f>
        <x:v>155.36422177419357</x:v>
      </x:c>
      <x:c r="E536" s="10" t="n">
        <x:f>IF(AND(ISNUMBER(C536),ISNUMBER(D536),C536&gt;=0,D536&gt;0),C536-D536,"n.a.")</x:f>
        <x:v>-9.336533602150553</x:v>
      </x:c>
      <x:c r="F536" s="12" t="n">
        <x:f>IF(ISNUMBER(E536),E536/D536,"n.a.")</x:f>
        <x:v>-0.06009448955191418</x:v>
      </x:c>
      <x:c r="G536" s="2" t="n">
        <x:f>IF(ISNUMBER(F536),IF(AND(ABS(F536)+0.00000000001&gt;=$B$6,ABS(E536)+0.000000001&gt;=$D$6),1,0),"n.a.")</x:f>
        <x:v>0</x:v>
      </x:c>
      <x:c r="H536" s="2" t="n">
        <x:f>IF(ISNUMBER(E536),SIGN(E536),"n.a.")</x:f>
        <x:v>-1</x:v>
      </x:c>
      <x:c r="I536" s="2" t="n">
        <x:f>IF(NOT(ISNUMBER(G536)),"n.a.",IF(G536=0,0,IF(AND(B536=B522,A536=EDATE(A522,1),H536=H522,ISNUMBER(I522)),I522+1,1)))</x:f>
        <x:v>0</x:v>
      </x:c>
      <x:c r="J536" s="2" t="n">
        <x:f>IF(ISNUMBER(F536),IF(AND(ABS(F536)+0.00000000001&gt;=$B$7,ABS(E536)+0.000000001&gt;=$D$7),1,0),"n.a.")</x:f>
        <x:v>0</x:v>
      </x:c>
      <x:c r="K536" s="2" t="str">
        <x:f>IF(NOT(ISNUMBER(F536)),"No evaluable",IF(OR(J536=1,I536&gt;=$B$8),"Prioridad",IF(G536=1,"Observar","Sin umbral")))</x:f>
        <x:v>Sin umbral</x:v>
      </x:c>
      <x:c r="L536" s="2" t="str">
        <x:f>IF(K536="No evaluable","Faltan datos",IF(J536=1,"Magnitud",IF(I536&gt;=$B$8,"Persistencia",IF(G536=1,"Cambio del mes","Sin umbral"))))</x:f>
        <x:v>Sin umbral</x:v>
      </x:c>
      <x:c r="M536" s="2" t="n">
        <x:f>ROW()-40</x:f>
        <x:v>496</x:v>
      </x:c>
    </x:row>
    <x:row r="537" ht="48" customHeight="1">
      <x:c r="A537" s="4" t="n">
        <x:v>45992</x:v>
      </x:c>
      <x:c r="B537" s="32" t="str">
        <x:v>Construcción: elaboración de cemento y canteras</x:v>
      </x:c>
      <x:c r="C537" s="10" t="n">
        <x:f>IF(ISNUMBER('Actividades'!F674),'Actividades'!F674,"n.a.")</x:f>
        <x:v>142.4472244623656</x:v>
      </x:c>
      <x:c r="D537" s="10" t="n">
        <x:f>IF(ISNUMBER('Actividades'!G674),'Actividades'!G674,"n.a.")</x:f>
        <x:v>145.2862392473118</x:v>
      </x:c>
      <x:c r="E537" s="10" t="n">
        <x:f>IF(AND(ISNUMBER(C537),ISNUMBER(D537),C537&gt;=0,D537&gt;0),C537-D537,"n.a.")</x:f>
        <x:v>-2.8390147849462153</x:v>
      </x:c>
      <x:c r="F537" s="12" t="n">
        <x:f>IF(ISNUMBER(E537),E537/D537,"n.a.")</x:f>
        <x:v>-0.019540837450637945</x:v>
      </x:c>
      <x:c r="G537" s="2" t="n">
        <x:f>IF(ISNUMBER(F537),IF(AND(ABS(F537)+0.00000000001&gt;=$B$6,ABS(E537)+0.000000001&gt;=$D$6),1,0),"n.a.")</x:f>
        <x:v>0</x:v>
      </x:c>
      <x:c r="H537" s="2" t="n">
        <x:f>IF(ISNUMBER(E537),SIGN(E537),"n.a.")</x:f>
        <x:v>-1</x:v>
      </x:c>
      <x:c r="I537" s="2" t="n">
        <x:f>IF(NOT(ISNUMBER(G537)),"n.a.",IF(G537=0,0,IF(AND(B537=B523,A537=EDATE(A523,1),H537=H523,ISNUMBER(I523)),I523+1,1)))</x:f>
        <x:v>0</x:v>
      </x:c>
      <x:c r="J537" s="2" t="n">
        <x:f>IF(ISNUMBER(F537),IF(AND(ABS(F537)+0.00000000001&gt;=$B$7,ABS(E537)+0.000000001&gt;=$D$7),1,0),"n.a.")</x:f>
        <x:v>0</x:v>
      </x:c>
      <x:c r="K537" s="2" t="str">
        <x:f>IF(NOT(ISNUMBER(F537)),"No evaluable",IF(OR(J537=1,I537&gt;=$B$8),"Prioridad",IF(G537=1,"Observar","Sin umbral")))</x:f>
        <x:v>Sin umbral</x:v>
      </x:c>
      <x:c r="L537" s="2" t="str">
        <x:f>IF(K537="No evaluable","Faltan datos",IF(J537=1,"Magnitud",IF(I537&gt;=$B$8,"Persistencia",IF(G537=1,"Cambio del mes","Sin umbral"))))</x:f>
        <x:v>Sin umbral</x:v>
      </x:c>
      <x:c r="M537" s="2" t="n">
        <x:f>ROW()-40</x:f>
        <x:v>497</x:v>
      </x:c>
    </x:row>
    <x:row r="538" ht="48" customHeight="1">
      <x:c r="A538" s="4" t="n">
        <x:v>45992</x:v>
      </x:c>
      <x:c r="B538" s="32" t="str">
        <x:v>Madera y papel</x:v>
      </x:c>
      <x:c r="C538" s="10" t="n">
        <x:f>IF(ISNUMBER('Actividades'!F675),'Actividades'!F675,"n.a.")</x:f>
        <x:v>100.32076478494623</x:v>
      </x:c>
      <x:c r="D538" s="10" t="n">
        <x:f>IF(ISNUMBER('Actividades'!G675),'Actividades'!G675,"n.a.")</x:f>
        <x:v>102.41868951612904</x:v>
      </x:c>
      <x:c r="E538" s="10" t="n">
        <x:f>IF(AND(ISNUMBER(C538),ISNUMBER(D538),C538&gt;=0,D538&gt;0),C538-D538,"n.a.")</x:f>
        <x:v>-2.0979247311828004</x:v>
      </x:c>
      <x:c r="F538" s="12" t="n">
        <x:f>IF(ISNUMBER(E538),E538/D538,"n.a.")</x:f>
        <x:v>-0.02048380760478698</x:v>
      </x:c>
      <x:c r="G538" s="2" t="n">
        <x:f>IF(ISNUMBER(F538),IF(AND(ABS(F538)+0.00000000001&gt;=$B$6,ABS(E538)+0.000000001&gt;=$D$6),1,0),"n.a.")</x:f>
        <x:v>0</x:v>
      </x:c>
      <x:c r="H538" s="2" t="n">
        <x:f>IF(ISNUMBER(E538),SIGN(E538),"n.a.")</x:f>
        <x:v>-1</x:v>
      </x:c>
      <x:c r="I538" s="2" t="n">
        <x:f>IF(NOT(ISNUMBER(G538)),"n.a.",IF(G538=0,0,IF(AND(B538=B524,A538=EDATE(A524,1),H538=H524,ISNUMBER(I524)),I524+1,1)))</x:f>
        <x:v>0</x:v>
      </x:c>
      <x:c r="J538" s="2" t="n">
        <x:f>IF(ISNUMBER(F538),IF(AND(ABS(F538)+0.00000000001&gt;=$B$7,ABS(E538)+0.000000001&gt;=$D$7),1,0),"n.a.")</x:f>
        <x:v>0</x:v>
      </x:c>
      <x:c r="K538" s="2" t="str">
        <x:f>IF(NOT(ISNUMBER(F538)),"No evaluable",IF(OR(J538=1,I538&gt;=$B$8),"Prioridad",IF(G538=1,"Observar","Sin umbral")))</x:f>
        <x:v>Sin umbral</x:v>
      </x:c>
      <x:c r="L538" s="2" t="str">
        <x:f>IF(K538="No evaluable","Faltan datos",IF(J538=1,"Magnitud",IF(I538&gt;=$B$8,"Persistencia",IF(G538=1,"Cambio del mes","Sin umbral"))))</x:f>
        <x:v>Sin umbral</x:v>
      </x:c>
      <x:c r="M538" s="2" t="n">
        <x:f>ROW()-40</x:f>
        <x:v>498</x:v>
      </x:c>
    </x:row>
    <x:row r="539" ht="48" customHeight="1">
      <x:c r="A539" s="4" t="n">
        <x:v>45992</x:v>
      </x:c>
      <x:c r="B539" s="32" t="str">
        <x:v>Productos metálicos no automotores</x:v>
      </x:c>
      <x:c r="C539" s="10" t="n">
        <x:f>IF(ISNUMBER('Actividades'!F676),'Actividades'!F676,"n.a.")</x:f>
        <x:v>33.93799462365591</x:v>
      </x:c>
      <x:c r="D539" s="10" t="n">
        <x:f>IF(ISNUMBER('Actividades'!G676),'Actividades'!G676,"n.a.")</x:f>
        <x:v>40.96575268817204</x:v>
      </x:c>
      <x:c r="E539" s="10" t="n">
        <x:f>IF(AND(ISNUMBER(C539),ISNUMBER(D539),C539&gt;=0,D539&gt;0),C539-D539,"n.a.")</x:f>
        <x:v>-7.027758064516128</x:v>
      </x:c>
      <x:c r="F539" s="12" t="n">
        <x:f>IF(ISNUMBER(E539),E539/D539,"n.a.")</x:f>
        <x:v>-0.17155203074165018</x:v>
      </x:c>
      <x:c r="G539" s="2" t="n">
        <x:f>IF(ISNUMBER(F539),IF(AND(ABS(F539)+0.00000000001&gt;=$B$6,ABS(E539)+0.000000001&gt;=$D$6),1,0),"n.a.")</x:f>
        <x:v>1</x:v>
      </x:c>
      <x:c r="H539" s="2" t="n">
        <x:f>IF(ISNUMBER(E539),SIGN(E539),"n.a.")</x:f>
        <x:v>-1</x:v>
      </x:c>
      <x:c r="I539" s="2" t="n">
        <x:f>IF(NOT(ISNUMBER(G539)),"n.a.",IF(G539=0,0,IF(AND(B539=B525,A539=EDATE(A525,1),H539=H525,ISNUMBER(I525)),I525+1,1)))</x:f>
        <x:v>1</x:v>
      </x:c>
      <x:c r="J539" s="2" t="n">
        <x:f>IF(ISNUMBER(F539),IF(AND(ABS(F539)+0.00000000001&gt;=$B$7,ABS(E539)+0.000000001&gt;=$D$7),1,0),"n.a.")</x:f>
        <x:v>0</x:v>
      </x:c>
      <x:c r="K539" s="2" t="str">
        <x:f>IF(NOT(ISNUMBER(F539)),"No evaluable",IF(OR(J539=1,I539&gt;=$B$8),"Prioridad",IF(G539=1,"Observar","Sin umbral")))</x:f>
        <x:v>Observar</x:v>
      </x:c>
      <x:c r="L539" s="2" t="str">
        <x:f>IF(K539="No evaluable","Faltan datos",IF(J539=1,"Magnitud",IF(I539&gt;=$B$8,"Persistencia",IF(G539=1,"Cambio del mes","Sin umbral"))))</x:f>
        <x:v>Cambio del mes</x:v>
      </x:c>
      <x:c r="M539" s="2" t="n">
        <x:f>ROW()-40</x:f>
        <x:v>499</x:v>
      </x:c>
    </x:row>
    <x:row r="540" ht="48" customHeight="1">
      <x:c r="A540" s="4" t="n">
        <x:v>45992</x:v>
      </x:c>
      <x:c r="B540" s="32" t="str">
        <x:v>Gran siderurgia</x:v>
      </x:c>
      <x:c r="C540" s="10" t="n">
        <x:f>IF(ISNUMBER('Actividades'!F677),'Actividades'!F677,"n.a.")</x:f>
        <x:v>205.39506048387096</x:v>
      </x:c>
      <x:c r="D540" s="10" t="n">
        <x:f>IF(ISNUMBER('Actividades'!G677),'Actividades'!G677,"n.a.")</x:f>
        <x:v>156.9784879032258</x:v>
      </x:c>
      <x:c r="E540" s="10" t="n">
        <x:f>IF(AND(ISNUMBER(C540),ISNUMBER(D540),C540&gt;=0,D540&gt;0),C540-D540,"n.a.")</x:f>
        <x:v>48.41657258064515</x:v>
      </x:c>
      <x:c r="F540" s="12" t="n">
        <x:f>IF(ISNUMBER(E540),E540/D540,"n.a.")</x:f>
        <x:v>0.30842807334526645</x:v>
      </x:c>
      <x:c r="G540" s="2" t="n">
        <x:f>IF(ISNUMBER(F540),IF(AND(ABS(F540)+0.00000000001&gt;=$B$6,ABS(E540)+0.000000001&gt;=$D$6),1,0),"n.a.")</x:f>
        <x:v>1</x:v>
      </x:c>
      <x:c r="H540" s="2" t="n">
        <x:f>IF(ISNUMBER(E540),SIGN(E540),"n.a.")</x:f>
        <x:v>1</x:v>
      </x:c>
      <x:c r="I540" s="2" t="n">
        <x:f>IF(NOT(ISNUMBER(G540)),"n.a.",IF(G540=0,0,IF(AND(B540=B526,A540=EDATE(A526,1),H540=H526,ISNUMBER(I526)),I526+1,1)))</x:f>
        <x:v>1</x:v>
      </x:c>
      <x:c r="J540" s="2" t="n">
        <x:f>IF(ISNUMBER(F540),IF(AND(ABS(F540)+0.00000000001&gt;=$B$7,ABS(E540)+0.000000001&gt;=$D$7),1,0),"n.a.")</x:f>
        <x:v>1</x:v>
      </x:c>
      <x:c r="K540" s="2" t="str">
        <x:f>IF(NOT(ISNUMBER(F540)),"No evaluable",IF(OR(J540=1,I540&gt;=$B$8),"Prioridad",IF(G540=1,"Observar","Sin umbral")))</x:f>
        <x:v>Prioridad</x:v>
      </x:c>
      <x:c r="L540" s="2" t="str">
        <x:f>IF(K540="No evaluable","Faltan datos",IF(J540=1,"Magnitud",IF(I540&gt;=$B$8,"Persistencia",IF(G540=1,"Cambio del mes","Sin umbral"))))</x:f>
        <x:v>Magnitud</x:v>
      </x:c>
      <x:c r="M540" s="2" t="n">
        <x:f>ROW()-40</x:f>
        <x:v>500</x:v>
      </x:c>
    </x:row>
    <x:row r="541" ht="48" customHeight="1">
      <x:c r="A541" s="4" t="n">
        <x:v>45992</x:v>
      </x:c>
      <x:c r="B541" s="32" t="str">
        <x:v>Industria textil</x:v>
      </x:c>
      <x:c r="C541" s="10" t="n">
        <x:f>IF(ISNUMBER('Actividades'!F678),'Actividades'!F678,"n.a.")</x:f>
        <x:v>31.13709811827957</x:v>
      </x:c>
      <x:c r="D541" s="10" t="n">
        <x:f>IF(ISNUMBER('Actividades'!G678),'Actividades'!G678,"n.a.")</x:f>
        <x:v>47.334602150537634</x:v>
      </x:c>
      <x:c r="E541" s="10" t="n">
        <x:f>IF(AND(ISNUMBER(C541),ISNUMBER(D541),C541&gt;=0,D541&gt;0),C541-D541,"n.a.")</x:f>
        <x:v>-16.197504032258063</x:v>
      </x:c>
      <x:c r="F541" s="12" t="n">
        <x:f>IF(ISNUMBER(E541),E541/D541,"n.a.")</x:f>
        <x:v>-0.3421916166263603</x:v>
      </x:c>
      <x:c r="G541" s="2" t="n">
        <x:f>IF(ISNUMBER(F541),IF(AND(ABS(F541)+0.00000000001&gt;=$B$6,ABS(E541)+0.000000001&gt;=$D$6),1,0),"n.a.")</x:f>
        <x:v>1</x:v>
      </x:c>
      <x:c r="H541" s="2" t="n">
        <x:f>IF(ISNUMBER(E541),SIGN(E541),"n.a.")</x:f>
        <x:v>-1</x:v>
      </x:c>
      <x:c r="I541" s="2" t="n">
        <x:f>IF(NOT(ISNUMBER(G541)),"n.a.",IF(G541=0,0,IF(AND(B541=B527,A541=EDATE(A527,1),H541=H527,ISNUMBER(I527)),I527+1,1)))</x:f>
        <x:v>4</x:v>
      </x:c>
      <x:c r="J541" s="2" t="n">
        <x:f>IF(ISNUMBER(F541),IF(AND(ABS(F541)+0.00000000001&gt;=$B$7,ABS(E541)+0.000000001&gt;=$D$7),1,0),"n.a.")</x:f>
        <x:v>1</x:v>
      </x:c>
      <x:c r="K541" s="2" t="str">
        <x:f>IF(NOT(ISNUMBER(F541)),"No evaluable",IF(OR(J541=1,I541&gt;=$B$8),"Prioridad",IF(G541=1,"Observar","Sin umbral")))</x:f>
        <x:v>Prioridad</x:v>
      </x:c>
      <x:c r="L541" s="2" t="str">
        <x:f>IF(K541="No evaluable","Faltan datos",IF(J541=1,"Magnitud",IF(I541&gt;=$B$8,"Persistencia",IF(G541=1,"Cambio del mes","Sin umbral"))))</x:f>
        <x:v>Magnitud</x:v>
      </x:c>
      <x:c r="M541" s="2" t="n">
        <x:f>ROW()-40</x:f>
        <x:v>501</x:v>
      </x:c>
    </x:row>
    <x:row r="542" ht="48" customHeight="1">
      <x:c r="A542" s="4" t="n">
        <x:v>45992</x:v>
      </x:c>
      <x:c r="B542" s="32" t="str">
        <x:v>Químicas, caucho, plástico y otros minerales no metálicos</x:v>
      </x:c>
      <x:c r="C542" s="10" t="n">
        <x:f>IF(ISNUMBER('Actividades'!F679),'Actividades'!F679,"n.a.")</x:f>
        <x:v>324.21772849462366</x:v>
      </x:c>
      <x:c r="D542" s="10" t="n">
        <x:f>IF(ISNUMBER('Actividades'!G679),'Actividades'!G679,"n.a.")</x:f>
        <x:v>304.2543051075269</x:v>
      </x:c>
      <x:c r="E542" s="10" t="n">
        <x:f>IF(AND(ISNUMBER(C542),ISNUMBER(D542),C542&gt;=0,D542&gt;0),C542-D542,"n.a.")</x:f>
        <x:v>19.963423387096782</x:v>
      </x:c>
      <x:c r="F542" s="12" t="n">
        <x:f>IF(ISNUMBER(E542),E542/D542,"n.a.")</x:f>
        <x:v>0.06561426757804292</x:v>
      </x:c>
      <x:c r="G542" s="2" t="n">
        <x:f>IF(ISNUMBER(F542),IF(AND(ABS(F542)+0.00000000001&gt;=$B$6,ABS(E542)+0.000000001&gt;=$D$6),1,0),"n.a.")</x:f>
        <x:v>0</x:v>
      </x:c>
      <x:c r="H542" s="2" t="n">
        <x:f>IF(ISNUMBER(E542),SIGN(E542),"n.a.")</x:f>
        <x:v>1</x:v>
      </x:c>
      <x:c r="I542" s="2" t="n">
        <x:f>IF(NOT(ISNUMBER(G542)),"n.a.",IF(G542=0,0,IF(AND(B542=B528,A542=EDATE(A528,1),H542=H528,ISNUMBER(I528)),I528+1,1)))</x:f>
        <x:v>0</x:v>
      </x:c>
      <x:c r="J542" s="2" t="n">
        <x:f>IF(ISNUMBER(F542),IF(AND(ABS(F542)+0.00000000001&gt;=$B$7,ABS(E542)+0.000000001&gt;=$D$7),1,0),"n.a.")</x:f>
        <x:v>0</x:v>
      </x:c>
      <x:c r="K542" s="2" t="str">
        <x:f>IF(NOT(ISNUMBER(F542)),"No evaluable",IF(OR(J542=1,I542&gt;=$B$8),"Prioridad",IF(G542=1,"Observar","Sin umbral")))</x:f>
        <x:v>Sin umbral</x:v>
      </x:c>
      <x:c r="L542" s="2" t="str">
        <x:f>IF(K542="No evaluable","Faltan datos",IF(J542=1,"Magnitud",IF(I542&gt;=$B$8,"Persistencia",IF(G542=1,"Cambio del mes","Sin umbral"))))</x:f>
        <x:v>Sin umbral</x:v>
      </x:c>
      <x:c r="M542" s="2" t="n">
        <x:f>ROW()-40</x:f>
        <x:v>502</x:v>
      </x:c>
    </x:row>
    <x:row r="543" ht="48" customHeight="1">
      <x:c r="A543" s="4" t="n">
        <x:v>45992</x:v>
      </x:c>
      <x:c r="B543" s="32" t="str">
        <x:v>Extracción de minerales</x:v>
      </x:c>
      <x:c r="C543" s="10" t="n">
        <x:f>IF(ISNUMBER('Actividades'!F680),'Actividades'!F680,"n.a.")</x:f>
        <x:v>24.229885752688173</x:v>
      </x:c>
      <x:c r="D543" s="10" t="n">
        <x:f>IF(ISNUMBER('Actividades'!G680),'Actividades'!G680,"n.a.")</x:f>
        <x:v>24.296728494623654</x:v>
      </x:c>
      <x:c r="E543" s="10" t="n">
        <x:f>IF(AND(ISNUMBER(C543),ISNUMBER(D543),C543&gt;=0,D543&gt;0),C543-D543,"n.a.")</x:f>
        <x:v>-0.06684274193548134</x:v>
      </x:c>
      <x:c r="F543" s="12" t="n">
        <x:f>IF(ISNUMBER(E543),E543/D543,"n.a.")</x:f>
        <x:v>-0.0027511005010519094</x:v>
      </x:c>
      <x:c r="G543" s="2" t="n">
        <x:f>IF(ISNUMBER(F543),IF(AND(ABS(F543)+0.00000000001&gt;=$B$6,ABS(E543)+0.000000001&gt;=$D$6),1,0),"n.a.")</x:f>
        <x:v>0</x:v>
      </x:c>
      <x:c r="H543" s="2" t="n">
        <x:f>IF(ISNUMBER(E543),SIGN(E543),"n.a.")</x:f>
        <x:v>-1</x:v>
      </x:c>
      <x:c r="I543" s="2" t="n">
        <x:f>IF(NOT(ISNUMBER(G543)),"n.a.",IF(G543=0,0,IF(AND(B543=B529,A543=EDATE(A529,1),H543=H529,ISNUMBER(I529)),I529+1,1)))</x:f>
        <x:v>0</x:v>
      </x:c>
      <x:c r="J543" s="2" t="n">
        <x:f>IF(ISNUMBER(F543),IF(AND(ABS(F543)+0.00000000001&gt;=$B$7,ABS(E543)+0.000000001&gt;=$D$7),1,0),"n.a.")</x:f>
        <x:v>0</x:v>
      </x:c>
      <x:c r="K543" s="2" t="str">
        <x:f>IF(NOT(ISNUMBER(F543)),"No evaluable",IF(OR(J543=1,I543&gt;=$B$8),"Prioridad",IF(G543=1,"Observar","Sin umbral")))</x:f>
        <x:v>Sin umbral</x:v>
      </x:c>
      <x:c r="L543" s="2" t="str">
        <x:f>IF(K543="No evaluable","Faltan datos",IF(J543=1,"Magnitud",IF(I543&gt;=$B$8,"Persistencia",IF(G543=1,"Cambio del mes","Sin umbral"))))</x:f>
        <x:v>Sin umbral</x:v>
      </x:c>
      <x:c r="M543" s="2" t="n">
        <x:f>ROW()-40</x:f>
        <x:v>503</x:v>
      </x:c>
    </x:row>
    <x:row r="544" ht="48" customHeight="1">
      <x:c r="A544" s="4" t="n">
        <x:v>45992</x:v>
      </x:c>
      <x:c r="B544" s="32" t="str">
        <x:v>Extracción de petróleo</x:v>
      </x:c>
      <x:c r="C544" s="10" t="n">
        <x:f>IF(ISNUMBER('Actividades'!F681),'Actividades'!F681,"n.a.")</x:f>
        <x:v>149.98467741935485</x:v>
      </x:c>
      <x:c r="D544" s="10" t="n">
        <x:f>IF(ISNUMBER('Actividades'!G681),'Actividades'!G681,"n.a.")</x:f>
        <x:v>147.85826747311827</x:v>
      </x:c>
      <x:c r="E544" s="10" t="n">
        <x:f>IF(AND(ISNUMBER(C544),ISNUMBER(D544),C544&gt;=0,D544&gt;0),C544-D544,"n.a.")</x:f>
        <x:v>2.1264099462365778</x:v>
      </x:c>
      <x:c r="F544" s="12" t="n">
        <x:f>IF(ISNUMBER(E544),E544/D544,"n.a.")</x:f>
        <x:v>0.01438140715819746</x:v>
      </x:c>
      <x:c r="G544" s="2" t="n">
        <x:f>IF(ISNUMBER(F544),IF(AND(ABS(F544)+0.00000000001&gt;=$B$6,ABS(E544)+0.000000001&gt;=$D$6),1,0),"n.a.")</x:f>
        <x:v>0</x:v>
      </x:c>
      <x:c r="H544" s="2" t="n">
        <x:f>IF(ISNUMBER(E544),SIGN(E544),"n.a.")</x:f>
        <x:v>1</x:v>
      </x:c>
      <x:c r="I544" s="2" t="n">
        <x:f>IF(NOT(ISNUMBER(G544)),"n.a.",IF(G544=0,0,IF(AND(B544=B530,A544=EDATE(A530,1),H544=H530,ISNUMBER(I530)),I530+1,1)))</x:f>
        <x:v>0</x:v>
      </x:c>
      <x:c r="J544" s="2" t="n">
        <x:f>IF(ISNUMBER(F544),IF(AND(ABS(F544)+0.00000000001&gt;=$B$7,ABS(E544)+0.000000001&gt;=$D$7),1,0),"n.a.")</x:f>
        <x:v>0</x:v>
      </x:c>
      <x:c r="K544" s="2" t="str">
        <x:f>IF(NOT(ISNUMBER(F544)),"No evaluable",IF(OR(J544=1,I544&gt;=$B$8),"Prioridad",IF(G544=1,"Observar","Sin umbral")))</x:f>
        <x:v>Sin umbral</x:v>
      </x:c>
      <x:c r="L544" s="2" t="str">
        <x:f>IF(K544="No evaluable","Faltan datos",IF(J544=1,"Magnitud",IF(I544&gt;=$B$8,"Persistencia",IF(G544=1,"Cambio del mes","Sin umbral"))))</x:f>
        <x:v>Sin umbral</x:v>
      </x:c>
      <x:c r="M544" s="2" t="n">
        <x:f>ROW()-40</x:f>
        <x:v>504</x:v>
      </x:c>
    </x:row>
    <x:row r="545" ht="48" customHeight="1">
      <x:c r="A545" s="4" t="n">
        <x:v>46023</x:v>
      </x:c>
      <x:c r="B545" s="32" t="str">
        <x:v>Cargas y puertos</x:v>
      </x:c>
      <x:c r="C545" s="10" t="n">
        <x:f>IF(ISNUMBER('Actividades'!F682),'Actividades'!F682,"n.a.")</x:f>
        <x:v>11.815200268817204</x:v>
      </x:c>
      <x:c r="D545" s="10" t="n">
        <x:f>IF(ISNUMBER('Actividades'!G682),'Actividades'!G682,"n.a.")</x:f>
        <x:v>11.843099462365592</x:v>
      </x:c>
      <x:c r="E545" s="10" t="n">
        <x:f>IF(AND(ISNUMBER(C545),ISNUMBER(D545),C545&gt;=0,D545&gt;0),C545-D545,"n.a.")</x:f>
        <x:v>-0.027899193548387657</x:v>
      </x:c>
      <x:c r="F545" s="12" t="n">
        <x:f>IF(ISNUMBER(E545),E545/D545,"n.a.")</x:f>
        <x:v>-0.0023557341249260226</x:v>
      </x:c>
      <x:c r="G545" s="2" t="n">
        <x:f>IF(ISNUMBER(F545),IF(AND(ABS(F545)+0.00000000001&gt;=$B$6,ABS(E545)+0.000000001&gt;=$D$6),1,0),"n.a.")</x:f>
        <x:v>0</x:v>
      </x:c>
      <x:c r="H545" s="2" t="n">
        <x:f>IF(ISNUMBER(E545),SIGN(E545),"n.a.")</x:f>
        <x:v>-1</x:v>
      </x:c>
      <x:c r="I545" s="2" t="n">
        <x:f>IF(NOT(ISNUMBER(G545)),"n.a.",IF(G545=0,0,IF(AND(B545=B531,A545=EDATE(A531,1),H545=H531,ISNUMBER(I531)),I531+1,1)))</x:f>
        <x:v>0</x:v>
      </x:c>
      <x:c r="J545" s="2" t="n">
        <x:f>IF(ISNUMBER(F545),IF(AND(ABS(F545)+0.00000000001&gt;=$B$7,ABS(E545)+0.000000001&gt;=$D$7),1,0),"n.a.")</x:f>
        <x:v>0</x:v>
      </x:c>
      <x:c r="K545" s="2" t="str">
        <x:f>IF(NOT(ISNUMBER(F545)),"No evaluable",IF(OR(J545=1,I545&gt;=$B$8),"Prioridad",IF(G545=1,"Observar","Sin umbral")))</x:f>
        <x:v>Sin umbral</x:v>
      </x:c>
      <x:c r="L545" s="2" t="str">
        <x:f>IF(K545="No evaluable","Faltan datos",IF(J545=1,"Magnitud",IF(I545&gt;=$B$8,"Persistencia",IF(G545=1,"Cambio del mes","Sin umbral"))))</x:f>
        <x:v>Sin umbral</x:v>
      </x:c>
      <x:c r="M545" s="2" t="n">
        <x:f>ROW()-40</x:f>
        <x:v>505</x:v>
      </x:c>
    </x:row>
    <x:row r="546" ht="48" customHeight="1">
      <x:c r="A546" s="4" t="n">
        <x:v>46023</x:v>
      </x:c>
      <x:c r="B546" s="32" t="str">
        <x:v>Comercio y servicios: principalmente supermercados y centros comerciales</x:v>
      </x:c>
      <x:c r="C546" s="10" t="n">
        <x:f>IF(ISNUMBER('Actividades'!F683),'Actividades'!F683,"n.a.")</x:f>
        <x:v>57.17995833333333</x:v>
      </x:c>
      <x:c r="D546" s="10" t="n">
        <x:f>IF(ISNUMBER('Actividades'!G683),'Actividades'!G683,"n.a.")</x:f>
        <x:v>55.509069892473114</x:v>
      </x:c>
      <x:c r="E546" s="10" t="n">
        <x:f>IF(AND(ISNUMBER(C546),ISNUMBER(D546),C546&gt;=0,D546&gt;0),C546-D546,"n.a.")</x:f>
        <x:v>1.6708884408602174</x:v>
      </x:c>
      <x:c r="F546" s="12" t="n">
        <x:f>IF(ISNUMBER(E546),E546/D546,"n.a.")</x:f>
        <x:v>0.030101178854138672</x:v>
      </x:c>
      <x:c r="G546" s="2" t="n">
        <x:f>IF(ISNUMBER(F546),IF(AND(ABS(F546)+0.00000000001&gt;=$B$6,ABS(E546)+0.000000001&gt;=$D$6),1,0),"n.a.")</x:f>
        <x:v>0</x:v>
      </x:c>
      <x:c r="H546" s="2" t="n">
        <x:f>IF(ISNUMBER(E546),SIGN(E546),"n.a.")</x:f>
        <x:v>1</x:v>
      </x:c>
      <x:c r="I546" s="2" t="n">
        <x:f>IF(NOT(ISNUMBER(G546)),"n.a.",IF(G546=0,0,IF(AND(B546=B532,A546=EDATE(A532,1),H546=H532,ISNUMBER(I532)),I532+1,1)))</x:f>
        <x:v>0</x:v>
      </x:c>
      <x:c r="J546" s="2" t="n">
        <x:f>IF(ISNUMBER(F546),IF(AND(ABS(F546)+0.00000000001&gt;=$B$7,ABS(E546)+0.000000001&gt;=$D$7),1,0),"n.a.")</x:f>
        <x:v>0</x:v>
      </x:c>
      <x:c r="K546" s="2" t="str">
        <x:f>IF(NOT(ISNUMBER(F546)),"No evaluable",IF(OR(J546=1,I546&gt;=$B$8),"Prioridad",IF(G546=1,"Observar","Sin umbral")))</x:f>
        <x:v>Sin umbral</x:v>
      </x:c>
      <x:c r="L546" s="2" t="str">
        <x:f>IF(K546="No evaluable","Faltan datos",IF(J546=1,"Magnitud",IF(I546&gt;=$B$8,"Persistencia",IF(G546=1,"Cambio del mes","Sin umbral"))))</x:f>
        <x:v>Sin umbral</x:v>
      </x:c>
      <x:c r="M546" s="2" t="n">
        <x:f>ROW()-40</x:f>
        <x:v>506</x:v>
      </x:c>
    </x:row>
    <x:row r="547" ht="48" customHeight="1">
      <x:c r="A547" s="4" t="n">
        <x:v>46023</x:v>
      </x:c>
      <x:c r="B547" s="32" t="str">
        <x:v>Alimentación y artículos de consumo masivo</x:v>
      </x:c>
      <x:c r="C547" s="10" t="n">
        <x:f>IF(ISNUMBER('Actividades'!F684),'Actividades'!F684,"n.a.")</x:f>
        <x:v>267.87248387096776</x:v>
      </x:c>
      <x:c r="D547" s="10" t="n">
        <x:f>IF(ISNUMBER('Actividades'!G684),'Actividades'!G684,"n.a.")</x:f>
        <x:v>268.5709946236559</x:v>
      </x:c>
      <x:c r="E547" s="10" t="n">
        <x:f>IF(AND(ISNUMBER(C547),ISNUMBER(D547),C547&gt;=0,D547&gt;0),C547-D547,"n.a.")</x:f>
        <x:v>-0.6985107526881507</x:v>
      </x:c>
      <x:c r="F547" s="12" t="n">
        <x:f>IF(ISNUMBER(E547),E547/D547,"n.a.")</x:f>
        <x:v>-0.0026008421112896506</x:v>
      </x:c>
      <x:c r="G547" s="2" t="n">
        <x:f>IF(ISNUMBER(F547),IF(AND(ABS(F547)+0.00000000001&gt;=$B$6,ABS(E547)+0.000000001&gt;=$D$6),1,0),"n.a.")</x:f>
        <x:v>0</x:v>
      </x:c>
      <x:c r="H547" s="2" t="n">
        <x:f>IF(ISNUMBER(E547),SIGN(E547),"n.a.")</x:f>
        <x:v>-1</x:v>
      </x:c>
      <x:c r="I547" s="2" t="n">
        <x:f>IF(NOT(ISNUMBER(G547)),"n.a.",IF(G547=0,0,IF(AND(B547=B533,A547=EDATE(A533,1),H547=H533,ISNUMBER(I533)),I533+1,1)))</x:f>
        <x:v>0</x:v>
      </x:c>
      <x:c r="J547" s="2" t="n">
        <x:f>IF(ISNUMBER(F547),IF(AND(ABS(F547)+0.00000000001&gt;=$B$7,ABS(E547)+0.000000001&gt;=$D$7),1,0),"n.a.")</x:f>
        <x:v>0</x:v>
      </x:c>
      <x:c r="K547" s="2" t="str">
        <x:f>IF(NOT(ISNUMBER(F547)),"No evaluable",IF(OR(J547=1,I547&gt;=$B$8),"Prioridad",IF(G547=1,"Observar","Sin umbral")))</x:f>
        <x:v>Sin umbral</x:v>
      </x:c>
      <x:c r="L547" s="2" t="str">
        <x:f>IF(K547="No evaluable","Faltan datos",IF(J547=1,"Magnitud",IF(I547&gt;=$B$8,"Persistencia",IF(G547=1,"Cambio del mes","Sin umbral"))))</x:f>
        <x:v>Sin umbral</x:v>
      </x:c>
      <x:c r="M547" s="2" t="n">
        <x:f>ROW()-40</x:f>
        <x:v>507</x:v>
      </x:c>
    </x:row>
    <x:row r="548" ht="48" customHeight="1">
      <x:c r="A548" s="4" t="n">
        <x:v>46023</x:v>
      </x:c>
      <x:c r="B548" s="32" t="str">
        <x:v>Servicios públicos y transporte: agua y transporte en GBA</x:v>
      </x:c>
      <x:c r="C548" s="10" t="n">
        <x:f>IF(ISNUMBER('Actividades'!F685),'Actividades'!F685,"n.a.")</x:f>
        <x:v>73.79106048387096</x:v>
      </x:c>
      <x:c r="D548" s="10" t="n">
        <x:f>IF(ISNUMBER('Actividades'!G685),'Actividades'!G685,"n.a.")</x:f>
        <x:v>75.60832526881721</x:v>
      </x:c>
      <x:c r="E548" s="10" t="n">
        <x:f>IF(AND(ISNUMBER(C548),ISNUMBER(D548),C548&gt;=0,D548&gt;0),C548-D548,"n.a.")</x:f>
        <x:v>-1.8172647849462464</x:v>
      </x:c>
      <x:c r="F548" s="12" t="n">
        <x:f>IF(ISNUMBER(E548),E548/D548,"n.a.")</x:f>
        <x:v>-0.024035247156780133</x:v>
      </x:c>
      <x:c r="G548" s="2" t="n">
        <x:f>IF(ISNUMBER(F548),IF(AND(ABS(F548)+0.00000000001&gt;=$B$6,ABS(E548)+0.000000001&gt;=$D$6),1,0),"n.a.")</x:f>
        <x:v>0</x:v>
      </x:c>
      <x:c r="H548" s="2" t="n">
        <x:f>IF(ISNUMBER(E548),SIGN(E548),"n.a.")</x:f>
        <x:v>-1</x:v>
      </x:c>
      <x:c r="I548" s="2" t="n">
        <x:f>IF(NOT(ISNUMBER(G548)),"n.a.",IF(G548=0,0,IF(AND(B548=B534,A548=EDATE(A534,1),H548=H534,ISNUMBER(I534)),I534+1,1)))</x:f>
        <x:v>0</x:v>
      </x:c>
      <x:c r="J548" s="2" t="n">
        <x:f>IF(ISNUMBER(F548),IF(AND(ABS(F548)+0.00000000001&gt;=$B$7,ABS(E548)+0.000000001&gt;=$D$7),1,0),"n.a.")</x:f>
        <x:v>0</x:v>
      </x:c>
      <x:c r="K548" s="2" t="str">
        <x:f>IF(NOT(ISNUMBER(F548)),"No evaluable",IF(OR(J548=1,I548&gt;=$B$8),"Prioridad",IF(G548=1,"Observar","Sin umbral")))</x:f>
        <x:v>Sin umbral</x:v>
      </x:c>
      <x:c r="L548" s="2" t="str">
        <x:f>IF(K548="No evaluable","Faltan datos",IF(J548=1,"Magnitud",IF(I548&gt;=$B$8,"Persistencia",IF(G548=1,"Cambio del mes","Sin umbral"))))</x:f>
        <x:v>Sin umbral</x:v>
      </x:c>
      <x:c r="M548" s="2" t="n">
        <x:f>ROW()-40</x:f>
        <x:v>508</x:v>
      </x:c>
    </x:row>
    <x:row r="549" ht="48" customHeight="1">
      <x:c r="A549" s="4" t="n">
        <x:v>46023</x:v>
      </x:c>
      <x:c r="B549" s="32" t="str">
        <x:v>Industria automotriz</x:v>
      </x:c>
      <x:c r="C549" s="10" t="n">
        <x:f>IF(ISNUMBER('Actividades'!F686),'Actividades'!F686,"n.a.")</x:f>
        <x:v>34.20643279569892</x:v>
      </x:c>
      <x:c r="D549" s="10" t="n">
        <x:f>IF(ISNUMBER('Actividades'!G686),'Actividades'!G686,"n.a.")</x:f>
        <x:v>34.79801344086021</x:v>
      </x:c>
      <x:c r="E549" s="10" t="n">
        <x:f>IF(AND(ISNUMBER(C549),ISNUMBER(D549),C549&gt;=0,D549&gt;0),C549-D549,"n.a.")</x:f>
        <x:v>-0.5915806451612866</x:v>
      </x:c>
      <x:c r="F549" s="12" t="n">
        <x:f>IF(ISNUMBER(E549),E549/D549,"n.a.")</x:f>
        <x:v>-0.01700041429568063</x:v>
      </x:c>
      <x:c r="G549" s="2" t="n">
        <x:f>IF(ISNUMBER(F549),IF(AND(ABS(F549)+0.00000000001&gt;=$B$6,ABS(E549)+0.000000001&gt;=$D$6),1,0),"n.a.")</x:f>
        <x:v>0</x:v>
      </x:c>
      <x:c r="H549" s="2" t="n">
        <x:f>IF(ISNUMBER(E549),SIGN(E549),"n.a.")</x:f>
        <x:v>-1</x:v>
      </x:c>
      <x:c r="I549" s="2" t="n">
        <x:f>IF(NOT(ISNUMBER(G549)),"n.a.",IF(G549=0,0,IF(AND(B549=B535,A549=EDATE(A535,1),H549=H535,ISNUMBER(I535)),I535+1,1)))</x:f>
        <x:v>0</x:v>
      </x:c>
      <x:c r="J549" s="2" t="n">
        <x:f>IF(ISNUMBER(F549),IF(AND(ABS(F549)+0.00000000001&gt;=$B$7,ABS(E549)+0.000000001&gt;=$D$7),1,0),"n.a.")</x:f>
        <x:v>0</x:v>
      </x:c>
      <x:c r="K549" s="2" t="str">
        <x:f>IF(NOT(ISNUMBER(F549)),"No evaluable",IF(OR(J549=1,I549&gt;=$B$8),"Prioridad",IF(G549=1,"Observar","Sin umbral")))</x:f>
        <x:v>Sin umbral</x:v>
      </x:c>
      <x:c r="L549" s="2" t="str">
        <x:f>IF(K549="No evaluable","Faltan datos",IF(J549=1,"Magnitud",IF(I549&gt;=$B$8,"Persistencia",IF(G549=1,"Cambio del mes","Sin umbral"))))</x:f>
        <x:v>Sin umbral</x:v>
      </x:c>
      <x:c r="M549" s="2" t="n">
        <x:f>ROW()-40</x:f>
        <x:v>509</x:v>
      </x:c>
    </x:row>
    <x:row r="550" ht="48" customHeight="1">
      <x:c r="A550" s="4" t="n">
        <x:v>46023</x:v>
      </x:c>
      <x:c r="B550" s="32" t="str">
        <x:v>Derivados de petróleo</x:v>
      </x:c>
      <x:c r="C550" s="10" t="n">
        <x:f>IF(ISNUMBER('Actividades'!F687),'Actividades'!F687,"n.a.")</x:f>
        <x:v>146.23046236559136</x:v>
      </x:c>
      <x:c r="D550" s="10" t="n">
        <x:f>IF(ISNUMBER('Actividades'!G687),'Actividades'!G687,"n.a.")</x:f>
        <x:v>158.24590456989247</x:v>
      </x:c>
      <x:c r="E550" s="10" t="n">
        <x:f>IF(AND(ISNUMBER(C550),ISNUMBER(D550),C550&gt;=0,D550&gt;0),C550-D550,"n.a.")</x:f>
        <x:v>-12.01544220430111</x:v>
      </x:c>
      <x:c r="F550" s="12" t="n">
        <x:f>IF(ISNUMBER(E550),E550/D550,"n.a.")</x:f>
        <x:v>-0.07592892995846379</x:v>
      </x:c>
      <x:c r="G550" s="2" t="n">
        <x:f>IF(ISNUMBER(F550),IF(AND(ABS(F550)+0.00000000001&gt;=$B$6,ABS(E550)+0.000000001&gt;=$D$6),1,0),"n.a.")</x:f>
        <x:v>0</x:v>
      </x:c>
      <x:c r="H550" s="2" t="n">
        <x:f>IF(ISNUMBER(E550),SIGN(E550),"n.a.")</x:f>
        <x:v>-1</x:v>
      </x:c>
      <x:c r="I550" s="2" t="n">
        <x:f>IF(NOT(ISNUMBER(G550)),"n.a.",IF(G550=0,0,IF(AND(B550=B536,A550=EDATE(A536,1),H550=H536,ISNUMBER(I536)),I536+1,1)))</x:f>
        <x:v>0</x:v>
      </x:c>
      <x:c r="J550" s="2" t="n">
        <x:f>IF(ISNUMBER(F550),IF(AND(ABS(F550)+0.00000000001&gt;=$B$7,ABS(E550)+0.000000001&gt;=$D$7),1,0),"n.a.")</x:f>
        <x:v>0</x:v>
      </x:c>
      <x:c r="K550" s="2" t="str">
        <x:f>IF(NOT(ISNUMBER(F550)),"No evaluable",IF(OR(J550=1,I550&gt;=$B$8),"Prioridad",IF(G550=1,"Observar","Sin umbral")))</x:f>
        <x:v>Sin umbral</x:v>
      </x:c>
      <x:c r="L550" s="2" t="str">
        <x:f>IF(K550="No evaluable","Faltan datos",IF(J550=1,"Magnitud",IF(I550&gt;=$B$8,"Persistencia",IF(G550=1,"Cambio del mes","Sin umbral"))))</x:f>
        <x:v>Sin umbral</x:v>
      </x:c>
      <x:c r="M550" s="2" t="n">
        <x:f>ROW()-40</x:f>
        <x:v>510</x:v>
      </x:c>
    </x:row>
    <x:row r="551" ht="48" customHeight="1">
      <x:c r="A551" s="4" t="n">
        <x:v>46023</x:v>
      </x:c>
      <x:c r="B551" s="32" t="str">
        <x:v>Construcción: elaboración de cemento y canteras</x:v>
      </x:c>
      <x:c r="C551" s="10" t="n">
        <x:f>IF(ISNUMBER('Actividades'!F688),'Actividades'!F688,"n.a.")</x:f>
        <x:v>127.49079435483871</x:v>
      </x:c>
      <x:c r="D551" s="10" t="n">
        <x:f>IF(ISNUMBER('Actividades'!G688),'Actividades'!G688,"n.a.")</x:f>
        <x:v>145.85207123655914</x:v>
      </x:c>
      <x:c r="E551" s="10" t="n">
        <x:f>IF(AND(ISNUMBER(C551),ISNUMBER(D551),C551&gt;=0,D551&gt;0),C551-D551,"n.a.")</x:f>
        <x:v>-18.36127688172043</x:v>
      </x:c>
      <x:c r="F551" s="12" t="n">
        <x:f>IF(ISNUMBER(E551),E551/D551,"n.a.")</x:f>
        <x:v>-0.1258897232384178</x:v>
      </x:c>
      <x:c r="G551" s="2" t="n">
        <x:f>IF(ISNUMBER(F551),IF(AND(ABS(F551)+0.00000000001&gt;=$B$6,ABS(E551)+0.000000001&gt;=$D$6),1,0),"n.a.")</x:f>
        <x:v>1</x:v>
      </x:c>
      <x:c r="H551" s="2" t="n">
        <x:f>IF(ISNUMBER(E551),SIGN(E551),"n.a.")</x:f>
        <x:v>-1</x:v>
      </x:c>
      <x:c r="I551" s="2" t="n">
        <x:f>IF(NOT(ISNUMBER(G551)),"n.a.",IF(G551=0,0,IF(AND(B551=B537,A551=EDATE(A537,1),H551=H537,ISNUMBER(I537)),I537+1,1)))</x:f>
        <x:v>1</x:v>
      </x:c>
      <x:c r="J551" s="2" t="n">
        <x:f>IF(ISNUMBER(F551),IF(AND(ABS(F551)+0.00000000001&gt;=$B$7,ABS(E551)+0.000000001&gt;=$D$7),1,0),"n.a.")</x:f>
        <x:v>0</x:v>
      </x:c>
      <x:c r="K551" s="2" t="str">
        <x:f>IF(NOT(ISNUMBER(F551)),"No evaluable",IF(OR(J551=1,I551&gt;=$B$8),"Prioridad",IF(G551=1,"Observar","Sin umbral")))</x:f>
        <x:v>Observar</x:v>
      </x:c>
      <x:c r="L551" s="2" t="str">
        <x:f>IF(K551="No evaluable","Faltan datos",IF(J551=1,"Magnitud",IF(I551&gt;=$B$8,"Persistencia",IF(G551=1,"Cambio del mes","Sin umbral"))))</x:f>
        <x:v>Cambio del mes</x:v>
      </x:c>
      <x:c r="M551" s="2" t="n">
        <x:f>ROW()-40</x:f>
        <x:v>511</x:v>
      </x:c>
    </x:row>
    <x:row r="552" ht="48" customHeight="1">
      <x:c r="A552" s="4" t="n">
        <x:v>46023</x:v>
      </x:c>
      <x:c r="B552" s="32" t="str">
        <x:v>Madera y papel</x:v>
      </x:c>
      <x:c r="C552" s="10" t="n">
        <x:f>IF(ISNUMBER('Actividades'!F689),'Actividades'!F689,"n.a.")</x:f>
        <x:v>98.8301438172043</x:v>
      </x:c>
      <x:c r="D552" s="10" t="n">
        <x:f>IF(ISNUMBER('Actividades'!G689),'Actividades'!G689,"n.a.")</x:f>
        <x:v>92.00697983870968</x:v>
      </x:c>
      <x:c r="E552" s="10" t="n">
        <x:f>IF(AND(ISNUMBER(C552),ISNUMBER(D552),C552&gt;=0,D552&gt;0),C552-D552,"n.a.")</x:f>
        <x:v>6.82316397849462</x:v>
      </x:c>
      <x:c r="F552" s="12" t="n">
        <x:f>IF(ISNUMBER(E552),E552/D552,"n.a.")</x:f>
        <x:v>0.07415919955698774</x:v>
      </x:c>
      <x:c r="G552" s="2" t="n">
        <x:f>IF(ISNUMBER(F552),IF(AND(ABS(F552)+0.00000000001&gt;=$B$6,ABS(E552)+0.000000001&gt;=$D$6),1,0),"n.a.")</x:f>
        <x:v>0</x:v>
      </x:c>
      <x:c r="H552" s="2" t="n">
        <x:f>IF(ISNUMBER(E552),SIGN(E552),"n.a.")</x:f>
        <x:v>1</x:v>
      </x:c>
      <x:c r="I552" s="2" t="n">
        <x:f>IF(NOT(ISNUMBER(G552)),"n.a.",IF(G552=0,0,IF(AND(B552=B538,A552=EDATE(A538,1),H552=H538,ISNUMBER(I538)),I538+1,1)))</x:f>
        <x:v>0</x:v>
      </x:c>
      <x:c r="J552" s="2" t="n">
        <x:f>IF(ISNUMBER(F552),IF(AND(ABS(F552)+0.00000000001&gt;=$B$7,ABS(E552)+0.000000001&gt;=$D$7),1,0),"n.a.")</x:f>
        <x:v>0</x:v>
      </x:c>
      <x:c r="K552" s="2" t="str">
        <x:f>IF(NOT(ISNUMBER(F552)),"No evaluable",IF(OR(J552=1,I552&gt;=$B$8),"Prioridad",IF(G552=1,"Observar","Sin umbral")))</x:f>
        <x:v>Sin umbral</x:v>
      </x:c>
      <x:c r="L552" s="2" t="str">
        <x:f>IF(K552="No evaluable","Faltan datos",IF(J552=1,"Magnitud",IF(I552&gt;=$B$8,"Persistencia",IF(G552=1,"Cambio del mes","Sin umbral"))))</x:f>
        <x:v>Sin umbral</x:v>
      </x:c>
      <x:c r="M552" s="2" t="n">
        <x:f>ROW()-40</x:f>
        <x:v>512</x:v>
      </x:c>
    </x:row>
    <x:row r="553" ht="48" customHeight="1">
      <x:c r="A553" s="4" t="n">
        <x:v>46023</x:v>
      </x:c>
      <x:c r="B553" s="32" t="str">
        <x:v>Productos metálicos no automotores</x:v>
      </x:c>
      <x:c r="C553" s="10" t="n">
        <x:f>IF(ISNUMBER('Actividades'!F690),'Actividades'!F690,"n.a.")</x:f>
        <x:v>35.44790860215054</x:v>
      </x:c>
      <x:c r="D553" s="10" t="n">
        <x:f>IF(ISNUMBER('Actividades'!G690),'Actividades'!G690,"n.a.")</x:f>
        <x:v>40.152334677419354</x:v>
      </x:c>
      <x:c r="E553" s="10" t="n">
        <x:f>IF(AND(ISNUMBER(C553),ISNUMBER(D553),C553&gt;=0,D553&gt;0),C553-D553,"n.a.")</x:f>
        <x:v>-4.704426075268813</x:v>
      </x:c>
      <x:c r="F553" s="12" t="n">
        <x:f>IF(ISNUMBER(E553),E553/D553,"n.a.")</x:f>
        <x:v>-0.11716444667698145</x:v>
      </x:c>
      <x:c r="G553" s="2" t="n">
        <x:f>IF(ISNUMBER(F553),IF(AND(ABS(F553)+0.00000000001&gt;=$B$6,ABS(E553)+0.000000001&gt;=$D$6),1,0),"n.a.")</x:f>
        <x:v>0</x:v>
      </x:c>
      <x:c r="H553" s="2" t="n">
        <x:f>IF(ISNUMBER(E553),SIGN(E553),"n.a.")</x:f>
        <x:v>-1</x:v>
      </x:c>
      <x:c r="I553" s="2" t="n">
        <x:f>IF(NOT(ISNUMBER(G553)),"n.a.",IF(G553=0,0,IF(AND(B553=B539,A553=EDATE(A539,1),H553=H539,ISNUMBER(I539)),I539+1,1)))</x:f>
        <x:v>0</x:v>
      </x:c>
      <x:c r="J553" s="2" t="n">
        <x:f>IF(ISNUMBER(F553),IF(AND(ABS(F553)+0.00000000001&gt;=$B$7,ABS(E553)+0.000000001&gt;=$D$7),1,0),"n.a.")</x:f>
        <x:v>0</x:v>
      </x:c>
      <x:c r="K553" s="2" t="str">
        <x:f>IF(NOT(ISNUMBER(F553)),"No evaluable",IF(OR(J553=1,I553&gt;=$B$8),"Prioridad",IF(G553=1,"Observar","Sin umbral")))</x:f>
        <x:v>Sin umbral</x:v>
      </x:c>
      <x:c r="L553" s="2" t="str">
        <x:f>IF(K553="No evaluable","Faltan datos",IF(J553=1,"Magnitud",IF(I553&gt;=$B$8,"Persistencia",IF(G553=1,"Cambio del mes","Sin umbral"))))</x:f>
        <x:v>Sin umbral</x:v>
      </x:c>
      <x:c r="M553" s="2" t="n">
        <x:f>ROW()-40</x:f>
        <x:v>513</x:v>
      </x:c>
    </x:row>
    <x:row r="554" ht="48" customHeight="1">
      <x:c r="A554" s="4" t="n">
        <x:v>46023</x:v>
      </x:c>
      <x:c r="B554" s="32" t="str">
        <x:v>Gran siderurgia</x:v>
      </x:c>
      <x:c r="C554" s="10" t="n">
        <x:f>IF(ISNUMBER('Actividades'!F691),'Actividades'!F691,"n.a.")</x:f>
        <x:v>249.3529637096774</x:v>
      </x:c>
      <x:c r="D554" s="10" t="n">
        <x:f>IF(ISNUMBER('Actividades'!G691),'Actividades'!G691,"n.a.")</x:f>
        <x:v>229.55411693548388</x:v>
      </x:c>
      <x:c r="E554" s="10" t="n">
        <x:f>IF(AND(ISNUMBER(C554),ISNUMBER(D554),C554&gt;=0,D554&gt;0),C554-D554,"n.a.")</x:f>
        <x:v>19.79884677419352</x:v>
      </x:c>
      <x:c r="F554" s="12" t="n">
        <x:f>IF(ISNUMBER(E554),E554/D554,"n.a.")</x:f>
        <x:v>0.08624914699202707</x:v>
      </x:c>
      <x:c r="G554" s="2" t="n">
        <x:f>IF(ISNUMBER(F554),IF(AND(ABS(F554)+0.00000000001&gt;=$B$6,ABS(E554)+0.000000001&gt;=$D$6),1,0),"n.a.")</x:f>
        <x:v>0</x:v>
      </x:c>
      <x:c r="H554" s="2" t="n">
        <x:f>IF(ISNUMBER(E554),SIGN(E554),"n.a.")</x:f>
        <x:v>1</x:v>
      </x:c>
      <x:c r="I554" s="2" t="n">
        <x:f>IF(NOT(ISNUMBER(G554)),"n.a.",IF(G554=0,0,IF(AND(B554=B540,A554=EDATE(A540,1),H554=H540,ISNUMBER(I540)),I540+1,1)))</x:f>
        <x:v>0</x:v>
      </x:c>
      <x:c r="J554" s="2" t="n">
        <x:f>IF(ISNUMBER(F554),IF(AND(ABS(F554)+0.00000000001&gt;=$B$7,ABS(E554)+0.000000001&gt;=$D$7),1,0),"n.a.")</x:f>
        <x:v>0</x:v>
      </x:c>
      <x:c r="K554" s="2" t="str">
        <x:f>IF(NOT(ISNUMBER(F554)),"No evaluable",IF(OR(J554=1,I554&gt;=$B$8),"Prioridad",IF(G554=1,"Observar","Sin umbral")))</x:f>
        <x:v>Sin umbral</x:v>
      </x:c>
      <x:c r="L554" s="2" t="str">
        <x:f>IF(K554="No evaluable","Faltan datos",IF(J554=1,"Magnitud",IF(I554&gt;=$B$8,"Persistencia",IF(G554=1,"Cambio del mes","Sin umbral"))))</x:f>
        <x:v>Sin umbral</x:v>
      </x:c>
      <x:c r="M554" s="2" t="n">
        <x:f>ROW()-40</x:f>
        <x:v>514</x:v>
      </x:c>
    </x:row>
    <x:row r="555" ht="48" customHeight="1">
      <x:c r="A555" s="4" t="n">
        <x:v>46023</x:v>
      </x:c>
      <x:c r="B555" s="32" t="str">
        <x:v>Industria textil</x:v>
      </x:c>
      <x:c r="C555" s="10" t="n">
        <x:f>IF(ISNUMBER('Actividades'!F692),'Actividades'!F692,"n.a.")</x:f>
        <x:v>21.196896505376344</x:v>
      </x:c>
      <x:c r="D555" s="10" t="n">
        <x:f>IF(ISNUMBER('Actividades'!G692),'Actividades'!G692,"n.a.")</x:f>
        <x:v>33.99053494623656</x:v>
      </x:c>
      <x:c r="E555" s="10" t="n">
        <x:f>IF(AND(ISNUMBER(C555),ISNUMBER(D555),C555&gt;=0,D555&gt;0),C555-D555,"n.a.")</x:f>
        <x:v>-12.793638440860214</x:v>
      </x:c>
      <x:c r="F555" s="12" t="n">
        <x:f>IF(ISNUMBER(E555),E555/D555,"n.a.")</x:f>
        <x:v>-0.37638826400043845</x:v>
      </x:c>
      <x:c r="G555" s="2" t="n">
        <x:f>IF(ISNUMBER(F555),IF(AND(ABS(F555)+0.00000000001&gt;=$B$6,ABS(E555)+0.000000001&gt;=$D$6),1,0),"n.a.")</x:f>
        <x:v>1</x:v>
      </x:c>
      <x:c r="H555" s="2" t="n">
        <x:f>IF(ISNUMBER(E555),SIGN(E555),"n.a.")</x:f>
        <x:v>-1</x:v>
      </x:c>
      <x:c r="I555" s="2" t="n">
        <x:f>IF(NOT(ISNUMBER(G555)),"n.a.",IF(G555=0,0,IF(AND(B555=B541,A555=EDATE(A541,1),H555=H541,ISNUMBER(I541)),I541+1,1)))</x:f>
        <x:v>5</x:v>
      </x:c>
      <x:c r="J555" s="2" t="n">
        <x:f>IF(ISNUMBER(F555),IF(AND(ABS(F555)+0.00000000001&gt;=$B$7,ABS(E555)+0.000000001&gt;=$D$7),1,0),"n.a.")</x:f>
        <x:v>1</x:v>
      </x:c>
      <x:c r="K555" s="2" t="str">
        <x:f>IF(NOT(ISNUMBER(F555)),"No evaluable",IF(OR(J555=1,I555&gt;=$B$8),"Prioridad",IF(G555=1,"Observar","Sin umbral")))</x:f>
        <x:v>Prioridad</x:v>
      </x:c>
      <x:c r="L555" s="2" t="str">
        <x:f>IF(K555="No evaluable","Faltan datos",IF(J555=1,"Magnitud",IF(I555&gt;=$B$8,"Persistencia",IF(G555=1,"Cambio del mes","Sin umbral"))))</x:f>
        <x:v>Magnitud</x:v>
      </x:c>
      <x:c r="M555" s="2" t="n">
        <x:f>ROW()-40</x:f>
        <x:v>515</x:v>
      </x:c>
    </x:row>
    <x:row r="556" ht="48" customHeight="1">
      <x:c r="A556" s="4" t="n">
        <x:v>46023</x:v>
      </x:c>
      <x:c r="B556" s="32" t="str">
        <x:v>Químicas, caucho, plástico y otros minerales no metálicos</x:v>
      </x:c>
      <x:c r="C556" s="10" t="n">
        <x:f>IF(ISNUMBER('Actividades'!F693),'Actividades'!F693,"n.a.")</x:f>
        <x:v>351.6695954301075</x:v>
      </x:c>
      <x:c r="D556" s="10" t="n">
        <x:f>IF(ISNUMBER('Actividades'!G693),'Actividades'!G693,"n.a.")</x:f>
        <x:v>297.48990860215054</x:v>
      </x:c>
      <x:c r="E556" s="10" t="n">
        <x:f>IF(AND(ISNUMBER(C556),ISNUMBER(D556),C556&gt;=0,D556&gt;0),C556-D556,"n.a.")</x:f>
        <x:v>54.17968682795697</x:v>
      </x:c>
      <x:c r="F556" s="12" t="n">
        <x:f>IF(ISNUMBER(E556),E556/D556,"n.a.")</x:f>
        <x:v>0.18212277210523609</x:v>
      </x:c>
      <x:c r="G556" s="2" t="n">
        <x:f>IF(ISNUMBER(F556),IF(AND(ABS(F556)+0.00000000001&gt;=$B$6,ABS(E556)+0.000000001&gt;=$D$6),1,0),"n.a.")</x:f>
        <x:v>1</x:v>
      </x:c>
      <x:c r="H556" s="2" t="n">
        <x:f>IF(ISNUMBER(E556),SIGN(E556),"n.a.")</x:f>
        <x:v>1</x:v>
      </x:c>
      <x:c r="I556" s="2" t="n">
        <x:f>IF(NOT(ISNUMBER(G556)),"n.a.",IF(G556=0,0,IF(AND(B556=B542,A556=EDATE(A542,1),H556=H542,ISNUMBER(I542)),I542+1,1)))</x:f>
        <x:v>1</x:v>
      </x:c>
      <x:c r="J556" s="2" t="n">
        <x:f>IF(ISNUMBER(F556),IF(AND(ABS(F556)+0.00000000001&gt;=$B$7,ABS(E556)+0.000000001&gt;=$D$7),1,0),"n.a.")</x:f>
        <x:v>0</x:v>
      </x:c>
      <x:c r="K556" s="2" t="str">
        <x:f>IF(NOT(ISNUMBER(F556)),"No evaluable",IF(OR(J556=1,I556&gt;=$B$8),"Prioridad",IF(G556=1,"Observar","Sin umbral")))</x:f>
        <x:v>Observar</x:v>
      </x:c>
      <x:c r="L556" s="2" t="str">
        <x:f>IF(K556="No evaluable","Faltan datos",IF(J556=1,"Magnitud",IF(I556&gt;=$B$8,"Persistencia",IF(G556=1,"Cambio del mes","Sin umbral"))))</x:f>
        <x:v>Cambio del mes</x:v>
      </x:c>
      <x:c r="M556" s="2" t="n">
        <x:f>ROW()-40</x:f>
        <x:v>516</x:v>
      </x:c>
    </x:row>
    <x:row r="557" ht="48" customHeight="1">
      <x:c r="A557" s="4" t="n">
        <x:v>46023</x:v>
      </x:c>
      <x:c r="B557" s="32" t="str">
        <x:v>Extracción de minerales</x:v>
      </x:c>
      <x:c r="C557" s="10" t="n">
        <x:f>IF(ISNUMBER('Actividades'!F694),'Actividades'!F694,"n.a.")</x:f>
        <x:v>23.650068548387097</x:v>
      </x:c>
      <x:c r="D557" s="10" t="n">
        <x:f>IF(ISNUMBER('Actividades'!G694),'Actividades'!G694,"n.a.")</x:f>
        <x:v>23.10956451612903</x:v>
      </x:c>
      <x:c r="E557" s="10" t="n">
        <x:f>IF(AND(ISNUMBER(C557),ISNUMBER(D557),C557&gt;=0,D557&gt;0),C557-D557,"n.a.")</x:f>
        <x:v>0.5405040322580668</x:v>
      </x:c>
      <x:c r="F557" s="12" t="n">
        <x:f>IF(ISNUMBER(E557),E557/D557,"n.a.")</x:f>
        <x:v>0.02338875887863784</x:v>
      </x:c>
      <x:c r="G557" s="2" t="n">
        <x:f>IF(ISNUMBER(F557),IF(AND(ABS(F557)+0.00000000001&gt;=$B$6,ABS(E557)+0.000000001&gt;=$D$6),1,0),"n.a.")</x:f>
        <x:v>0</x:v>
      </x:c>
      <x:c r="H557" s="2" t="n">
        <x:f>IF(ISNUMBER(E557),SIGN(E557),"n.a.")</x:f>
        <x:v>1</x:v>
      </x:c>
      <x:c r="I557" s="2" t="n">
        <x:f>IF(NOT(ISNUMBER(G557)),"n.a.",IF(G557=0,0,IF(AND(B557=B543,A557=EDATE(A543,1),H557=H543,ISNUMBER(I543)),I543+1,1)))</x:f>
        <x:v>0</x:v>
      </x:c>
      <x:c r="J557" s="2" t="n">
        <x:f>IF(ISNUMBER(F557),IF(AND(ABS(F557)+0.00000000001&gt;=$B$7,ABS(E557)+0.000000001&gt;=$D$7),1,0),"n.a.")</x:f>
        <x:v>0</x:v>
      </x:c>
      <x:c r="K557" s="2" t="str">
        <x:f>IF(NOT(ISNUMBER(F557)),"No evaluable",IF(OR(J557=1,I557&gt;=$B$8),"Prioridad",IF(G557=1,"Observar","Sin umbral")))</x:f>
        <x:v>Sin umbral</x:v>
      </x:c>
      <x:c r="L557" s="2" t="str">
        <x:f>IF(K557="No evaluable","Faltan datos",IF(J557=1,"Magnitud",IF(I557&gt;=$B$8,"Persistencia",IF(G557=1,"Cambio del mes","Sin umbral"))))</x:f>
        <x:v>Sin umbral</x:v>
      </x:c>
      <x:c r="M557" s="2" t="n">
        <x:f>ROW()-40</x:f>
        <x:v>517</x:v>
      </x:c>
    </x:row>
    <x:row r="558" ht="48" customHeight="1">
      <x:c r="A558" s="4" t="n">
        <x:v>46023</x:v>
      </x:c>
      <x:c r="B558" s="32" t="str">
        <x:v>Extracción de petróleo</x:v>
      </x:c>
      <x:c r="C558" s="10" t="n">
        <x:f>IF(ISNUMBER('Actividades'!F695),'Actividades'!F695,"n.a.")</x:f>
        <x:v>148.70456048387098</x:v>
      </x:c>
      <x:c r="D558" s="10" t="n">
        <x:f>IF(ISNUMBER('Actividades'!G695),'Actividades'!G695,"n.a.")</x:f>
        <x:v>143.25937365591398</x:v>
      </x:c>
      <x:c r="E558" s="10" t="n">
        <x:f>IF(AND(ISNUMBER(C558),ISNUMBER(D558),C558&gt;=0,D558&gt;0),C558-D558,"n.a.")</x:f>
        <x:v>5.445186827957002</x:v>
      </x:c>
      <x:c r="F558" s="12" t="n">
        <x:f>IF(ISNUMBER(E558),E558/D558,"n.a.")</x:f>
        <x:v>0.03800928825108134</x:v>
      </x:c>
      <x:c r="G558" s="2" t="n">
        <x:f>IF(ISNUMBER(F558),IF(AND(ABS(F558)+0.00000000001&gt;=$B$6,ABS(E558)+0.000000001&gt;=$D$6),1,0),"n.a.")</x:f>
        <x:v>0</x:v>
      </x:c>
      <x:c r="H558" s="2" t="n">
        <x:f>IF(ISNUMBER(E558),SIGN(E558),"n.a.")</x:f>
        <x:v>1</x:v>
      </x:c>
      <x:c r="I558" s="2" t="n">
        <x:f>IF(NOT(ISNUMBER(G558)),"n.a.",IF(G558=0,0,IF(AND(B558=B544,A558=EDATE(A544,1),H558=H544,ISNUMBER(I544)),I544+1,1)))</x:f>
        <x:v>0</x:v>
      </x:c>
      <x:c r="J558" s="2" t="n">
        <x:f>IF(ISNUMBER(F558),IF(AND(ABS(F558)+0.00000000001&gt;=$B$7,ABS(E558)+0.000000001&gt;=$D$7),1,0),"n.a.")</x:f>
        <x:v>0</x:v>
      </x:c>
      <x:c r="K558" s="2" t="str">
        <x:f>IF(NOT(ISNUMBER(F558)),"No evaluable",IF(OR(J558=1,I558&gt;=$B$8),"Prioridad",IF(G558=1,"Observar","Sin umbral")))</x:f>
        <x:v>Sin umbral</x:v>
      </x:c>
      <x:c r="L558" s="2" t="str">
        <x:f>IF(K558="No evaluable","Faltan datos",IF(J558=1,"Magnitud",IF(I558&gt;=$B$8,"Persistencia",IF(G558=1,"Cambio del mes","Sin umbral"))))</x:f>
        <x:v>Sin umbral</x:v>
      </x:c>
      <x:c r="M558" s="2" t="n">
        <x:f>ROW()-40</x:f>
        <x:v>518</x:v>
      </x:c>
    </x:row>
    <x:row r="559" ht="48" customHeight="1">
      <x:c r="A559" s="4" t="n">
        <x:v>46054</x:v>
      </x:c>
      <x:c r="B559" s="32" t="str">
        <x:v>Cargas y puertos</x:v>
      </x:c>
      <x:c r="C559" s="10" t="n">
        <x:f>IF(ISNUMBER('Actividades'!F696),'Actividades'!F696,"n.a.")</x:f>
        <x:v>11.863586309523809</x:v>
      </x:c>
      <x:c r="D559" s="10" t="n">
        <x:f>IF(ISNUMBER('Actividades'!G696),'Actividades'!G696,"n.a.")</x:f>
        <x:v>12.233723214285714</x:v>
      </x:c>
      <x:c r="E559" s="10" t="n">
        <x:f>IF(AND(ISNUMBER(C559),ISNUMBER(D559),C559&gt;=0,D559&gt;0),C559-D559,"n.a.")</x:f>
        <x:v>-0.370136904761905</x:v>
      </x:c>
      <x:c r="F559" s="12" t="n">
        <x:f>IF(ISNUMBER(E559),E559/D559,"n.a.")</x:f>
        <x:v>-0.03025545847969522</x:v>
      </x:c>
      <x:c r="G559" s="2" t="n">
        <x:f>IF(ISNUMBER(F559),IF(AND(ABS(F559)+0.00000000001&gt;=$B$6,ABS(E559)+0.000000001&gt;=$D$6),1,0),"n.a.")</x:f>
        <x:v>0</x:v>
      </x:c>
      <x:c r="H559" s="2" t="n">
        <x:f>IF(ISNUMBER(E559),SIGN(E559),"n.a.")</x:f>
        <x:v>-1</x:v>
      </x:c>
      <x:c r="I559" s="2" t="n">
        <x:f>IF(NOT(ISNUMBER(G559)),"n.a.",IF(G559=0,0,IF(AND(B559=B545,A559=EDATE(A545,1),H559=H545,ISNUMBER(I545)),I545+1,1)))</x:f>
        <x:v>0</x:v>
      </x:c>
      <x:c r="J559" s="2" t="n">
        <x:f>IF(ISNUMBER(F559),IF(AND(ABS(F559)+0.00000000001&gt;=$B$7,ABS(E559)+0.000000001&gt;=$D$7),1,0),"n.a.")</x:f>
        <x:v>0</x:v>
      </x:c>
      <x:c r="K559" s="2" t="str">
        <x:f>IF(NOT(ISNUMBER(F559)),"No evaluable",IF(OR(J559=1,I559&gt;=$B$8),"Prioridad",IF(G559=1,"Observar","Sin umbral")))</x:f>
        <x:v>Sin umbral</x:v>
      </x:c>
      <x:c r="L559" s="2" t="str">
        <x:f>IF(K559="No evaluable","Faltan datos",IF(J559=1,"Magnitud",IF(I559&gt;=$B$8,"Persistencia",IF(G559=1,"Cambio del mes","Sin umbral"))))</x:f>
        <x:v>Sin umbral</x:v>
      </x:c>
      <x:c r="M559" s="2" t="n">
        <x:f>ROW()-40</x:f>
        <x:v>519</x:v>
      </x:c>
    </x:row>
    <x:row r="560" ht="48" customHeight="1">
      <x:c r="A560" s="4" t="n">
        <x:v>46054</x:v>
      </x:c>
      <x:c r="B560" s="32" t="str">
        <x:v>Comercio y servicios: principalmente supermercados y centros comerciales</x:v>
      </x:c>
      <x:c r="C560" s="10" t="n">
        <x:f>IF(ISNUMBER('Actividades'!F697),'Actividades'!F697,"n.a.")</x:f>
        <x:v>59.89608333333333</x:v>
      </x:c>
      <x:c r="D560" s="10" t="n">
        <x:f>IF(ISNUMBER('Actividades'!G697),'Actividades'!G697,"n.a.")</x:f>
        <x:v>56.55740029761905</x:v>
      </x:c>
      <x:c r="E560" s="10" t="n">
        <x:f>IF(AND(ISNUMBER(C560),ISNUMBER(D560),C560&gt;=0,D560&gt;0),C560-D560,"n.a.")</x:f>
        <x:v>3.3386830357142827</x:v>
      </x:c>
      <x:c r="F560" s="12" t="n">
        <x:f>IF(ISNUMBER(E560),E560/D560,"n.a.")</x:f>
        <x:v>0.059031762742723426</x:v>
      </x:c>
      <x:c r="G560" s="2" t="n">
        <x:f>IF(ISNUMBER(F560),IF(AND(ABS(F560)+0.00000000001&gt;=$B$6,ABS(E560)+0.000000001&gt;=$D$6),1,0),"n.a.")</x:f>
        <x:v>0</x:v>
      </x:c>
      <x:c r="H560" s="2" t="n">
        <x:f>IF(ISNUMBER(E560),SIGN(E560),"n.a.")</x:f>
        <x:v>1</x:v>
      </x:c>
      <x:c r="I560" s="2" t="n">
        <x:f>IF(NOT(ISNUMBER(G560)),"n.a.",IF(G560=0,0,IF(AND(B560=B546,A560=EDATE(A546,1),H560=H546,ISNUMBER(I546)),I546+1,1)))</x:f>
        <x:v>0</x:v>
      </x:c>
      <x:c r="J560" s="2" t="n">
        <x:f>IF(ISNUMBER(F560),IF(AND(ABS(F560)+0.00000000001&gt;=$B$7,ABS(E560)+0.000000001&gt;=$D$7),1,0),"n.a.")</x:f>
        <x:v>0</x:v>
      </x:c>
      <x:c r="K560" s="2" t="str">
        <x:f>IF(NOT(ISNUMBER(F560)),"No evaluable",IF(OR(J560=1,I560&gt;=$B$8),"Prioridad",IF(G560=1,"Observar","Sin umbral")))</x:f>
        <x:v>Sin umbral</x:v>
      </x:c>
      <x:c r="L560" s="2" t="str">
        <x:f>IF(K560="No evaluable","Faltan datos",IF(J560=1,"Magnitud",IF(I560&gt;=$B$8,"Persistencia",IF(G560=1,"Cambio del mes","Sin umbral"))))</x:f>
        <x:v>Sin umbral</x:v>
      </x:c>
      <x:c r="M560" s="2" t="n">
        <x:f>ROW()-40</x:f>
        <x:v>520</x:v>
      </x:c>
    </x:row>
    <x:row r="561" ht="48" customHeight="1">
      <x:c r="A561" s="4" t="n">
        <x:v>46054</x:v>
      </x:c>
      <x:c r="B561" s="32" t="str">
        <x:v>Alimentación y artículos de consumo masivo</x:v>
      </x:c>
      <x:c r="C561" s="10" t="n">
        <x:f>IF(ISNUMBER('Actividades'!F698),'Actividades'!F698,"n.a.")</x:f>
        <x:v>293.5263824404762</x:v>
      </x:c>
      <x:c r="D561" s="10" t="n">
        <x:f>IF(ISNUMBER('Actividades'!G698),'Actividades'!G698,"n.a.")</x:f>
        <x:v>298.95351488095235</x:v>
      </x:c>
      <x:c r="E561" s="10" t="n">
        <x:f>IF(AND(ISNUMBER(C561),ISNUMBER(D561),C561&gt;=0,D561&gt;0),C561-D561,"n.a.")</x:f>
        <x:v>-5.427132440476157</x:v>
      </x:c>
      <x:c r="F561" s="12" t="n">
        <x:f>IF(ISNUMBER(E561),E561/D561,"n.a.")</x:f>
        <x:v>-0.018153766958175156</x:v>
      </x:c>
      <x:c r="G561" s="2" t="n">
        <x:f>IF(ISNUMBER(F561),IF(AND(ABS(F561)+0.00000000001&gt;=$B$6,ABS(E561)+0.000000001&gt;=$D$6),1,0),"n.a.")</x:f>
        <x:v>0</x:v>
      </x:c>
      <x:c r="H561" s="2" t="n">
        <x:f>IF(ISNUMBER(E561),SIGN(E561),"n.a.")</x:f>
        <x:v>-1</x:v>
      </x:c>
      <x:c r="I561" s="2" t="n">
        <x:f>IF(NOT(ISNUMBER(G561)),"n.a.",IF(G561=0,0,IF(AND(B561=B547,A561=EDATE(A547,1),H561=H547,ISNUMBER(I547)),I547+1,1)))</x:f>
        <x:v>0</x:v>
      </x:c>
      <x:c r="J561" s="2" t="n">
        <x:f>IF(ISNUMBER(F561),IF(AND(ABS(F561)+0.00000000001&gt;=$B$7,ABS(E561)+0.000000001&gt;=$D$7),1,0),"n.a.")</x:f>
        <x:v>0</x:v>
      </x:c>
      <x:c r="K561" s="2" t="str">
        <x:f>IF(NOT(ISNUMBER(F561)),"No evaluable",IF(OR(J561=1,I561&gt;=$B$8),"Prioridad",IF(G561=1,"Observar","Sin umbral")))</x:f>
        <x:v>Sin umbral</x:v>
      </x:c>
      <x:c r="L561" s="2" t="str">
        <x:f>IF(K561="No evaluable","Faltan datos",IF(J561=1,"Magnitud",IF(I561&gt;=$B$8,"Persistencia",IF(G561=1,"Cambio del mes","Sin umbral"))))</x:f>
        <x:v>Sin umbral</x:v>
      </x:c>
      <x:c r="M561" s="2" t="n">
        <x:f>ROW()-40</x:f>
        <x:v>521</x:v>
      </x:c>
    </x:row>
    <x:row r="562" ht="48" customHeight="1">
      <x:c r="A562" s="4" t="n">
        <x:v>46054</x:v>
      </x:c>
      <x:c r="B562" s="32" t="str">
        <x:v>Servicios públicos y transporte: agua y transporte en GBA</x:v>
      </x:c>
      <x:c r="C562" s="10" t="n">
        <x:f>IF(ISNUMBER('Actividades'!F699),'Actividades'!F699,"n.a.")</x:f>
        <x:v>71.10992261904762</x:v>
      </x:c>
      <x:c r="D562" s="10" t="n">
        <x:f>IF(ISNUMBER('Actividades'!G699),'Actividades'!G699,"n.a.")</x:f>
        <x:v>76.89878422619049</x:v>
      </x:c>
      <x:c r="E562" s="10" t="n">
        <x:f>IF(AND(ISNUMBER(C562),ISNUMBER(D562),C562&gt;=0,D562&gt;0),C562-D562,"n.a.")</x:f>
        <x:v>-5.788861607142863</x:v>
      </x:c>
      <x:c r="F562" s="12" t="n">
        <x:f>IF(ISNUMBER(E562),E562/D562,"n.a.")</x:f>
        <x:v>-0.07527897437384024</x:v>
      </x:c>
      <x:c r="G562" s="2" t="n">
        <x:f>IF(ISNUMBER(F562),IF(AND(ABS(F562)+0.00000000001&gt;=$B$6,ABS(E562)+0.000000001&gt;=$D$6),1,0),"n.a.")</x:f>
        <x:v>0</x:v>
      </x:c>
      <x:c r="H562" s="2" t="n">
        <x:f>IF(ISNUMBER(E562),SIGN(E562),"n.a.")</x:f>
        <x:v>-1</x:v>
      </x:c>
      <x:c r="I562" s="2" t="n">
        <x:f>IF(NOT(ISNUMBER(G562)),"n.a.",IF(G562=0,0,IF(AND(B562=B548,A562=EDATE(A548,1),H562=H548,ISNUMBER(I548)),I548+1,1)))</x:f>
        <x:v>0</x:v>
      </x:c>
      <x:c r="J562" s="2" t="n">
        <x:f>IF(ISNUMBER(F562),IF(AND(ABS(F562)+0.00000000001&gt;=$B$7,ABS(E562)+0.000000001&gt;=$D$7),1,0),"n.a.")</x:f>
        <x:v>0</x:v>
      </x:c>
      <x:c r="K562" s="2" t="str">
        <x:f>IF(NOT(ISNUMBER(F562)),"No evaluable",IF(OR(J562=1,I562&gt;=$B$8),"Prioridad",IF(G562=1,"Observar","Sin umbral")))</x:f>
        <x:v>Sin umbral</x:v>
      </x:c>
      <x:c r="L562" s="2" t="str">
        <x:f>IF(K562="No evaluable","Faltan datos",IF(J562=1,"Magnitud",IF(I562&gt;=$B$8,"Persistencia",IF(G562=1,"Cambio del mes","Sin umbral"))))</x:f>
        <x:v>Sin umbral</x:v>
      </x:c>
      <x:c r="M562" s="2" t="n">
        <x:f>ROW()-40</x:f>
        <x:v>522</x:v>
      </x:c>
    </x:row>
    <x:row r="563" ht="48" customHeight="1">
      <x:c r="A563" s="4" t="n">
        <x:v>46054</x:v>
      </x:c>
      <x:c r="B563" s="32" t="str">
        <x:v>Industria automotriz</x:v>
      </x:c>
      <x:c r="C563" s="10" t="n">
        <x:f>IF(ISNUMBER('Actividades'!F700),'Actividades'!F700,"n.a.")</x:f>
        <x:v>42.52677232142857</x:v>
      </x:c>
      <x:c r="D563" s="10" t="n">
        <x:f>IF(ISNUMBER('Actividades'!G700),'Actividades'!G700,"n.a.")</x:f>
        <x:v>47.1398556547619</x:v>
      </x:c>
      <x:c r="E563" s="10" t="n">
        <x:f>IF(AND(ISNUMBER(C563),ISNUMBER(D563),C563&gt;=0,D563&gt;0),C563-D563,"n.a.")</x:f>
        <x:v>-4.613083333333336</x:v>
      </x:c>
      <x:c r="F563" s="12" t="n">
        <x:f>IF(ISNUMBER(E563),E563/D563,"n.a.")</x:f>
        <x:v>-0.0978595133408589</x:v>
      </x:c>
      <x:c r="G563" s="2" t="n">
        <x:f>IF(ISNUMBER(F563),IF(AND(ABS(F563)+0.00000000001&gt;=$B$6,ABS(E563)+0.000000001&gt;=$D$6),1,0),"n.a.")</x:f>
        <x:v>0</x:v>
      </x:c>
      <x:c r="H563" s="2" t="n">
        <x:f>IF(ISNUMBER(E563),SIGN(E563),"n.a.")</x:f>
        <x:v>-1</x:v>
      </x:c>
      <x:c r="I563" s="2" t="n">
        <x:f>IF(NOT(ISNUMBER(G563)),"n.a.",IF(G563=0,0,IF(AND(B563=B549,A563=EDATE(A549,1),H563=H549,ISNUMBER(I549)),I549+1,1)))</x:f>
        <x:v>0</x:v>
      </x:c>
      <x:c r="J563" s="2" t="n">
        <x:f>IF(ISNUMBER(F563),IF(AND(ABS(F563)+0.00000000001&gt;=$B$7,ABS(E563)+0.000000001&gt;=$D$7),1,0),"n.a.")</x:f>
        <x:v>0</x:v>
      </x:c>
      <x:c r="K563" s="2" t="str">
        <x:f>IF(NOT(ISNUMBER(F563)),"No evaluable",IF(OR(J563=1,I563&gt;=$B$8),"Prioridad",IF(G563=1,"Observar","Sin umbral")))</x:f>
        <x:v>Sin umbral</x:v>
      </x:c>
      <x:c r="L563" s="2" t="str">
        <x:f>IF(K563="No evaluable","Faltan datos",IF(J563=1,"Magnitud",IF(I563&gt;=$B$8,"Persistencia",IF(G563=1,"Cambio del mes","Sin umbral"))))</x:f>
        <x:v>Sin umbral</x:v>
      </x:c>
      <x:c r="M563" s="2" t="n">
        <x:f>ROW()-40</x:f>
        <x:v>523</x:v>
      </x:c>
    </x:row>
    <x:row r="564" ht="48" customHeight="1">
      <x:c r="A564" s="4" t="n">
        <x:v>46054</x:v>
      </x:c>
      <x:c r="B564" s="32" t="str">
        <x:v>Derivados de petróleo</x:v>
      </x:c>
      <x:c r="C564" s="10" t="n">
        <x:f>IF(ISNUMBER('Actividades'!F701),'Actividades'!F701,"n.a.")</x:f>
        <x:v>144.37152232142856</x:v>
      </x:c>
      <x:c r="D564" s="10" t="n">
        <x:f>IF(ISNUMBER('Actividades'!G701),'Actividades'!G701,"n.a.")</x:f>
        <x:v>149.34415773809522</x:v>
      </x:c>
      <x:c r="E564" s="10" t="n">
        <x:f>IF(AND(ISNUMBER(C564),ISNUMBER(D564),C564&gt;=0,D564&gt;0),C564-D564,"n.a.")</x:f>
        <x:v>-4.972635416666662</x:v>
      </x:c>
      <x:c r="F564" s="12" t="n">
        <x:f>IF(ISNUMBER(E564),E564/D564,"n.a.")</x:f>
        <x:v>-0.0332964843886774</x:v>
      </x:c>
      <x:c r="G564" s="2" t="n">
        <x:f>IF(ISNUMBER(F564),IF(AND(ABS(F564)+0.00000000001&gt;=$B$6,ABS(E564)+0.000000001&gt;=$D$6),1,0),"n.a.")</x:f>
        <x:v>0</x:v>
      </x:c>
      <x:c r="H564" s="2" t="n">
        <x:f>IF(ISNUMBER(E564),SIGN(E564),"n.a.")</x:f>
        <x:v>-1</x:v>
      </x:c>
      <x:c r="I564" s="2" t="n">
        <x:f>IF(NOT(ISNUMBER(G564)),"n.a.",IF(G564=0,0,IF(AND(B564=B550,A564=EDATE(A550,1),H564=H550,ISNUMBER(I550)),I550+1,1)))</x:f>
        <x:v>0</x:v>
      </x:c>
      <x:c r="J564" s="2" t="n">
        <x:f>IF(ISNUMBER(F564),IF(AND(ABS(F564)+0.00000000001&gt;=$B$7,ABS(E564)+0.000000001&gt;=$D$7),1,0),"n.a.")</x:f>
        <x:v>0</x:v>
      </x:c>
      <x:c r="K564" s="2" t="str">
        <x:f>IF(NOT(ISNUMBER(F564)),"No evaluable",IF(OR(J564=1,I564&gt;=$B$8),"Prioridad",IF(G564=1,"Observar","Sin umbral")))</x:f>
        <x:v>Sin umbral</x:v>
      </x:c>
      <x:c r="L564" s="2" t="str">
        <x:f>IF(K564="No evaluable","Faltan datos",IF(J564=1,"Magnitud",IF(I564&gt;=$B$8,"Persistencia",IF(G564=1,"Cambio del mes","Sin umbral"))))</x:f>
        <x:v>Sin umbral</x:v>
      </x:c>
      <x:c r="M564" s="2" t="n">
        <x:f>ROW()-40</x:f>
        <x:v>524</x:v>
      </x:c>
    </x:row>
    <x:row r="565" ht="48" customHeight="1">
      <x:c r="A565" s="4" t="n">
        <x:v>46054</x:v>
      </x:c>
      <x:c r="B565" s="32" t="str">
        <x:v>Construcción: elaboración de cemento y canteras</x:v>
      </x:c>
      <x:c r="C565" s="10" t="n">
        <x:f>IF(ISNUMBER('Actividades'!F702),'Actividades'!F702,"n.a.")</x:f>
        <x:v>141.2740148809524</x:v>
      </x:c>
      <x:c r="D565" s="10" t="n">
        <x:f>IF(ISNUMBER('Actividades'!G702),'Actividades'!G702,"n.a.")</x:f>
        <x:v>160.91916964285716</x:v>
      </x:c>
      <x:c r="E565" s="10" t="n">
        <x:f>IF(AND(ISNUMBER(C565),ISNUMBER(D565),C565&gt;=0,D565&gt;0),C565-D565,"n.a.")</x:f>
        <x:v>-19.645154761904763</x:v>
      </x:c>
      <x:c r="F565" s="12" t="n">
        <x:f>IF(ISNUMBER(E565),E565/D565,"n.a.")</x:f>
        <x:v>-0.12208088573601938</x:v>
      </x:c>
      <x:c r="G565" s="2" t="n">
        <x:f>IF(ISNUMBER(F565),IF(AND(ABS(F565)+0.00000000001&gt;=$B$6,ABS(E565)+0.000000001&gt;=$D$6),1,0),"n.a.")</x:f>
        <x:v>1</x:v>
      </x:c>
      <x:c r="H565" s="2" t="n">
        <x:f>IF(ISNUMBER(E565),SIGN(E565),"n.a.")</x:f>
        <x:v>-1</x:v>
      </x:c>
      <x:c r="I565" s="2" t="n">
        <x:f>IF(NOT(ISNUMBER(G565)),"n.a.",IF(G565=0,0,IF(AND(B565=B551,A565=EDATE(A551,1),H565=H551,ISNUMBER(I551)),I551+1,1)))</x:f>
        <x:v>2</x:v>
      </x:c>
      <x:c r="J565" s="2" t="n">
        <x:f>IF(ISNUMBER(F565),IF(AND(ABS(F565)+0.00000000001&gt;=$B$7,ABS(E565)+0.000000001&gt;=$D$7),1,0),"n.a.")</x:f>
        <x:v>0</x:v>
      </x:c>
      <x:c r="K565" s="2" t="str">
        <x:f>IF(NOT(ISNUMBER(F565)),"No evaluable",IF(OR(J565=1,I565&gt;=$B$8),"Prioridad",IF(G565=1,"Observar","Sin umbral")))</x:f>
        <x:v>Observar</x:v>
      </x:c>
      <x:c r="L565" s="2" t="str">
        <x:f>IF(K565="No evaluable","Faltan datos",IF(J565=1,"Magnitud",IF(I565&gt;=$B$8,"Persistencia",IF(G565=1,"Cambio del mes","Sin umbral"))))</x:f>
        <x:v>Cambio del mes</x:v>
      </x:c>
      <x:c r="M565" s="2" t="n">
        <x:f>ROW()-40</x:f>
        <x:v>525</x:v>
      </x:c>
    </x:row>
    <x:row r="566" ht="48" customHeight="1">
      <x:c r="A566" s="4" t="n">
        <x:v>46054</x:v>
      </x:c>
      <x:c r="B566" s="32" t="str">
        <x:v>Madera y papel</x:v>
      </x:c>
      <x:c r="C566" s="10" t="n">
        <x:f>IF(ISNUMBER('Actividades'!F703),'Actividades'!F703,"n.a.")</x:f>
        <x:v>98.82319345238095</x:v>
      </x:c>
      <x:c r="D566" s="10" t="n">
        <x:f>IF(ISNUMBER('Actividades'!G703),'Actividades'!G703,"n.a.")</x:f>
        <x:v>103.7036398809524</x:v>
      </x:c>
      <x:c r="E566" s="10" t="n">
        <x:f>IF(AND(ISNUMBER(C566),ISNUMBER(D566),C566&gt;=0,D566&gt;0),C566-D566,"n.a.")</x:f>
        <x:v>-4.880446428571446</x:v>
      </x:c>
      <x:c r="F566" s="12" t="n">
        <x:f>IF(ISNUMBER(E566),E566/D566,"n.a.")</x:f>
        <x:v>-0.047061476667299255</x:v>
      </x:c>
      <x:c r="G566" s="2" t="n">
        <x:f>IF(ISNUMBER(F566),IF(AND(ABS(F566)+0.00000000001&gt;=$B$6,ABS(E566)+0.000000001&gt;=$D$6),1,0),"n.a.")</x:f>
        <x:v>0</x:v>
      </x:c>
      <x:c r="H566" s="2" t="n">
        <x:f>IF(ISNUMBER(E566),SIGN(E566),"n.a.")</x:f>
        <x:v>-1</x:v>
      </x:c>
      <x:c r="I566" s="2" t="n">
        <x:f>IF(NOT(ISNUMBER(G566)),"n.a.",IF(G566=0,0,IF(AND(B566=B552,A566=EDATE(A552,1),H566=H552,ISNUMBER(I552)),I552+1,1)))</x:f>
        <x:v>0</x:v>
      </x:c>
      <x:c r="J566" s="2" t="n">
        <x:f>IF(ISNUMBER(F566),IF(AND(ABS(F566)+0.00000000001&gt;=$B$7,ABS(E566)+0.000000001&gt;=$D$7),1,0),"n.a.")</x:f>
        <x:v>0</x:v>
      </x:c>
      <x:c r="K566" s="2" t="str">
        <x:f>IF(NOT(ISNUMBER(F566)),"No evaluable",IF(OR(J566=1,I566&gt;=$B$8),"Prioridad",IF(G566=1,"Observar","Sin umbral")))</x:f>
        <x:v>Sin umbral</x:v>
      </x:c>
      <x:c r="L566" s="2" t="str">
        <x:f>IF(K566="No evaluable","Faltan datos",IF(J566=1,"Magnitud",IF(I566&gt;=$B$8,"Persistencia",IF(G566=1,"Cambio del mes","Sin umbral"))))</x:f>
        <x:v>Sin umbral</x:v>
      </x:c>
      <x:c r="M566" s="2" t="n">
        <x:f>ROW()-40</x:f>
        <x:v>526</x:v>
      </x:c>
    </x:row>
    <x:row r="567" ht="48" customHeight="1">
      <x:c r="A567" s="4" t="n">
        <x:v>46054</x:v>
      </x:c>
      <x:c r="B567" s="32" t="str">
        <x:v>Productos metálicos no automotores</x:v>
      </x:c>
      <x:c r="C567" s="10" t="n">
        <x:f>IF(ISNUMBER('Actividades'!F704),'Actividades'!F704,"n.a.")</x:f>
        <x:v>37.35697470238095</x:v>
      </x:c>
      <x:c r="D567" s="10" t="n">
        <x:f>IF(ISNUMBER('Actividades'!G704),'Actividades'!G704,"n.a.")</x:f>
        <x:v>42.02423363095238</x:v>
      </x:c>
      <x:c r="E567" s="10" t="n">
        <x:f>IF(AND(ISNUMBER(C567),ISNUMBER(D567),C567&gt;=0,D567&gt;0),C567-D567,"n.a.")</x:f>
        <x:v>-4.667258928571428</x:v>
      </x:c>
      <x:c r="F567" s="12" t="n">
        <x:f>IF(ISNUMBER(E567),E567/D567,"n.a.")</x:f>
        <x:v>-0.11106113128815802</x:v>
      </x:c>
      <x:c r="G567" s="2" t="n">
        <x:f>IF(ISNUMBER(F567),IF(AND(ABS(F567)+0.00000000001&gt;=$B$6,ABS(E567)+0.000000001&gt;=$D$6),1,0),"n.a.")</x:f>
        <x:v>0</x:v>
      </x:c>
      <x:c r="H567" s="2" t="n">
        <x:f>IF(ISNUMBER(E567),SIGN(E567),"n.a.")</x:f>
        <x:v>-1</x:v>
      </x:c>
      <x:c r="I567" s="2" t="n">
        <x:f>IF(NOT(ISNUMBER(G567)),"n.a.",IF(G567=0,0,IF(AND(B567=B553,A567=EDATE(A553,1),H567=H553,ISNUMBER(I553)),I553+1,1)))</x:f>
        <x:v>0</x:v>
      </x:c>
      <x:c r="J567" s="2" t="n">
        <x:f>IF(ISNUMBER(F567),IF(AND(ABS(F567)+0.00000000001&gt;=$B$7,ABS(E567)+0.000000001&gt;=$D$7),1,0),"n.a.")</x:f>
        <x:v>0</x:v>
      </x:c>
      <x:c r="K567" s="2" t="str">
        <x:f>IF(NOT(ISNUMBER(F567)),"No evaluable",IF(OR(J567=1,I567&gt;=$B$8),"Prioridad",IF(G567=1,"Observar","Sin umbral")))</x:f>
        <x:v>Sin umbral</x:v>
      </x:c>
      <x:c r="L567" s="2" t="str">
        <x:f>IF(K567="No evaluable","Faltan datos",IF(J567=1,"Magnitud",IF(I567&gt;=$B$8,"Persistencia",IF(G567=1,"Cambio del mes","Sin umbral"))))</x:f>
        <x:v>Sin umbral</x:v>
      </x:c>
      <x:c r="M567" s="2" t="n">
        <x:f>ROW()-40</x:f>
        <x:v>527</x:v>
      </x:c>
    </x:row>
    <x:row r="568" ht="48" customHeight="1">
      <x:c r="A568" s="4" t="n">
        <x:v>46054</x:v>
      </x:c>
      <x:c r="B568" s="32" t="str">
        <x:v>Gran siderurgia</x:v>
      </x:c>
      <x:c r="C568" s="10" t="n">
        <x:f>IF(ISNUMBER('Actividades'!F705),'Actividades'!F705,"n.a.")</x:f>
        <x:v>213.15809077380953</x:v>
      </x:c>
      <x:c r="D568" s="10" t="n">
        <x:f>IF(ISNUMBER('Actividades'!G705),'Actividades'!G705,"n.a.")</x:f>
        <x:v>260.64379761904763</x:v>
      </x:c>
      <x:c r="E568" s="10" t="n">
        <x:f>IF(AND(ISNUMBER(C568),ISNUMBER(D568),C568&gt;=0,D568&gt;0),C568-D568,"n.a.")</x:f>
        <x:v>-47.4857068452381</x:v>
      </x:c>
      <x:c r="F568" s="12" t="n">
        <x:f>IF(ISNUMBER(E568),E568/D568,"n.a.")</x:f>
        <x:v>-0.18218621459253892</x:v>
      </x:c>
      <x:c r="G568" s="2" t="n">
        <x:f>IF(ISNUMBER(F568),IF(AND(ABS(F568)+0.00000000001&gt;=$B$6,ABS(E568)+0.000000001&gt;=$D$6),1,0),"n.a.")</x:f>
        <x:v>1</x:v>
      </x:c>
      <x:c r="H568" s="2" t="n">
        <x:f>IF(ISNUMBER(E568),SIGN(E568),"n.a.")</x:f>
        <x:v>-1</x:v>
      </x:c>
      <x:c r="I568" s="2" t="n">
        <x:f>IF(NOT(ISNUMBER(G568)),"n.a.",IF(G568=0,0,IF(AND(B568=B554,A568=EDATE(A554,1),H568=H554,ISNUMBER(I554)),I554+1,1)))</x:f>
        <x:v>1</x:v>
      </x:c>
      <x:c r="J568" s="2" t="n">
        <x:f>IF(ISNUMBER(F568),IF(AND(ABS(F568)+0.00000000001&gt;=$B$7,ABS(E568)+0.000000001&gt;=$D$7),1,0),"n.a.")</x:f>
        <x:v>0</x:v>
      </x:c>
      <x:c r="K568" s="2" t="str">
        <x:f>IF(NOT(ISNUMBER(F568)),"No evaluable",IF(OR(J568=1,I568&gt;=$B$8),"Prioridad",IF(G568=1,"Observar","Sin umbral")))</x:f>
        <x:v>Observar</x:v>
      </x:c>
      <x:c r="L568" s="2" t="str">
        <x:f>IF(K568="No evaluable","Faltan datos",IF(J568=1,"Magnitud",IF(I568&gt;=$B$8,"Persistencia",IF(G568=1,"Cambio del mes","Sin umbral"))))</x:f>
        <x:v>Cambio del mes</x:v>
      </x:c>
      <x:c r="M568" s="2" t="n">
        <x:f>ROW()-40</x:f>
        <x:v>528</x:v>
      </x:c>
    </x:row>
    <x:row r="569" ht="48" customHeight="1">
      <x:c r="A569" s="4" t="n">
        <x:v>46054</x:v>
      </x:c>
      <x:c r="B569" s="32" t="str">
        <x:v>Industria textil</x:v>
      </x:c>
      <x:c r="C569" s="10" t="n">
        <x:f>IF(ISNUMBER('Actividades'!F706),'Actividades'!F706,"n.a.")</x:f>
        <x:v>41.7211875</x:v>
      </x:c>
      <x:c r="D569" s="10" t="n">
        <x:f>IF(ISNUMBER('Actividades'!G706),'Actividades'!G706,"n.a.")</x:f>
        <x:v>59.01992857142857</x:v>
      </x:c>
      <x:c r="E569" s="10" t="n">
        <x:f>IF(AND(ISNUMBER(C569),ISNUMBER(D569),C569&gt;=0,D569&gt;0),C569-D569,"n.a.")</x:f>
        <x:v>-17.298741071428573</x:v>
      </x:c>
      <x:c r="F569" s="12" t="n">
        <x:f>IF(ISNUMBER(E569),E569/D569,"n.a.")</x:f>
        <x:v>-0.2931000001210245</x:v>
      </x:c>
      <x:c r="G569" s="2" t="n">
        <x:f>IF(ISNUMBER(F569),IF(AND(ABS(F569)+0.00000000001&gt;=$B$6,ABS(E569)+0.000000001&gt;=$D$6),1,0),"n.a.")</x:f>
        <x:v>1</x:v>
      </x:c>
      <x:c r="H569" s="2" t="n">
        <x:f>IF(ISNUMBER(E569),SIGN(E569),"n.a.")</x:f>
        <x:v>-1</x:v>
      </x:c>
      <x:c r="I569" s="2" t="n">
        <x:f>IF(NOT(ISNUMBER(G569)),"n.a.",IF(G569=0,0,IF(AND(B569=B555,A569=EDATE(A555,1),H569=H555,ISNUMBER(I555)),I555+1,1)))</x:f>
        <x:v>6</x:v>
      </x:c>
      <x:c r="J569" s="2" t="n">
        <x:f>IF(ISNUMBER(F569),IF(AND(ABS(F569)+0.00000000001&gt;=$B$7,ABS(E569)+0.000000001&gt;=$D$7),1,0),"n.a.")</x:f>
        <x:v>1</x:v>
      </x:c>
      <x:c r="K569" s="2" t="str">
        <x:f>IF(NOT(ISNUMBER(F569)),"No evaluable",IF(OR(J569=1,I569&gt;=$B$8),"Prioridad",IF(G569=1,"Observar","Sin umbral")))</x:f>
        <x:v>Prioridad</x:v>
      </x:c>
      <x:c r="L569" s="2" t="str">
        <x:f>IF(K569="No evaluable","Faltan datos",IF(J569=1,"Magnitud",IF(I569&gt;=$B$8,"Persistencia",IF(G569=1,"Cambio del mes","Sin umbral"))))</x:f>
        <x:v>Magnitud</x:v>
      </x:c>
      <x:c r="M569" s="2" t="n">
        <x:f>ROW()-40</x:f>
        <x:v>529</x:v>
      </x:c>
    </x:row>
    <x:row r="570" ht="48" customHeight="1">
      <x:c r="A570" s="4" t="n">
        <x:v>46054</x:v>
      </x:c>
      <x:c r="B570" s="32" t="str">
        <x:v>Químicas, caucho, plástico y otros minerales no metálicos</x:v>
      </x:c>
      <x:c r="C570" s="10" t="n">
        <x:f>IF(ISNUMBER('Actividades'!F707),'Actividades'!F707,"n.a.")</x:f>
        <x:v>364.08574553571435</x:v>
      </x:c>
      <x:c r="D570" s="10" t="n">
        <x:f>IF(ISNUMBER('Actividades'!G707),'Actividades'!G707,"n.a.")</x:f>
        <x:v>337.19717857142854</x:v>
      </x:c>
      <x:c r="E570" s="10" t="n">
        <x:f>IF(AND(ISNUMBER(C570),ISNUMBER(D570),C570&gt;=0,D570&gt;0),C570-D570,"n.a.")</x:f>
        <x:v>26.888566964285815</x:v>
      </x:c>
      <x:c r="F570" s="12" t="n">
        <x:f>IF(ISNUMBER(E570),E570/D570,"n.a.")</x:f>
        <x:v>0.07974137588636437</x:v>
      </x:c>
      <x:c r="G570" s="2" t="n">
        <x:f>IF(ISNUMBER(F570),IF(AND(ABS(F570)+0.00000000001&gt;=$B$6,ABS(E570)+0.000000001&gt;=$D$6),1,0),"n.a.")</x:f>
        <x:v>0</x:v>
      </x:c>
      <x:c r="H570" s="2" t="n">
        <x:f>IF(ISNUMBER(E570),SIGN(E570),"n.a.")</x:f>
        <x:v>1</x:v>
      </x:c>
      <x:c r="I570" s="2" t="n">
        <x:f>IF(NOT(ISNUMBER(G570)),"n.a.",IF(G570=0,0,IF(AND(B570=B556,A570=EDATE(A556,1),H570=H556,ISNUMBER(I556)),I556+1,1)))</x:f>
        <x:v>0</x:v>
      </x:c>
      <x:c r="J570" s="2" t="n">
        <x:f>IF(ISNUMBER(F570),IF(AND(ABS(F570)+0.00000000001&gt;=$B$7,ABS(E570)+0.000000001&gt;=$D$7),1,0),"n.a.")</x:f>
        <x:v>0</x:v>
      </x:c>
      <x:c r="K570" s="2" t="str">
        <x:f>IF(NOT(ISNUMBER(F570)),"No evaluable",IF(OR(J570=1,I570&gt;=$B$8),"Prioridad",IF(G570=1,"Observar","Sin umbral")))</x:f>
        <x:v>Sin umbral</x:v>
      </x:c>
      <x:c r="L570" s="2" t="str">
        <x:f>IF(K570="No evaluable","Faltan datos",IF(J570=1,"Magnitud",IF(I570&gt;=$B$8,"Persistencia",IF(G570=1,"Cambio del mes","Sin umbral"))))</x:f>
        <x:v>Sin umbral</x:v>
      </x:c>
      <x:c r="M570" s="2" t="n">
        <x:f>ROW()-40</x:f>
        <x:v>530</x:v>
      </x:c>
    </x:row>
    <x:row r="571" ht="48" customHeight="1">
      <x:c r="A571" s="4" t="n">
        <x:v>46054</x:v>
      </x:c>
      <x:c r="B571" s="32" t="str">
        <x:v>Extracción de minerales</x:v>
      </x:c>
      <x:c r="C571" s="10" t="n">
        <x:f>IF(ISNUMBER('Actividades'!F708),'Actividades'!F708,"n.a.")</x:f>
        <x:v>22.43691369047619</x:v>
      </x:c>
      <x:c r="D571" s="10" t="n">
        <x:f>IF(ISNUMBER('Actividades'!G708),'Actividades'!G708,"n.a.")</x:f>
        <x:v>21.88229910714286</x:v>
      </x:c>
      <x:c r="E571" s="10" t="n">
        <x:f>IF(AND(ISNUMBER(C571),ISNUMBER(D571),C571&gt;=0,D571&gt;0),C571-D571,"n.a.")</x:f>
        <x:v>0.5546145833333291</x:v>
      </x:c>
      <x:c r="F571" s="12" t="n">
        <x:f>IF(ISNUMBER(E571),E571/D571,"n.a.")</x:f>
        <x:v>0.025345352452123774</x:v>
      </x:c>
      <x:c r="G571" s="2" t="n">
        <x:f>IF(ISNUMBER(F571),IF(AND(ABS(F571)+0.00000000001&gt;=$B$6,ABS(E571)+0.000000001&gt;=$D$6),1,0),"n.a.")</x:f>
        <x:v>0</x:v>
      </x:c>
      <x:c r="H571" s="2" t="n">
        <x:f>IF(ISNUMBER(E571),SIGN(E571),"n.a.")</x:f>
        <x:v>1</x:v>
      </x:c>
      <x:c r="I571" s="2" t="n">
        <x:f>IF(NOT(ISNUMBER(G571)),"n.a.",IF(G571=0,0,IF(AND(B571=B557,A571=EDATE(A557,1),H571=H557,ISNUMBER(I557)),I557+1,1)))</x:f>
        <x:v>0</x:v>
      </x:c>
      <x:c r="J571" s="2" t="n">
        <x:f>IF(ISNUMBER(F571),IF(AND(ABS(F571)+0.00000000001&gt;=$B$7,ABS(E571)+0.000000001&gt;=$D$7),1,0),"n.a.")</x:f>
        <x:v>0</x:v>
      </x:c>
      <x:c r="K571" s="2" t="str">
        <x:f>IF(NOT(ISNUMBER(F571)),"No evaluable",IF(OR(J571=1,I571&gt;=$B$8),"Prioridad",IF(G571=1,"Observar","Sin umbral")))</x:f>
        <x:v>Sin umbral</x:v>
      </x:c>
      <x:c r="L571" s="2" t="str">
        <x:f>IF(K571="No evaluable","Faltan datos",IF(J571=1,"Magnitud",IF(I571&gt;=$B$8,"Persistencia",IF(G571=1,"Cambio del mes","Sin umbral"))))</x:f>
        <x:v>Sin umbral</x:v>
      </x:c>
      <x:c r="M571" s="2" t="n">
        <x:f>ROW()-40</x:f>
        <x:v>531</x:v>
      </x:c>
    </x:row>
    <x:row r="572" ht="48" customHeight="1">
      <x:c r="A572" s="4" t="n">
        <x:v>46054</x:v>
      </x:c>
      <x:c r="B572" s="32" t="str">
        <x:v>Extracción de petróleo</x:v>
      </x:c>
      <x:c r="C572" s="10" t="n">
        <x:f>IF(ISNUMBER('Actividades'!F709),'Actividades'!F709,"n.a.")</x:f>
        <x:v>158.34030208333334</x:v>
      </x:c>
      <x:c r="D572" s="10" t="n">
        <x:f>IF(ISNUMBER('Actividades'!G709),'Actividades'!G709,"n.a.")</x:f>
        <x:v>138.9379345238095</x:v>
      </x:c>
      <x:c r="E572" s="10" t="n">
        <x:f>IF(AND(ISNUMBER(C572),ISNUMBER(D572),C572&gt;=0,D572&gt;0),C572-D572,"n.a.")</x:f>
        <x:v>19.40236755952384</x:v>
      </x:c>
      <x:c r="F572" s="12" t="n">
        <x:f>IF(ISNUMBER(E572),E572/D572,"n.a.")</x:f>
        <x:v>0.13964773282417622</x:v>
      </x:c>
      <x:c r="G572" s="2" t="n">
        <x:f>IF(ISNUMBER(F572),IF(AND(ABS(F572)+0.00000000001&gt;=$B$6,ABS(E572)+0.000000001&gt;=$D$6),1,0),"n.a.")</x:f>
        <x:v>1</x:v>
      </x:c>
      <x:c r="H572" s="2" t="n">
        <x:f>IF(ISNUMBER(E572),SIGN(E572),"n.a.")</x:f>
        <x:v>1</x:v>
      </x:c>
      <x:c r="I572" s="2" t="n">
        <x:f>IF(NOT(ISNUMBER(G572)),"n.a.",IF(G572=0,0,IF(AND(B572=B558,A572=EDATE(A558,1),H572=H558,ISNUMBER(I558)),I558+1,1)))</x:f>
        <x:v>1</x:v>
      </x:c>
      <x:c r="J572" s="2" t="n">
        <x:f>IF(ISNUMBER(F572),IF(AND(ABS(F572)+0.00000000001&gt;=$B$7,ABS(E572)+0.000000001&gt;=$D$7),1,0),"n.a.")</x:f>
        <x:v>0</x:v>
      </x:c>
      <x:c r="K572" s="2" t="str">
        <x:f>IF(NOT(ISNUMBER(F572)),"No evaluable",IF(OR(J572=1,I572&gt;=$B$8),"Prioridad",IF(G572=1,"Observar","Sin umbral")))</x:f>
        <x:v>Observar</x:v>
      </x:c>
      <x:c r="L572" s="2" t="str">
        <x:f>IF(K572="No evaluable","Faltan datos",IF(J572=1,"Magnitud",IF(I572&gt;=$B$8,"Persistencia",IF(G572=1,"Cambio del mes","Sin umbral"))))</x:f>
        <x:v>Cambio del mes</x:v>
      </x:c>
      <x:c r="M572" s="2" t="n">
        <x:f>ROW()-40</x:f>
        <x:v>532</x:v>
      </x:c>
    </x:row>
    <x:row r="573" ht="48" customHeight="1">
      <x:c r="A573" s="4" t="n">
        <x:v>46082</x:v>
      </x:c>
      <x:c r="B573" s="32" t="str">
        <x:v>Cargas y puertos</x:v>
      </x:c>
      <x:c r="C573" s="10" t="n">
        <x:f>IF(ISNUMBER('Actividades'!F710),'Actividades'!F710,"n.a.")</x:f>
        <x:v>10.852607526881721</x:v>
      </x:c>
      <x:c r="D573" s="10" t="n">
        <x:f>IF(ISNUMBER('Actividades'!G710),'Actividades'!G710,"n.a.")</x:f>
        <x:v>11.341123655913979</x:v>
      </x:c>
      <x:c r="E573" s="10" t="n">
        <x:f>IF(AND(ISNUMBER(C573),ISNUMBER(D573),C573&gt;=0,D573&gt;0),C573-D573,"n.a.")</x:f>
        <x:v>-0.4885161290322575</x:v>
      </x:c>
      <x:c r="F573" s="12" t="n">
        <x:f>IF(ISNUMBER(E573),E573/D573,"n.a.")</x:f>
        <x:v>-0.043074755540427806</x:v>
      </x:c>
      <x:c r="G573" s="2" t="n">
        <x:f>IF(ISNUMBER(F573),IF(AND(ABS(F573)+0.00000000001&gt;=$B$6,ABS(E573)+0.000000001&gt;=$D$6),1,0),"n.a.")</x:f>
        <x:v>0</x:v>
      </x:c>
      <x:c r="H573" s="2" t="n">
        <x:f>IF(ISNUMBER(E573),SIGN(E573),"n.a.")</x:f>
        <x:v>-1</x:v>
      </x:c>
      <x:c r="I573" s="2" t="n">
        <x:f>IF(NOT(ISNUMBER(G573)),"n.a.",IF(G573=0,0,IF(AND(B573=B559,A573=EDATE(A559,1),H573=H559,ISNUMBER(I559)),I559+1,1)))</x:f>
        <x:v>0</x:v>
      </x:c>
      <x:c r="J573" s="2" t="n">
        <x:f>IF(ISNUMBER(F573),IF(AND(ABS(F573)+0.00000000001&gt;=$B$7,ABS(E573)+0.000000001&gt;=$D$7),1,0),"n.a.")</x:f>
        <x:v>0</x:v>
      </x:c>
      <x:c r="K573" s="2" t="str">
        <x:f>IF(NOT(ISNUMBER(F573)),"No evaluable",IF(OR(J573=1,I573&gt;=$B$8),"Prioridad",IF(G573=1,"Observar","Sin umbral")))</x:f>
        <x:v>Sin umbral</x:v>
      </x:c>
      <x:c r="L573" s="2" t="str">
        <x:f>IF(K573="No evaluable","Faltan datos",IF(J573=1,"Magnitud",IF(I573&gt;=$B$8,"Persistencia",IF(G573=1,"Cambio del mes","Sin umbral"))))</x:f>
        <x:v>Sin umbral</x:v>
      </x:c>
      <x:c r="M573" s="2" t="n">
        <x:f>ROW()-40</x:f>
        <x:v>533</x:v>
      </x:c>
    </x:row>
    <x:row r="574" ht="48" customHeight="1">
      <x:c r="A574" s="4" t="n">
        <x:v>46082</x:v>
      </x:c>
      <x:c r="B574" s="32" t="str">
        <x:v>Comercio y servicios: principalmente supermercados y centros comerciales</x:v>
      </x:c>
      <x:c r="C574" s="10" t="n">
        <x:f>IF(ISNUMBER('Actividades'!F711),'Actividades'!F711,"n.a.")</x:f>
        <x:v>57.47488844086021</x:v>
      </x:c>
      <x:c r="D574" s="10" t="n">
        <x:f>IF(ISNUMBER('Actividades'!G711),'Actividades'!G711,"n.a.")</x:f>
        <x:v>50.88724193548387</x:v>
      </x:c>
      <x:c r="E574" s="10" t="n">
        <x:f>IF(AND(ISNUMBER(C574),ISNUMBER(D574),C574&gt;=0,D574&gt;0),C574-D574,"n.a.")</x:f>
        <x:v>6.587646505376341</x:v>
      </x:c>
      <x:c r="F574" s="12" t="n">
        <x:f>IF(ISNUMBER(E574),E574/D574,"n.a.")</x:f>
        <x:v>0.12945575855198294</x:v>
      </x:c>
      <x:c r="G574" s="2" t="n">
        <x:f>IF(ISNUMBER(F574),IF(AND(ABS(F574)+0.00000000001&gt;=$B$6,ABS(E574)+0.000000001&gt;=$D$6),1,0),"n.a.")</x:f>
        <x:v>1</x:v>
      </x:c>
      <x:c r="H574" s="2" t="n">
        <x:f>IF(ISNUMBER(E574),SIGN(E574),"n.a.")</x:f>
        <x:v>1</x:v>
      </x:c>
      <x:c r="I574" s="2" t="n">
        <x:f>IF(NOT(ISNUMBER(G574)),"n.a.",IF(G574=0,0,IF(AND(B574=B560,A574=EDATE(A560,1),H574=H560,ISNUMBER(I560)),I560+1,1)))</x:f>
        <x:v>1</x:v>
      </x:c>
      <x:c r="J574" s="2" t="n">
        <x:f>IF(ISNUMBER(F574),IF(AND(ABS(F574)+0.00000000001&gt;=$B$7,ABS(E574)+0.000000001&gt;=$D$7),1,0),"n.a.")</x:f>
        <x:v>0</x:v>
      </x:c>
      <x:c r="K574" s="2" t="str">
        <x:f>IF(NOT(ISNUMBER(F574)),"No evaluable",IF(OR(J574=1,I574&gt;=$B$8),"Prioridad",IF(G574=1,"Observar","Sin umbral")))</x:f>
        <x:v>Observar</x:v>
      </x:c>
      <x:c r="L574" s="2" t="str">
        <x:f>IF(K574="No evaluable","Faltan datos",IF(J574=1,"Magnitud",IF(I574&gt;=$B$8,"Persistencia",IF(G574=1,"Cambio del mes","Sin umbral"))))</x:f>
        <x:v>Cambio del mes</x:v>
      </x:c>
      <x:c r="M574" s="2" t="n">
        <x:f>ROW()-40</x:f>
        <x:v>534</x:v>
      </x:c>
    </x:row>
    <x:row r="575" ht="48" customHeight="1">
      <x:c r="A575" s="4" t="n">
        <x:v>46082</x:v>
      </x:c>
      <x:c r="B575" s="32" t="str">
        <x:v>Alimentación y artículos de consumo masivo</x:v>
      </x:c>
      <x:c r="C575" s="10" t="n">
        <x:f>IF(ISNUMBER('Actividades'!F712),'Actividades'!F712,"n.a.")</x:f>
        <x:v>339.1743669354839</x:v>
      </x:c>
      <x:c r="D575" s="10" t="n">
        <x:f>IF(ISNUMBER('Actividades'!G712),'Actividades'!G712,"n.a.")</x:f>
        <x:v>285.7554690860215</x:v>
      </x:c>
      <x:c r="E575" s="10" t="n">
        <x:f>IF(AND(ISNUMBER(C575),ISNUMBER(D575),C575&gt;=0,D575&gt;0),C575-D575,"n.a.")</x:f>
        <x:v>53.41889784946238</x:v>
      </x:c>
      <x:c r="F575" s="12" t="n">
        <x:f>IF(ISNUMBER(E575),E575/D575,"n.a.")</x:f>
        <x:v>0.18693919672061146</x:v>
      </x:c>
      <x:c r="G575" s="2" t="n">
        <x:f>IF(ISNUMBER(F575),IF(AND(ABS(F575)+0.00000000001&gt;=$B$6,ABS(E575)+0.000000001&gt;=$D$6),1,0),"n.a.")</x:f>
        <x:v>1</x:v>
      </x:c>
      <x:c r="H575" s="2" t="n">
        <x:f>IF(ISNUMBER(E575),SIGN(E575),"n.a.")</x:f>
        <x:v>1</x:v>
      </x:c>
      <x:c r="I575" s="2" t="n">
        <x:f>IF(NOT(ISNUMBER(G575)),"n.a.",IF(G575=0,0,IF(AND(B575=B561,A575=EDATE(A561,1),H575=H561,ISNUMBER(I561)),I561+1,1)))</x:f>
        <x:v>1</x:v>
      </x:c>
      <x:c r="J575" s="2" t="n">
        <x:f>IF(ISNUMBER(F575),IF(AND(ABS(F575)+0.00000000001&gt;=$B$7,ABS(E575)+0.000000001&gt;=$D$7),1,0),"n.a.")</x:f>
        <x:v>0</x:v>
      </x:c>
      <x:c r="K575" s="2" t="str">
        <x:f>IF(NOT(ISNUMBER(F575)),"No evaluable",IF(OR(J575=1,I575&gt;=$B$8),"Prioridad",IF(G575=1,"Observar","Sin umbral")))</x:f>
        <x:v>Observar</x:v>
      </x:c>
      <x:c r="L575" s="2" t="str">
        <x:f>IF(K575="No evaluable","Faltan datos",IF(J575=1,"Magnitud",IF(I575&gt;=$B$8,"Persistencia",IF(G575=1,"Cambio del mes","Sin umbral"))))</x:f>
        <x:v>Cambio del mes</x:v>
      </x:c>
      <x:c r="M575" s="2" t="n">
        <x:f>ROW()-40</x:f>
        <x:v>535</x:v>
      </x:c>
    </x:row>
    <x:row r="576" ht="48" customHeight="1">
      <x:c r="A576" s="4" t="n">
        <x:v>46082</x:v>
      </x:c>
      <x:c r="B576" s="32" t="str">
        <x:v>Servicios públicos y transporte: agua y transporte en GBA</x:v>
      </x:c>
      <x:c r="C576" s="10" t="n">
        <x:f>IF(ISNUMBER('Actividades'!F713),'Actividades'!F713,"n.a.")</x:f>
        <x:v>69.79763037634409</x:v>
      </x:c>
      <x:c r="D576" s="10" t="n">
        <x:f>IF(ISNUMBER('Actividades'!G713),'Actividades'!G713,"n.a.")</x:f>
        <x:v>75.19778091397849</x:v>
      </x:c>
      <x:c r="E576" s="10" t="n">
        <x:f>IF(AND(ISNUMBER(C576),ISNUMBER(D576),C576&gt;=0,D576&gt;0),C576-D576,"n.a.")</x:f>
        <x:v>-5.400150537634403</x:v>
      </x:c>
      <x:c r="F576" s="12" t="n">
        <x:f>IF(ISNUMBER(E576),E576/D576,"n.a.")</x:f>
        <x:v>-0.07181263159629449</x:v>
      </x:c>
      <x:c r="G576" s="2" t="n">
        <x:f>IF(ISNUMBER(F576),IF(AND(ABS(F576)+0.00000000001&gt;=$B$6,ABS(E576)+0.000000001&gt;=$D$6),1,0),"n.a.")</x:f>
        <x:v>0</x:v>
      </x:c>
      <x:c r="H576" s="2" t="n">
        <x:f>IF(ISNUMBER(E576),SIGN(E576),"n.a.")</x:f>
        <x:v>-1</x:v>
      </x:c>
      <x:c r="I576" s="2" t="n">
        <x:f>IF(NOT(ISNUMBER(G576)),"n.a.",IF(G576=0,0,IF(AND(B576=B562,A576=EDATE(A562,1),H576=H562,ISNUMBER(I562)),I562+1,1)))</x:f>
        <x:v>0</x:v>
      </x:c>
      <x:c r="J576" s="2" t="n">
        <x:f>IF(ISNUMBER(F576),IF(AND(ABS(F576)+0.00000000001&gt;=$B$7,ABS(E576)+0.000000001&gt;=$D$7),1,0),"n.a.")</x:f>
        <x:v>0</x:v>
      </x:c>
      <x:c r="K576" s="2" t="str">
        <x:f>IF(NOT(ISNUMBER(F576)),"No evaluable",IF(OR(J576=1,I576&gt;=$B$8),"Prioridad",IF(G576=1,"Observar","Sin umbral")))</x:f>
        <x:v>Sin umbral</x:v>
      </x:c>
      <x:c r="L576" s="2" t="str">
        <x:f>IF(K576="No evaluable","Faltan datos",IF(J576=1,"Magnitud",IF(I576&gt;=$B$8,"Persistencia",IF(G576=1,"Cambio del mes","Sin umbral"))))</x:f>
        <x:v>Sin umbral</x:v>
      </x:c>
      <x:c r="M576" s="2" t="n">
        <x:f>ROW()-40</x:f>
        <x:v>536</x:v>
      </x:c>
    </x:row>
    <x:row r="577" ht="48" customHeight="1">
      <x:c r="A577" s="4" t="n">
        <x:v>46082</x:v>
      </x:c>
      <x:c r="B577" s="32" t="str">
        <x:v>Industria automotriz</x:v>
      </x:c>
      <x:c r="C577" s="10" t="n">
        <x:f>IF(ISNUMBER('Actividades'!F714),'Actividades'!F714,"n.a.")</x:f>
        <x:v>45.50714112903226</x:v>
      </x:c>
      <x:c r="D577" s="10" t="n">
        <x:f>IF(ISNUMBER('Actividades'!G714),'Actividades'!G714,"n.a.")</x:f>
        <x:v>42.55074596774193</x:v>
      </x:c>
      <x:c r="E577" s="10" t="n">
        <x:f>IF(AND(ISNUMBER(C577),ISNUMBER(D577),C577&gt;=0,D577&gt;0),C577-D577,"n.a.")</x:f>
        <x:v>2.956395161290331</x:v>
      </x:c>
      <x:c r="F577" s="12" t="n">
        <x:f>IF(ISNUMBER(E577),E577/D577,"n.a.")</x:f>
        <x:v>0.06947927924769165</x:v>
      </x:c>
      <x:c r="G577" s="2" t="n">
        <x:f>IF(ISNUMBER(F577),IF(AND(ABS(F577)+0.00000000001&gt;=$B$6,ABS(E577)+0.000000001&gt;=$D$6),1,0),"n.a.")</x:f>
        <x:v>0</x:v>
      </x:c>
      <x:c r="H577" s="2" t="n">
        <x:f>IF(ISNUMBER(E577),SIGN(E577),"n.a.")</x:f>
        <x:v>1</x:v>
      </x:c>
      <x:c r="I577" s="2" t="n">
        <x:f>IF(NOT(ISNUMBER(G577)),"n.a.",IF(G577=0,0,IF(AND(B577=B563,A577=EDATE(A563,1),H577=H563,ISNUMBER(I563)),I563+1,1)))</x:f>
        <x:v>0</x:v>
      </x:c>
      <x:c r="J577" s="2" t="n">
        <x:f>IF(ISNUMBER(F577),IF(AND(ABS(F577)+0.00000000001&gt;=$B$7,ABS(E577)+0.000000001&gt;=$D$7),1,0),"n.a.")</x:f>
        <x:v>0</x:v>
      </x:c>
      <x:c r="K577" s="2" t="str">
        <x:f>IF(NOT(ISNUMBER(F577)),"No evaluable",IF(OR(J577=1,I577&gt;=$B$8),"Prioridad",IF(G577=1,"Observar","Sin umbral")))</x:f>
        <x:v>Sin umbral</x:v>
      </x:c>
      <x:c r="L577" s="2" t="str">
        <x:f>IF(K577="No evaluable","Faltan datos",IF(J577=1,"Magnitud",IF(I577&gt;=$B$8,"Persistencia",IF(G577=1,"Cambio del mes","Sin umbral"))))</x:f>
        <x:v>Sin umbral</x:v>
      </x:c>
      <x:c r="M577" s="2" t="n">
        <x:f>ROW()-40</x:f>
        <x:v>537</x:v>
      </x:c>
    </x:row>
    <x:row r="578" ht="48" customHeight="1">
      <x:c r="A578" s="4" t="n">
        <x:v>46082</x:v>
      </x:c>
      <x:c r="B578" s="32" t="str">
        <x:v>Derivados de petróleo</x:v>
      </x:c>
      <x:c r="C578" s="10" t="n">
        <x:f>IF(ISNUMBER('Actividades'!F715),'Actividades'!F715,"n.a.")</x:f>
        <x:v>156.12831586021508</x:v>
      </x:c>
      <x:c r="D578" s="10" t="n">
        <x:f>IF(ISNUMBER('Actividades'!G715),'Actividades'!G715,"n.a.")</x:f>
        <x:v>149.64575806451614</x:v>
      </x:c>
      <x:c r="E578" s="10" t="n">
        <x:f>IF(AND(ISNUMBER(C578),ISNUMBER(D578),C578&gt;=0,D578&gt;0),C578-D578,"n.a.")</x:f>
        <x:v>6.482557795698938</x:v>
      </x:c>
      <x:c r="F578" s="12" t="n">
        <x:f>IF(ISNUMBER(E578),E578/D578,"n.a.")</x:f>
        <x:v>0.04331935552028237</x:v>
      </x:c>
      <x:c r="G578" s="2" t="n">
        <x:f>IF(ISNUMBER(F578),IF(AND(ABS(F578)+0.00000000001&gt;=$B$6,ABS(E578)+0.000000001&gt;=$D$6),1,0),"n.a.")</x:f>
        <x:v>0</x:v>
      </x:c>
      <x:c r="H578" s="2" t="n">
        <x:f>IF(ISNUMBER(E578),SIGN(E578),"n.a.")</x:f>
        <x:v>1</x:v>
      </x:c>
      <x:c r="I578" s="2" t="n">
        <x:f>IF(NOT(ISNUMBER(G578)),"n.a.",IF(G578=0,0,IF(AND(B578=B564,A578=EDATE(A564,1),H578=H564,ISNUMBER(I564)),I564+1,1)))</x:f>
        <x:v>0</x:v>
      </x:c>
      <x:c r="J578" s="2" t="n">
        <x:f>IF(ISNUMBER(F578),IF(AND(ABS(F578)+0.00000000001&gt;=$B$7,ABS(E578)+0.000000001&gt;=$D$7),1,0),"n.a.")</x:f>
        <x:v>0</x:v>
      </x:c>
      <x:c r="K578" s="2" t="str">
        <x:f>IF(NOT(ISNUMBER(F578)),"No evaluable",IF(OR(J578=1,I578&gt;=$B$8),"Prioridad",IF(G578=1,"Observar","Sin umbral")))</x:f>
        <x:v>Sin umbral</x:v>
      </x:c>
      <x:c r="L578" s="2" t="str">
        <x:f>IF(K578="No evaluable","Faltan datos",IF(J578=1,"Magnitud",IF(I578&gt;=$B$8,"Persistencia",IF(G578=1,"Cambio del mes","Sin umbral"))))</x:f>
        <x:v>Sin umbral</x:v>
      </x:c>
      <x:c r="M578" s="2" t="n">
        <x:f>ROW()-40</x:f>
        <x:v>538</x:v>
      </x:c>
    </x:row>
    <x:row r="579" ht="48" customHeight="1">
      <x:c r="A579" s="4" t="n">
        <x:v>46082</x:v>
      </x:c>
      <x:c r="B579" s="32" t="str">
        <x:v>Construcción: elaboración de cemento y canteras</x:v>
      </x:c>
      <x:c r="C579" s="10" t="n">
        <x:f>IF(ISNUMBER('Actividades'!F716),'Actividades'!F716,"n.a.")</x:f>
        <x:v>152.45844220430106</x:v>
      </x:c>
      <x:c r="D579" s="10" t="n">
        <x:f>IF(ISNUMBER('Actividades'!G716),'Actividades'!G716,"n.a.")</x:f>
        <x:v>142.41225403225806</x:v>
      </x:c>
      <x:c r="E579" s="10" t="n">
        <x:f>IF(AND(ISNUMBER(C579),ISNUMBER(D579),C579&gt;=0,D579&gt;0),C579-D579,"n.a.")</x:f>
        <x:v>10.046188172043003</x:v>
      </x:c>
      <x:c r="F579" s="12" t="n">
        <x:f>IF(ISNUMBER(E579),E579/D579,"n.a.")</x:f>
        <x:v>0.07054300376263564</x:v>
      </x:c>
      <x:c r="G579" s="2" t="n">
        <x:f>IF(ISNUMBER(F579),IF(AND(ABS(F579)+0.00000000001&gt;=$B$6,ABS(E579)+0.000000001&gt;=$D$6),1,0),"n.a.")</x:f>
        <x:v>0</x:v>
      </x:c>
      <x:c r="H579" s="2" t="n">
        <x:f>IF(ISNUMBER(E579),SIGN(E579),"n.a.")</x:f>
        <x:v>1</x:v>
      </x:c>
      <x:c r="I579" s="2" t="n">
        <x:f>IF(NOT(ISNUMBER(G579)),"n.a.",IF(G579=0,0,IF(AND(B579=B565,A579=EDATE(A565,1),H579=H565,ISNUMBER(I565)),I565+1,1)))</x:f>
        <x:v>0</x:v>
      </x:c>
      <x:c r="J579" s="2" t="n">
        <x:f>IF(ISNUMBER(F579),IF(AND(ABS(F579)+0.00000000001&gt;=$B$7,ABS(E579)+0.000000001&gt;=$D$7),1,0),"n.a.")</x:f>
        <x:v>0</x:v>
      </x:c>
      <x:c r="K579" s="2" t="str">
        <x:f>IF(NOT(ISNUMBER(F579)),"No evaluable",IF(OR(J579=1,I579&gt;=$B$8),"Prioridad",IF(G579=1,"Observar","Sin umbral")))</x:f>
        <x:v>Sin umbral</x:v>
      </x:c>
      <x:c r="L579" s="2" t="str">
        <x:f>IF(K579="No evaluable","Faltan datos",IF(J579=1,"Magnitud",IF(I579&gt;=$B$8,"Persistencia",IF(G579=1,"Cambio del mes","Sin umbral"))))</x:f>
        <x:v>Sin umbral</x:v>
      </x:c>
      <x:c r="M579" s="2" t="n">
        <x:f>ROW()-40</x:f>
        <x:v>539</x:v>
      </x:c>
    </x:row>
    <x:row r="580" ht="48" customHeight="1">
      <x:c r="A580" s="4" t="n">
        <x:v>46082</x:v>
      </x:c>
      <x:c r="B580" s="32" t="str">
        <x:v>Madera y papel</x:v>
      </x:c>
      <x:c r="C580" s="10" t="n">
        <x:f>IF(ISNUMBER('Actividades'!F717),'Actividades'!F717,"n.a.")</x:f>
        <x:v>103.47159139784947</x:v>
      </x:c>
      <x:c r="D580" s="10" t="n">
        <x:f>IF(ISNUMBER('Actividades'!G717),'Actividades'!G717,"n.a.")</x:f>
        <x:v>98.3025497311828</x:v>
      </x:c>
      <x:c r="E580" s="10" t="n">
        <x:f>IF(AND(ISNUMBER(C580),ISNUMBER(D580),C580&gt;=0,D580&gt;0),C580-D580,"n.a.")</x:f>
        <x:v>5.169041666666672</x:v>
      </x:c>
      <x:c r="F580" s="12" t="n">
        <x:f>IF(ISNUMBER(E580),E580/D580,"n.a.")</x:f>
        <x:v>0.05258298671603009</x:v>
      </x:c>
      <x:c r="G580" s="2" t="n">
        <x:f>IF(ISNUMBER(F580),IF(AND(ABS(F580)+0.00000000001&gt;=$B$6,ABS(E580)+0.000000001&gt;=$D$6),1,0),"n.a.")</x:f>
        <x:v>0</x:v>
      </x:c>
      <x:c r="H580" s="2" t="n">
        <x:f>IF(ISNUMBER(E580),SIGN(E580),"n.a.")</x:f>
        <x:v>1</x:v>
      </x:c>
      <x:c r="I580" s="2" t="n">
        <x:f>IF(NOT(ISNUMBER(G580)),"n.a.",IF(G580=0,0,IF(AND(B580=B566,A580=EDATE(A566,1),H580=H566,ISNUMBER(I566)),I566+1,1)))</x:f>
        <x:v>0</x:v>
      </x:c>
      <x:c r="J580" s="2" t="n">
        <x:f>IF(ISNUMBER(F580),IF(AND(ABS(F580)+0.00000000001&gt;=$B$7,ABS(E580)+0.000000001&gt;=$D$7),1,0),"n.a.")</x:f>
        <x:v>0</x:v>
      </x:c>
      <x:c r="K580" s="2" t="str">
        <x:f>IF(NOT(ISNUMBER(F580)),"No evaluable",IF(OR(J580=1,I580&gt;=$B$8),"Prioridad",IF(G580=1,"Observar","Sin umbral")))</x:f>
        <x:v>Sin umbral</x:v>
      </x:c>
      <x:c r="L580" s="2" t="str">
        <x:f>IF(K580="No evaluable","Faltan datos",IF(J580=1,"Magnitud",IF(I580&gt;=$B$8,"Persistencia",IF(G580=1,"Cambio del mes","Sin umbral"))))</x:f>
        <x:v>Sin umbral</x:v>
      </x:c>
      <x:c r="M580" s="2" t="n">
        <x:f>ROW()-40</x:f>
        <x:v>540</x:v>
      </x:c>
    </x:row>
    <x:row r="581" ht="48" customHeight="1">
      <x:c r="A581" s="4" t="n">
        <x:v>46082</x:v>
      </x:c>
      <x:c r="B581" s="32" t="str">
        <x:v>Productos metálicos no automotores</x:v>
      </x:c>
      <x:c r="C581" s="10" t="n">
        <x:f>IF(ISNUMBER('Actividades'!F718),'Actividades'!F718,"n.a.")</x:f>
        <x:v>39.9608440860215</x:v>
      </x:c>
      <x:c r="D581" s="10" t="n">
        <x:f>IF(ISNUMBER('Actividades'!G718),'Actividades'!G718,"n.a.")</x:f>
        <x:v>28.755403225806454</x:v>
      </x:c>
      <x:c r="E581" s="10" t="n">
        <x:f>IF(AND(ISNUMBER(C581),ISNUMBER(D581),C581&gt;=0,D581&gt;0),C581-D581,"n.a.")</x:f>
        <x:v>11.205440860215049</x:v>
      </x:c>
      <x:c r="F581" s="12" t="n">
        <x:f>IF(ISNUMBER(E581),E581/D581,"n.a.")</x:f>
        <x:v>0.38968122867978977</x:v>
      </x:c>
      <x:c r="G581" s="2" t="n">
        <x:f>IF(ISNUMBER(F581),IF(AND(ABS(F581)+0.00000000001&gt;=$B$6,ABS(E581)+0.000000001&gt;=$D$6),1,0),"n.a.")</x:f>
        <x:v>1</x:v>
      </x:c>
      <x:c r="H581" s="2" t="n">
        <x:f>IF(ISNUMBER(E581),SIGN(E581),"n.a.")</x:f>
        <x:v>1</x:v>
      </x:c>
      <x:c r="I581" s="2" t="n">
        <x:f>IF(NOT(ISNUMBER(G581)),"n.a.",IF(G581=0,0,IF(AND(B581=B567,A581=EDATE(A567,1),H581=H567,ISNUMBER(I567)),I567+1,1)))</x:f>
        <x:v>1</x:v>
      </x:c>
      <x:c r="J581" s="2" t="n">
        <x:f>IF(ISNUMBER(F581),IF(AND(ABS(F581)+0.00000000001&gt;=$B$7,ABS(E581)+0.000000001&gt;=$D$7),1,0),"n.a.")</x:f>
        <x:v>1</x:v>
      </x:c>
      <x:c r="K581" s="2" t="str">
        <x:f>IF(NOT(ISNUMBER(F581)),"No evaluable",IF(OR(J581=1,I581&gt;=$B$8),"Prioridad",IF(G581=1,"Observar","Sin umbral")))</x:f>
        <x:v>Prioridad</x:v>
      </x:c>
      <x:c r="L581" s="2" t="str">
        <x:f>IF(K581="No evaluable","Faltan datos",IF(J581=1,"Magnitud",IF(I581&gt;=$B$8,"Persistencia",IF(G581=1,"Cambio del mes","Sin umbral"))))</x:f>
        <x:v>Magnitud</x:v>
      </x:c>
      <x:c r="M581" s="2" t="n">
        <x:f>ROW()-40</x:f>
        <x:v>541</x:v>
      </x:c>
    </x:row>
    <x:row r="582" ht="48" customHeight="1">
      <x:c r="A582" s="4" t="n">
        <x:v>46082</x:v>
      </x:c>
      <x:c r="B582" s="32" t="str">
        <x:v>Gran siderurgia</x:v>
      </x:c>
      <x:c r="C582" s="10" t="n">
        <x:f>IF(ISNUMBER('Actividades'!F719),'Actividades'!F719,"n.a.")</x:f>
        <x:v>321.48939784946236</x:v>
      </x:c>
      <x:c r="D582" s="10" t="n">
        <x:f>IF(ISNUMBER('Actividades'!G719),'Actividades'!G719,"n.a.")</x:f>
        <x:v>247.3586586021505</x:v>
      </x:c>
      <x:c r="E582" s="10" t="n">
        <x:f>IF(AND(ISNUMBER(C582),ISNUMBER(D582),C582&gt;=0,D582&gt;0),C582-D582,"n.a.")</x:f>
        <x:v>74.13073924731185</x:v>
      </x:c>
      <x:c r="F582" s="12" t="n">
        <x:f>IF(ISNUMBER(E582),E582/D582,"n.a.")</x:f>
        <x:v>0.2996892838368075</x:v>
      </x:c>
      <x:c r="G582" s="2" t="n">
        <x:f>IF(ISNUMBER(F582),IF(AND(ABS(F582)+0.00000000001&gt;=$B$6,ABS(E582)+0.000000001&gt;=$D$6),1,0),"n.a.")</x:f>
        <x:v>1</x:v>
      </x:c>
      <x:c r="H582" s="2" t="n">
        <x:f>IF(ISNUMBER(E582),SIGN(E582),"n.a.")</x:f>
        <x:v>1</x:v>
      </x:c>
      <x:c r="I582" s="2" t="n">
        <x:f>IF(NOT(ISNUMBER(G582)),"n.a.",IF(G582=0,0,IF(AND(B582=B568,A582=EDATE(A568,1),H582=H568,ISNUMBER(I568)),I568+1,1)))</x:f>
        <x:v>1</x:v>
      </x:c>
      <x:c r="J582" s="2" t="n">
        <x:f>IF(ISNUMBER(F582),IF(AND(ABS(F582)+0.00000000001&gt;=$B$7,ABS(E582)+0.000000001&gt;=$D$7),1,0),"n.a.")</x:f>
        <x:v>1</x:v>
      </x:c>
      <x:c r="K582" s="2" t="str">
        <x:f>IF(NOT(ISNUMBER(F582)),"No evaluable",IF(OR(J582=1,I582&gt;=$B$8),"Prioridad",IF(G582=1,"Observar","Sin umbral")))</x:f>
        <x:v>Prioridad</x:v>
      </x:c>
      <x:c r="L582" s="2" t="str">
        <x:f>IF(K582="No evaluable","Faltan datos",IF(J582=1,"Magnitud",IF(I582&gt;=$B$8,"Persistencia",IF(G582=1,"Cambio del mes","Sin umbral"))))</x:f>
        <x:v>Magnitud</x:v>
      </x:c>
      <x:c r="M582" s="2" t="n">
        <x:f>ROW()-40</x:f>
        <x:v>542</x:v>
      </x:c>
    </x:row>
    <x:row r="583" ht="48" customHeight="1">
      <x:c r="A583" s="4" t="n">
        <x:v>46082</x:v>
      </x:c>
      <x:c r="B583" s="32" t="str">
        <x:v>Industria textil</x:v>
      </x:c>
      <x:c r="C583" s="10" t="n">
        <x:f>IF(ISNUMBER('Actividades'!F720),'Actividades'!F720,"n.a.")</x:f>
        <x:v>43.3380685483871</x:v>
      </x:c>
      <x:c r="D583" s="10" t="n">
        <x:f>IF(ISNUMBER('Actividades'!G720),'Actividades'!G720,"n.a.")</x:f>
        <x:v>55.125762096774196</x:v>
      </x:c>
      <x:c r="E583" s="10" t="n">
        <x:f>IF(AND(ISNUMBER(C583),ISNUMBER(D583),C583&gt;=0,D583&gt;0),C583-D583,"n.a.")</x:f>
        <x:v>-11.787693548387097</x:v>
      </x:c>
      <x:c r="F583" s="12" t="n">
        <x:f>IF(ISNUMBER(E583),E583/D583,"n.a.")</x:f>
        <x:v>-0.21383275441514266</x:v>
      </x:c>
      <x:c r="G583" s="2" t="n">
        <x:f>IF(ISNUMBER(F583),IF(AND(ABS(F583)+0.00000000001&gt;=$B$6,ABS(E583)+0.000000001&gt;=$D$6),1,0),"n.a.")</x:f>
        <x:v>1</x:v>
      </x:c>
      <x:c r="H583" s="2" t="n">
        <x:f>IF(ISNUMBER(E583),SIGN(E583),"n.a.")</x:f>
        <x:v>-1</x:v>
      </x:c>
      <x:c r="I583" s="2" t="n">
        <x:f>IF(NOT(ISNUMBER(G583)),"n.a.",IF(G583=0,0,IF(AND(B583=B569,A583=EDATE(A569,1),H583=H569,ISNUMBER(I569)),I569+1,1)))</x:f>
        <x:v>7</x:v>
      </x:c>
      <x:c r="J583" s="2" t="n">
        <x:f>IF(ISNUMBER(F583),IF(AND(ABS(F583)+0.00000000001&gt;=$B$7,ABS(E583)+0.000000001&gt;=$D$7),1,0),"n.a.")</x:f>
        <x:v>1</x:v>
      </x:c>
      <x:c r="K583" s="2" t="str">
        <x:f>IF(NOT(ISNUMBER(F583)),"No evaluable",IF(OR(J583=1,I583&gt;=$B$8),"Prioridad",IF(G583=1,"Observar","Sin umbral")))</x:f>
        <x:v>Prioridad</x:v>
      </x:c>
      <x:c r="L583" s="2" t="str">
        <x:f>IF(K583="No evaluable","Faltan datos",IF(J583=1,"Magnitud",IF(I583&gt;=$B$8,"Persistencia",IF(G583=1,"Cambio del mes","Sin umbral"))))</x:f>
        <x:v>Magnitud</x:v>
      </x:c>
      <x:c r="M583" s="2" t="n">
        <x:f>ROW()-40</x:f>
        <x:v>543</x:v>
      </x:c>
    </x:row>
    <x:row r="584" ht="48" customHeight="1">
      <x:c r="A584" s="4" t="n">
        <x:v>46082</x:v>
      </x:c>
      <x:c r="B584" s="32" t="str">
        <x:v>Químicas, caucho, plástico y otros minerales no metálicos</x:v>
      </x:c>
      <x:c r="C584" s="10" t="n">
        <x:f>IF(ISNUMBER('Actividades'!F721),'Actividades'!F721,"n.a.")</x:f>
        <x:v>362.32104838709677</x:v>
      </x:c>
      <x:c r="D584" s="10" t="n">
        <x:f>IF(ISNUMBER('Actividades'!G721),'Actividades'!G721,"n.a.")</x:f>
        <x:v>319.7549583333333</x:v>
      </x:c>
      <x:c r="E584" s="10" t="n">
        <x:f>IF(AND(ISNUMBER(C584),ISNUMBER(D584),C584&gt;=0,D584&gt;0),C584-D584,"n.a.")</x:f>
        <x:v>42.566090053763446</x:v>
      </x:c>
      <x:c r="F584" s="12" t="n">
        <x:f>IF(ISNUMBER(E584),E584/D584,"n.a.")</x:f>
        <x:v>0.133120969493739</x:v>
      </x:c>
      <x:c r="G584" s="2" t="n">
        <x:f>IF(ISNUMBER(F584),IF(AND(ABS(F584)+0.00000000001&gt;=$B$6,ABS(E584)+0.000000001&gt;=$D$6),1,0),"n.a.")</x:f>
        <x:v>1</x:v>
      </x:c>
      <x:c r="H584" s="2" t="n">
        <x:f>IF(ISNUMBER(E584),SIGN(E584),"n.a.")</x:f>
        <x:v>1</x:v>
      </x:c>
      <x:c r="I584" s="2" t="n">
        <x:f>IF(NOT(ISNUMBER(G584)),"n.a.",IF(G584=0,0,IF(AND(B584=B570,A584=EDATE(A570,1),H584=H570,ISNUMBER(I570)),I570+1,1)))</x:f>
        <x:v>1</x:v>
      </x:c>
      <x:c r="J584" s="2" t="n">
        <x:f>IF(ISNUMBER(F584),IF(AND(ABS(F584)+0.00000000001&gt;=$B$7,ABS(E584)+0.000000001&gt;=$D$7),1,0),"n.a.")</x:f>
        <x:v>0</x:v>
      </x:c>
      <x:c r="K584" s="2" t="str">
        <x:f>IF(NOT(ISNUMBER(F584)),"No evaluable",IF(OR(J584=1,I584&gt;=$B$8),"Prioridad",IF(G584=1,"Observar","Sin umbral")))</x:f>
        <x:v>Observar</x:v>
      </x:c>
      <x:c r="L584" s="2" t="str">
        <x:f>IF(K584="No evaluable","Faltan datos",IF(J584=1,"Magnitud",IF(I584&gt;=$B$8,"Persistencia",IF(G584=1,"Cambio del mes","Sin umbral"))))</x:f>
        <x:v>Cambio del mes</x:v>
      </x:c>
      <x:c r="M584" s="2" t="n">
        <x:f>ROW()-40</x:f>
        <x:v>544</x:v>
      </x:c>
    </x:row>
    <x:row r="585" ht="48" customHeight="1">
      <x:c r="A585" s="4" t="n">
        <x:v>46082</x:v>
      </x:c>
      <x:c r="B585" s="32" t="str">
        <x:v>Extracción de minerales</x:v>
      </x:c>
      <x:c r="C585" s="10" t="n">
        <x:f>IF(ISNUMBER('Actividades'!F722),'Actividades'!F722,"n.a.")</x:f>
        <x:v>24.292866935483868</x:v>
      </x:c>
      <x:c r="D585" s="10" t="n">
        <x:f>IF(ISNUMBER('Actividades'!G722),'Actividades'!G722,"n.a.")</x:f>
        <x:v>22.25468548387097</x:v>
      </x:c>
      <x:c r="E585" s="10" t="n">
        <x:f>IF(AND(ISNUMBER(C585),ISNUMBER(D585),C585&gt;=0,D585&gt;0),C585-D585,"n.a.")</x:f>
        <x:v>2.0381814516128998</x:v>
      </x:c>
      <x:c r="F585" s="12" t="n">
        <x:f>IF(ISNUMBER(E585),E585/D585,"n.a.")</x:f>
        <x:v>0.09158437458440233</x:v>
      </x:c>
      <x:c r="G585" s="2" t="n">
        <x:f>IF(ISNUMBER(F585),IF(AND(ABS(F585)+0.00000000001&gt;=$B$6,ABS(E585)+0.000000001&gt;=$D$6),1,0),"n.a.")</x:f>
        <x:v>0</x:v>
      </x:c>
      <x:c r="H585" s="2" t="n">
        <x:f>IF(ISNUMBER(E585),SIGN(E585),"n.a.")</x:f>
        <x:v>1</x:v>
      </x:c>
      <x:c r="I585" s="2" t="n">
        <x:f>IF(NOT(ISNUMBER(G585)),"n.a.",IF(G585=0,0,IF(AND(B585=B571,A585=EDATE(A571,1),H585=H571,ISNUMBER(I571)),I571+1,1)))</x:f>
        <x:v>0</x:v>
      </x:c>
      <x:c r="J585" s="2" t="n">
        <x:f>IF(ISNUMBER(F585),IF(AND(ABS(F585)+0.00000000001&gt;=$B$7,ABS(E585)+0.000000001&gt;=$D$7),1,0),"n.a.")</x:f>
        <x:v>0</x:v>
      </x:c>
      <x:c r="K585" s="2" t="str">
        <x:f>IF(NOT(ISNUMBER(F585)),"No evaluable",IF(OR(J585=1,I585&gt;=$B$8),"Prioridad",IF(G585=1,"Observar","Sin umbral")))</x:f>
        <x:v>Sin umbral</x:v>
      </x:c>
      <x:c r="L585" s="2" t="str">
        <x:f>IF(K585="No evaluable","Faltan datos",IF(J585=1,"Magnitud",IF(I585&gt;=$B$8,"Persistencia",IF(G585=1,"Cambio del mes","Sin umbral"))))</x:f>
        <x:v>Sin umbral</x:v>
      </x:c>
      <x:c r="M585" s="2" t="n">
        <x:f>ROW()-40</x:f>
        <x:v>545</x:v>
      </x:c>
    </x:row>
    <x:row r="586" ht="48" customHeight="1">
      <x:c r="A586" s="4" t="n">
        <x:v>46082</x:v>
      </x:c>
      <x:c r="B586" s="32" t="str">
        <x:v>Extracción de petróleo</x:v>
      </x:c>
      <x:c r="C586" s="10" t="n">
        <x:f>IF(ISNUMBER('Actividades'!F723),'Actividades'!F723,"n.a.")</x:f>
        <x:v>157.01128225806454</x:v>
      </x:c>
      <x:c r="D586" s="10" t="n">
        <x:f>IF(ISNUMBER('Actividades'!G723),'Actividades'!G723,"n.a.")</x:f>
        <x:v>145.48089516129033</x:v>
      </x:c>
      <x:c r="E586" s="10" t="n">
        <x:f>IF(AND(ISNUMBER(C586),ISNUMBER(D586),C586&gt;=0,D586&gt;0),C586-D586,"n.a.")</x:f>
        <x:v>11.530387096774206</x:v>
      </x:c>
      <x:c r="F586" s="12" t="n">
        <x:f>IF(ISNUMBER(E586),E586/D586,"n.a.")</x:f>
        <x:v>0.07925705353950983</x:v>
      </x:c>
      <x:c r="G586" s="2" t="n">
        <x:f>IF(ISNUMBER(F586),IF(AND(ABS(F586)+0.00000000001&gt;=$B$6,ABS(E586)+0.000000001&gt;=$D$6),1,0),"n.a.")</x:f>
        <x:v>0</x:v>
      </x:c>
      <x:c r="H586" s="2" t="n">
        <x:f>IF(ISNUMBER(E586),SIGN(E586),"n.a.")</x:f>
        <x:v>1</x:v>
      </x:c>
      <x:c r="I586" s="2" t="n">
        <x:f>IF(NOT(ISNUMBER(G586)),"n.a.",IF(G586=0,0,IF(AND(B586=B572,A586=EDATE(A572,1),H586=H572,ISNUMBER(I572)),I572+1,1)))</x:f>
        <x:v>0</x:v>
      </x:c>
      <x:c r="J586" s="2" t="n">
        <x:f>IF(ISNUMBER(F586),IF(AND(ABS(F586)+0.00000000001&gt;=$B$7,ABS(E586)+0.000000001&gt;=$D$7),1,0),"n.a.")</x:f>
        <x:v>0</x:v>
      </x:c>
      <x:c r="K586" s="2" t="str">
        <x:f>IF(NOT(ISNUMBER(F586)),"No evaluable",IF(OR(J586=1,I586&gt;=$B$8),"Prioridad",IF(G586=1,"Observar","Sin umbral")))</x:f>
        <x:v>Sin umbral</x:v>
      </x:c>
      <x:c r="L586" s="2" t="str">
        <x:f>IF(K586="No evaluable","Faltan datos",IF(J586=1,"Magnitud",IF(I586&gt;=$B$8,"Persistencia",IF(G586=1,"Cambio del mes","Sin umbral"))))</x:f>
        <x:v>Sin umbral</x:v>
      </x:c>
      <x:c r="M586" s="2" t="n">
        <x:f>ROW()-40</x:f>
        <x:v>546</x:v>
      </x:c>
    </x:row>
    <x:row r="587" ht="48" customHeight="1">
      <x:c r="A587" s="4" t="n">
        <x:v>46113</x:v>
      </x:c>
      <x:c r="B587" s="32" t="str">
        <x:v>Cargas y puertos</x:v>
      </x:c>
      <x:c r="C587" s="10" t="n">
        <x:f>IF(ISNUMBER('Actividades'!F724),'Actividades'!F724,"n.a.")</x:f>
        <x:v>9.61821388888889</x:v>
      </x:c>
      <x:c r="D587" s="10" t="n">
        <x:f>IF(ISNUMBER('Actividades'!G724),'Actividades'!G724,"n.a.")</x:f>
        <x:v>9.5680125</x:v>
      </x:c>
      <x:c r="E587" s="10" t="n">
        <x:f>IF(AND(ISNUMBER(C587),ISNUMBER(D587),C587&gt;=0,D587&gt;0),C587-D587,"n.a.")</x:f>
        <x:v>0.050201388888890364</x:v>
      </x:c>
      <x:c r="F587" s="12" t="n">
        <x:f>IF(ISNUMBER(E587),E587/D587,"n.a.")</x:f>
        <x:v>0.005246793823575206</x:v>
      </x:c>
      <x:c r="G587" s="2" t="n">
        <x:f>IF(ISNUMBER(F587),IF(AND(ABS(F587)+0.00000000001&gt;=$B$6,ABS(E587)+0.000000001&gt;=$D$6),1,0),"n.a.")</x:f>
        <x:v>0</x:v>
      </x:c>
      <x:c r="H587" s="2" t="n">
        <x:f>IF(ISNUMBER(E587),SIGN(E587),"n.a.")</x:f>
        <x:v>1</x:v>
      </x:c>
      <x:c r="I587" s="2" t="n">
        <x:f>IF(NOT(ISNUMBER(G587)),"n.a.",IF(G587=0,0,IF(AND(B587=B573,A587=EDATE(A573,1),H587=H573,ISNUMBER(I573)),I573+1,1)))</x:f>
        <x:v>0</x:v>
      </x:c>
      <x:c r="J587" s="2" t="n">
        <x:f>IF(ISNUMBER(F587),IF(AND(ABS(F587)+0.00000000001&gt;=$B$7,ABS(E587)+0.000000001&gt;=$D$7),1,0),"n.a.")</x:f>
        <x:v>0</x:v>
      </x:c>
      <x:c r="K587" s="2" t="str">
        <x:f>IF(NOT(ISNUMBER(F587)),"No evaluable",IF(OR(J587=1,I587&gt;=$B$8),"Prioridad",IF(G587=1,"Observar","Sin umbral")))</x:f>
        <x:v>Sin umbral</x:v>
      </x:c>
      <x:c r="L587" s="2" t="str">
        <x:f>IF(K587="No evaluable","Faltan datos",IF(J587=1,"Magnitud",IF(I587&gt;=$B$8,"Persistencia",IF(G587=1,"Cambio del mes","Sin umbral"))))</x:f>
        <x:v>Sin umbral</x:v>
      </x:c>
      <x:c r="M587" s="2" t="n">
        <x:f>ROW()-40</x:f>
        <x:v>547</x:v>
      </x:c>
    </x:row>
    <x:row r="588" ht="48" customHeight="1">
      <x:c r="A588" s="4" t="n">
        <x:v>46113</x:v>
      </x:c>
      <x:c r="B588" s="32" t="str">
        <x:v>Comercio y servicios: principalmente supermercados y centros comerciales</x:v>
      </x:c>
      <x:c r="C588" s="10" t="n">
        <x:f>IF(ISNUMBER('Actividades'!F725),'Actividades'!F725,"n.a.")</x:f>
        <x:v>53.40403333333333</x:v>
      </x:c>
      <x:c r="D588" s="10" t="n">
        <x:f>IF(ISNUMBER('Actividades'!G725),'Actividades'!G725,"n.a.")</x:f>
        <x:v>45.60965138888889</x:v>
      </x:c>
      <x:c r="E588" s="10" t="n">
        <x:f>IF(AND(ISNUMBER(C588),ISNUMBER(D588),C588&gt;=0,D588&gt;0),C588-D588,"n.a.")</x:f>
        <x:v>7.794381944444439</x:v>
      </x:c>
      <x:c r="F588" s="12" t="n">
        <x:f>IF(ISNUMBER(E588),E588/D588,"n.a.")</x:f>
        <x:v>0.17089325849009343</x:v>
      </x:c>
      <x:c r="G588" s="2" t="n">
        <x:f>IF(ISNUMBER(F588),IF(AND(ABS(F588)+0.00000000001&gt;=$B$6,ABS(E588)+0.000000001&gt;=$D$6),1,0),"n.a.")</x:f>
        <x:v>1</x:v>
      </x:c>
      <x:c r="H588" s="2" t="n">
        <x:f>IF(ISNUMBER(E588),SIGN(E588),"n.a.")</x:f>
        <x:v>1</x:v>
      </x:c>
      <x:c r="I588" s="2" t="n">
        <x:f>IF(NOT(ISNUMBER(G588)),"n.a.",IF(G588=0,0,IF(AND(B588=B574,A588=EDATE(A574,1),H588=H574,ISNUMBER(I574)),I574+1,1)))</x:f>
        <x:v>2</x:v>
      </x:c>
      <x:c r="J588" s="2" t="n">
        <x:f>IF(ISNUMBER(F588),IF(AND(ABS(F588)+0.00000000001&gt;=$B$7,ABS(E588)+0.000000001&gt;=$D$7),1,0),"n.a.")</x:f>
        <x:v>0</x:v>
      </x:c>
      <x:c r="K588" s="2" t="str">
        <x:f>IF(NOT(ISNUMBER(F588)),"No evaluable",IF(OR(J588=1,I588&gt;=$B$8),"Prioridad",IF(G588=1,"Observar","Sin umbral")))</x:f>
        <x:v>Observar</x:v>
      </x:c>
      <x:c r="L588" s="2" t="str">
        <x:f>IF(K588="No evaluable","Faltan datos",IF(J588=1,"Magnitud",IF(I588&gt;=$B$8,"Persistencia",IF(G588=1,"Cambio del mes","Sin umbral"))))</x:f>
        <x:v>Cambio del mes</x:v>
      </x:c>
      <x:c r="M588" s="2" t="n">
        <x:f>ROW()-40</x:f>
        <x:v>548</x:v>
      </x:c>
    </x:row>
    <x:row r="589" ht="48" customHeight="1">
      <x:c r="A589" s="4" t="n">
        <x:v>46113</x:v>
      </x:c>
      <x:c r="B589" s="32" t="str">
        <x:v>Alimentación y artículos de consumo masivo</x:v>
      </x:c>
      <x:c r="C589" s="10" t="n">
        <x:f>IF(ISNUMBER('Actividades'!F726),'Actividades'!F726,"n.a.")</x:f>
        <x:v>332.8327541666667</x:v>
      </x:c>
      <x:c r="D589" s="10" t="n">
        <x:f>IF(ISNUMBER('Actividades'!G726),'Actividades'!G726,"n.a.")</x:f>
        <x:v>275.5870055555555</x:v>
      </x:c>
      <x:c r="E589" s="10" t="n">
        <x:f>IF(AND(ISNUMBER(C589),ISNUMBER(D589),C589&gt;=0,D589&gt;0),C589-D589,"n.a.")</x:f>
        <x:v>57.245748611111196</x:v>
      </x:c>
      <x:c r="F589" s="12" t="n">
        <x:f>IF(ISNUMBER(E589),E589/D589,"n.a.")</x:f>
        <x:v>0.20772296028874643</x:v>
      </x:c>
      <x:c r="G589" s="2" t="n">
        <x:f>IF(ISNUMBER(F589),IF(AND(ABS(F589)+0.00000000001&gt;=$B$6,ABS(E589)+0.000000001&gt;=$D$6),1,0),"n.a.")</x:f>
        <x:v>1</x:v>
      </x:c>
      <x:c r="H589" s="2" t="n">
        <x:f>IF(ISNUMBER(E589),SIGN(E589),"n.a.")</x:f>
        <x:v>1</x:v>
      </x:c>
      <x:c r="I589" s="2" t="n">
        <x:f>IF(NOT(ISNUMBER(G589)),"n.a.",IF(G589=0,0,IF(AND(B589=B575,A589=EDATE(A575,1),H589=H575,ISNUMBER(I575)),I575+1,1)))</x:f>
        <x:v>2</x:v>
      </x:c>
      <x:c r="J589" s="2" t="n">
        <x:f>IF(ISNUMBER(F589),IF(AND(ABS(F589)+0.00000000001&gt;=$B$7,ABS(E589)+0.000000001&gt;=$D$7),1,0),"n.a.")</x:f>
        <x:v>1</x:v>
      </x:c>
      <x:c r="K589" s="2" t="str">
        <x:f>IF(NOT(ISNUMBER(F589)),"No evaluable",IF(OR(J589=1,I589&gt;=$B$8),"Prioridad",IF(G589=1,"Observar","Sin umbral")))</x:f>
        <x:v>Prioridad</x:v>
      </x:c>
      <x:c r="L589" s="2" t="str">
        <x:f>IF(K589="No evaluable","Faltan datos",IF(J589=1,"Magnitud",IF(I589&gt;=$B$8,"Persistencia",IF(G589=1,"Cambio del mes","Sin umbral"))))</x:f>
        <x:v>Magnitud</x:v>
      </x:c>
      <x:c r="M589" s="2" t="n">
        <x:f>ROW()-40</x:f>
        <x:v>549</x:v>
      </x:c>
    </x:row>
    <x:row r="590" ht="48" customHeight="1">
      <x:c r="A590" s="4" t="n">
        <x:v>46113</x:v>
      </x:c>
      <x:c r="B590" s="32" t="str">
        <x:v>Servicios públicos y transporte: agua y transporte en GBA</x:v>
      </x:c>
      <x:c r="C590" s="10" t="n">
        <x:f>IF(ISNUMBER('Actividades'!F727),'Actividades'!F727,"n.a.")</x:f>
        <x:v>69.69085</x:v>
      </x:c>
      <x:c r="D590" s="10" t="n">
        <x:f>IF(ISNUMBER('Actividades'!G727),'Actividades'!G727,"n.a.")</x:f>
        <x:v>75.51788333333334</x:v>
      </x:c>
      <x:c r="E590" s="10" t="n">
        <x:f>IF(AND(ISNUMBER(C590),ISNUMBER(D590),C590&gt;=0,D590&gt;0),C590-D590,"n.a.")</x:f>
        <x:v>-5.827033333333347</x:v>
      </x:c>
      <x:c r="F590" s="12" t="n">
        <x:f>IF(ISNUMBER(E590),E590/D590,"n.a.")</x:f>
        <x:v>-0.0771609726879264</x:v>
      </x:c>
      <x:c r="G590" s="2" t="n">
        <x:f>IF(ISNUMBER(F590),IF(AND(ABS(F590)+0.00000000001&gt;=$B$6,ABS(E590)+0.000000001&gt;=$D$6),1,0),"n.a.")</x:f>
        <x:v>0</x:v>
      </x:c>
      <x:c r="H590" s="2" t="n">
        <x:f>IF(ISNUMBER(E590),SIGN(E590),"n.a.")</x:f>
        <x:v>-1</x:v>
      </x:c>
      <x:c r="I590" s="2" t="n">
        <x:f>IF(NOT(ISNUMBER(G590)),"n.a.",IF(G590=0,0,IF(AND(B590=B576,A590=EDATE(A576,1),H590=H576,ISNUMBER(I576)),I576+1,1)))</x:f>
        <x:v>0</x:v>
      </x:c>
      <x:c r="J590" s="2" t="n">
        <x:f>IF(ISNUMBER(F590),IF(AND(ABS(F590)+0.00000000001&gt;=$B$7,ABS(E590)+0.000000001&gt;=$D$7),1,0),"n.a.")</x:f>
        <x:v>0</x:v>
      </x:c>
      <x:c r="K590" s="2" t="str">
        <x:f>IF(NOT(ISNUMBER(F590)),"No evaluable",IF(OR(J590=1,I590&gt;=$B$8),"Prioridad",IF(G590=1,"Observar","Sin umbral")))</x:f>
        <x:v>Sin umbral</x:v>
      </x:c>
      <x:c r="L590" s="2" t="str">
        <x:f>IF(K590="No evaluable","Faltan datos",IF(J590=1,"Magnitud",IF(I590&gt;=$B$8,"Persistencia",IF(G590=1,"Cambio del mes","Sin umbral"))))</x:f>
        <x:v>Sin umbral</x:v>
      </x:c>
      <x:c r="M590" s="2" t="n">
        <x:f>ROW()-40</x:f>
        <x:v>550</x:v>
      </x:c>
    </x:row>
    <x:row r="591" ht="48" customHeight="1">
      <x:c r="A591" s="4" t="n">
        <x:v>46113</x:v>
      </x:c>
      <x:c r="B591" s="32" t="str">
        <x:v>Industria automotriz</x:v>
      </x:c>
      <x:c r="C591" s="10" t="n">
        <x:f>IF(ISNUMBER('Actividades'!F728),'Actividades'!F728,"n.a.")</x:f>
        <x:v>43.119731944444446</x:v>
      </x:c>
      <x:c r="D591" s="10" t="n">
        <x:f>IF(ISNUMBER('Actividades'!G728),'Actividades'!G728,"n.a.")</x:f>
        <x:v>41.18686388888889</x:v>
      </x:c>
      <x:c r="E591" s="10" t="n">
        <x:f>IF(AND(ISNUMBER(C591),ISNUMBER(D591),C591&gt;=0,D591&gt;0),C591-D591,"n.a.")</x:f>
        <x:v>1.9328680555555593</x:v>
      </x:c>
      <x:c r="F591" s="12" t="n">
        <x:f>IF(ISNUMBER(E591),E591/D591,"n.a.")</x:f>
        <x:v>0.046929236000340276</x:v>
      </x:c>
      <x:c r="G591" s="2" t="n">
        <x:f>IF(ISNUMBER(F591),IF(AND(ABS(F591)+0.00000000001&gt;=$B$6,ABS(E591)+0.000000001&gt;=$D$6),1,0),"n.a.")</x:f>
        <x:v>0</x:v>
      </x:c>
      <x:c r="H591" s="2" t="n">
        <x:f>IF(ISNUMBER(E591),SIGN(E591),"n.a.")</x:f>
        <x:v>1</x:v>
      </x:c>
      <x:c r="I591" s="2" t="n">
        <x:f>IF(NOT(ISNUMBER(G591)),"n.a.",IF(G591=0,0,IF(AND(B591=B577,A591=EDATE(A577,1),H591=H577,ISNUMBER(I577)),I577+1,1)))</x:f>
        <x:v>0</x:v>
      </x:c>
      <x:c r="J591" s="2" t="n">
        <x:f>IF(ISNUMBER(F591),IF(AND(ABS(F591)+0.00000000001&gt;=$B$7,ABS(E591)+0.000000001&gt;=$D$7),1,0),"n.a.")</x:f>
        <x:v>0</x:v>
      </x:c>
      <x:c r="K591" s="2" t="str">
        <x:f>IF(NOT(ISNUMBER(F591)),"No evaluable",IF(OR(J591=1,I591&gt;=$B$8),"Prioridad",IF(G591=1,"Observar","Sin umbral")))</x:f>
        <x:v>Sin umbral</x:v>
      </x:c>
      <x:c r="L591" s="2" t="str">
        <x:f>IF(K591="No evaluable","Faltan datos",IF(J591=1,"Magnitud",IF(I591&gt;=$B$8,"Persistencia",IF(G591=1,"Cambio del mes","Sin umbral"))))</x:f>
        <x:v>Sin umbral</x:v>
      </x:c>
      <x:c r="M591" s="2" t="n">
        <x:f>ROW()-40</x:f>
        <x:v>551</x:v>
      </x:c>
    </x:row>
    <x:row r="592" ht="48" customHeight="1">
      <x:c r="A592" s="4" t="n">
        <x:v>46113</x:v>
      </x:c>
      <x:c r="B592" s="32" t="str">
        <x:v>Derivados de petróleo</x:v>
      </x:c>
      <x:c r="C592" s="10" t="n">
        <x:f>IF(ISNUMBER('Actividades'!F729),'Actividades'!F729,"n.a.")</x:f>
        <x:v>148.55879166666668</x:v>
      </x:c>
      <x:c r="D592" s="10" t="n">
        <x:f>IF(ISNUMBER('Actividades'!G729),'Actividades'!G729,"n.a.")</x:f>
        <x:v>153.31479305555555</x:v>
      </x:c>
      <x:c r="E592" s="10" t="n">
        <x:f>IF(AND(ISNUMBER(C592),ISNUMBER(D592),C592&gt;=0,D592&gt;0),C592-D592,"n.a.")</x:f>
        <x:v>-4.756001388888876</x:v>
      </x:c>
      <x:c r="F592" s="12" t="n">
        <x:f>IF(ISNUMBER(E592),E592/D592,"n.a.")</x:f>
        <x:v>-0.03102115128033</x:v>
      </x:c>
      <x:c r="G592" s="2" t="n">
        <x:f>IF(ISNUMBER(F592),IF(AND(ABS(F592)+0.00000000001&gt;=$B$6,ABS(E592)+0.000000001&gt;=$D$6),1,0),"n.a.")</x:f>
        <x:v>0</x:v>
      </x:c>
      <x:c r="H592" s="2" t="n">
        <x:f>IF(ISNUMBER(E592),SIGN(E592),"n.a.")</x:f>
        <x:v>-1</x:v>
      </x:c>
      <x:c r="I592" s="2" t="n">
        <x:f>IF(NOT(ISNUMBER(G592)),"n.a.",IF(G592=0,0,IF(AND(B592=B578,A592=EDATE(A578,1),H592=H578,ISNUMBER(I578)),I578+1,1)))</x:f>
        <x:v>0</x:v>
      </x:c>
      <x:c r="J592" s="2" t="n">
        <x:f>IF(ISNUMBER(F592),IF(AND(ABS(F592)+0.00000000001&gt;=$B$7,ABS(E592)+0.000000001&gt;=$D$7),1,0),"n.a.")</x:f>
        <x:v>0</x:v>
      </x:c>
      <x:c r="K592" s="2" t="str">
        <x:f>IF(NOT(ISNUMBER(F592)),"No evaluable",IF(OR(J592=1,I592&gt;=$B$8),"Prioridad",IF(G592=1,"Observar","Sin umbral")))</x:f>
        <x:v>Sin umbral</x:v>
      </x:c>
      <x:c r="L592" s="2" t="str">
        <x:f>IF(K592="No evaluable","Faltan datos",IF(J592=1,"Magnitud",IF(I592&gt;=$B$8,"Persistencia",IF(G592=1,"Cambio del mes","Sin umbral"))))</x:f>
        <x:v>Sin umbral</x:v>
      </x:c>
      <x:c r="M592" s="2" t="n">
        <x:f>ROW()-40</x:f>
        <x:v>552</x:v>
      </x:c>
    </x:row>
    <x:row r="593" ht="48" customHeight="1">
      <x:c r="A593" s="4" t="n">
        <x:v>46113</x:v>
      </x:c>
      <x:c r="B593" s="32" t="str">
        <x:v>Construcción: elaboración de cemento y canteras</x:v>
      </x:c>
      <x:c r="C593" s="10" t="n">
        <x:f>IF(ISNUMBER('Actividades'!F730),'Actividades'!F730,"n.a.")</x:f>
        <x:v>159.3088763888889</x:v>
      </x:c>
      <x:c r="D593" s="10" t="n">
        <x:f>IF(ISNUMBER('Actividades'!G730),'Actividades'!G730,"n.a.")</x:f>
        <x:v>149.36918888888889</x:v>
      </x:c>
      <x:c r="E593" s="10" t="n">
        <x:f>IF(AND(ISNUMBER(C593),ISNUMBER(D593),C593&gt;=0,D593&gt;0),C593-D593,"n.a.")</x:f>
        <x:v>9.93968750000002</x:v>
      </x:c>
      <x:c r="F593" s="12" t="n">
        <x:f>IF(ISNUMBER(E593),E593/D593,"n.a.")</x:f>
        <x:v>0.06654442977121504</x:v>
      </x:c>
      <x:c r="G593" s="2" t="n">
        <x:f>IF(ISNUMBER(F593),IF(AND(ABS(F593)+0.00000000001&gt;=$B$6,ABS(E593)+0.000000001&gt;=$D$6),1,0),"n.a.")</x:f>
        <x:v>0</x:v>
      </x:c>
      <x:c r="H593" s="2" t="n">
        <x:f>IF(ISNUMBER(E593),SIGN(E593),"n.a.")</x:f>
        <x:v>1</x:v>
      </x:c>
      <x:c r="I593" s="2" t="n">
        <x:f>IF(NOT(ISNUMBER(G593)),"n.a.",IF(G593=0,0,IF(AND(B593=B579,A593=EDATE(A579,1),H593=H579,ISNUMBER(I579)),I579+1,1)))</x:f>
        <x:v>0</x:v>
      </x:c>
      <x:c r="J593" s="2" t="n">
        <x:f>IF(ISNUMBER(F593),IF(AND(ABS(F593)+0.00000000001&gt;=$B$7,ABS(E593)+0.000000001&gt;=$D$7),1,0),"n.a.")</x:f>
        <x:v>0</x:v>
      </x:c>
      <x:c r="K593" s="2" t="str">
        <x:f>IF(NOT(ISNUMBER(F593)),"No evaluable",IF(OR(J593=1,I593&gt;=$B$8),"Prioridad",IF(G593=1,"Observar","Sin umbral")))</x:f>
        <x:v>Sin umbral</x:v>
      </x:c>
      <x:c r="L593" s="2" t="str">
        <x:f>IF(K593="No evaluable","Faltan datos",IF(J593=1,"Magnitud",IF(I593&gt;=$B$8,"Persistencia",IF(G593=1,"Cambio del mes","Sin umbral"))))</x:f>
        <x:v>Sin umbral</x:v>
      </x:c>
      <x:c r="M593" s="2" t="n">
        <x:f>ROW()-40</x:f>
        <x:v>553</x:v>
      </x:c>
    </x:row>
    <x:row r="594" ht="48" customHeight="1">
      <x:c r="A594" s="4" t="n">
        <x:v>46113</x:v>
      </x:c>
      <x:c r="B594" s="32" t="str">
        <x:v>Madera y papel</x:v>
      </x:c>
      <x:c r="C594" s="10" t="n">
        <x:f>IF(ISNUMBER('Actividades'!F731),'Actividades'!F731,"n.a.")</x:f>
        <x:v>99.75455277777777</x:v>
      </x:c>
      <x:c r="D594" s="10" t="n">
        <x:f>IF(ISNUMBER('Actividades'!G731),'Actividades'!G731,"n.a.")</x:f>
        <x:v>100.82068472222223</x:v>
      </x:c>
      <x:c r="E594" s="10" t="n">
        <x:f>IF(AND(ISNUMBER(C594),ISNUMBER(D594),C594&gt;=0,D594&gt;0),C594-D594,"n.a.")</x:f>
        <x:v>-1.0661319444444501</x:v>
      </x:c>
      <x:c r="F594" s="12" t="n">
        <x:f>IF(ISNUMBER(E594),E594/D594,"n.a.")</x:f>
        <x:v>-0.01057453584432422</x:v>
      </x:c>
      <x:c r="G594" s="2" t="n">
        <x:f>IF(ISNUMBER(F594),IF(AND(ABS(F594)+0.00000000001&gt;=$B$6,ABS(E594)+0.000000001&gt;=$D$6),1,0),"n.a.")</x:f>
        <x:v>0</x:v>
      </x:c>
      <x:c r="H594" s="2" t="n">
        <x:f>IF(ISNUMBER(E594),SIGN(E594),"n.a.")</x:f>
        <x:v>-1</x:v>
      </x:c>
      <x:c r="I594" s="2" t="n">
        <x:f>IF(NOT(ISNUMBER(G594)),"n.a.",IF(G594=0,0,IF(AND(B594=B580,A594=EDATE(A580,1),H594=H580,ISNUMBER(I580)),I580+1,1)))</x:f>
        <x:v>0</x:v>
      </x:c>
      <x:c r="J594" s="2" t="n">
        <x:f>IF(ISNUMBER(F594),IF(AND(ABS(F594)+0.00000000001&gt;=$B$7,ABS(E594)+0.000000001&gt;=$D$7),1,0),"n.a.")</x:f>
        <x:v>0</x:v>
      </x:c>
      <x:c r="K594" s="2" t="str">
        <x:f>IF(NOT(ISNUMBER(F594)),"No evaluable",IF(OR(J594=1,I594&gt;=$B$8),"Prioridad",IF(G594=1,"Observar","Sin umbral")))</x:f>
        <x:v>Sin umbral</x:v>
      </x:c>
      <x:c r="L594" s="2" t="str">
        <x:f>IF(K594="No evaluable","Faltan datos",IF(J594=1,"Magnitud",IF(I594&gt;=$B$8,"Persistencia",IF(G594=1,"Cambio del mes","Sin umbral"))))</x:f>
        <x:v>Sin umbral</x:v>
      </x:c>
      <x:c r="M594" s="2" t="n">
        <x:f>ROW()-40</x:f>
        <x:v>554</x:v>
      </x:c>
    </x:row>
    <x:row r="595" ht="48" customHeight="1">
      <x:c r="A595" s="4" t="n">
        <x:v>46113</x:v>
      </x:c>
      <x:c r="B595" s="32" t="str">
        <x:v>Productos metálicos no automotores</x:v>
      </x:c>
      <x:c r="C595" s="10" t="n">
        <x:f>IF(ISNUMBER('Actividades'!F732),'Actividades'!F732,"n.a.")</x:f>
        <x:v>39.24199861111111</x:v>
      </x:c>
      <x:c r="D595" s="10" t="n">
        <x:f>IF(ISNUMBER('Actividades'!G732),'Actividades'!G732,"n.a.")</x:f>
        <x:v>31.430494444444445</x:v>
      </x:c>
      <x:c r="E595" s="10" t="n">
        <x:f>IF(AND(ISNUMBER(C595),ISNUMBER(D595),C595&gt;=0,D595&gt;0),C595-D595,"n.a.")</x:f>
        <x:v>7.811504166666662</x:v>
      </x:c>
      <x:c r="F595" s="12" t="n">
        <x:f>IF(ISNUMBER(E595),E595/D595,"n.a.")</x:f>
        <x:v>0.24853265291368645</x:v>
      </x:c>
      <x:c r="G595" s="2" t="n">
        <x:f>IF(ISNUMBER(F595),IF(AND(ABS(F595)+0.00000000001&gt;=$B$6,ABS(E595)+0.000000001&gt;=$D$6),1,0),"n.a.")</x:f>
        <x:v>1</x:v>
      </x:c>
      <x:c r="H595" s="2" t="n">
        <x:f>IF(ISNUMBER(E595),SIGN(E595),"n.a.")</x:f>
        <x:v>1</x:v>
      </x:c>
      <x:c r="I595" s="2" t="n">
        <x:f>IF(NOT(ISNUMBER(G595)),"n.a.",IF(G595=0,0,IF(AND(B595=B581,A595=EDATE(A581,1),H595=H581,ISNUMBER(I581)),I581+1,1)))</x:f>
        <x:v>2</x:v>
      </x:c>
      <x:c r="J595" s="2" t="n">
        <x:f>IF(ISNUMBER(F595),IF(AND(ABS(F595)+0.00000000001&gt;=$B$7,ABS(E595)+0.000000001&gt;=$D$7),1,0),"n.a.")</x:f>
        <x:v>0</x:v>
      </x:c>
      <x:c r="K595" s="2" t="str">
        <x:f>IF(NOT(ISNUMBER(F595)),"No evaluable",IF(OR(J595=1,I595&gt;=$B$8),"Prioridad",IF(G595=1,"Observar","Sin umbral")))</x:f>
        <x:v>Observar</x:v>
      </x:c>
      <x:c r="L595" s="2" t="str">
        <x:f>IF(K595="No evaluable","Faltan datos",IF(J595=1,"Magnitud",IF(I595&gt;=$B$8,"Persistencia",IF(G595=1,"Cambio del mes","Sin umbral"))))</x:f>
        <x:v>Cambio del mes</x:v>
      </x:c>
      <x:c r="M595" s="2" t="n">
        <x:f>ROW()-40</x:f>
        <x:v>555</x:v>
      </x:c>
    </x:row>
    <x:row r="596" ht="48" customHeight="1">
      <x:c r="A596" s="4" t="n">
        <x:v>46113</x:v>
      </x:c>
      <x:c r="B596" s="32" t="str">
        <x:v>Gran siderurgia</x:v>
      </x:c>
      <x:c r="C596" s="10" t="n">
        <x:f>IF(ISNUMBER('Actividades'!F733),'Actividades'!F733,"n.a.")</x:f>
        <x:v>321.0619152777778</x:v>
      </x:c>
      <x:c r="D596" s="10" t="n">
        <x:f>IF(ISNUMBER('Actividades'!G733),'Actividades'!G733,"n.a.")</x:f>
        <x:v>247.63442222222224</x:v>
      </x:c>
      <x:c r="E596" s="10" t="n">
        <x:f>IF(AND(ISNUMBER(C596),ISNUMBER(D596),C596&gt;=0,D596&gt;0),C596-D596,"n.a.")</x:f>
        <x:v>73.42749305555557</x:v>
      </x:c>
      <x:c r="F596" s="12" t="n">
        <x:f>IF(ISNUMBER(E596),E596/D596,"n.a.")</x:f>
        <x:v>0.2965156959869787</x:v>
      </x:c>
      <x:c r="G596" s="2" t="n">
        <x:f>IF(ISNUMBER(F596),IF(AND(ABS(F596)+0.00000000001&gt;=$B$6,ABS(E596)+0.000000001&gt;=$D$6),1,0),"n.a.")</x:f>
        <x:v>1</x:v>
      </x:c>
      <x:c r="H596" s="2" t="n">
        <x:f>IF(ISNUMBER(E596),SIGN(E596),"n.a.")</x:f>
        <x:v>1</x:v>
      </x:c>
      <x:c r="I596" s="2" t="n">
        <x:f>IF(NOT(ISNUMBER(G596)),"n.a.",IF(G596=0,0,IF(AND(B596=B582,A596=EDATE(A582,1),H596=H582,ISNUMBER(I582)),I582+1,1)))</x:f>
        <x:v>2</x:v>
      </x:c>
      <x:c r="J596" s="2" t="n">
        <x:f>IF(ISNUMBER(F596),IF(AND(ABS(F596)+0.00000000001&gt;=$B$7,ABS(E596)+0.000000001&gt;=$D$7),1,0),"n.a.")</x:f>
        <x:v>1</x:v>
      </x:c>
      <x:c r="K596" s="2" t="str">
        <x:f>IF(NOT(ISNUMBER(F596)),"No evaluable",IF(OR(J596=1,I596&gt;=$B$8),"Prioridad",IF(G596=1,"Observar","Sin umbral")))</x:f>
        <x:v>Prioridad</x:v>
      </x:c>
      <x:c r="L596" s="2" t="str">
        <x:f>IF(K596="No evaluable","Faltan datos",IF(J596=1,"Magnitud",IF(I596&gt;=$B$8,"Persistencia",IF(G596=1,"Cambio del mes","Sin umbral"))))</x:f>
        <x:v>Magnitud</x:v>
      </x:c>
      <x:c r="M596" s="2" t="n">
        <x:f>ROW()-40</x:f>
        <x:v>556</x:v>
      </x:c>
    </x:row>
    <x:row r="597" ht="48" customHeight="1">
      <x:c r="A597" s="4" t="n">
        <x:v>46113</x:v>
      </x:c>
      <x:c r="B597" s="32" t="str">
        <x:v>Industria textil</x:v>
      </x:c>
      <x:c r="C597" s="10" t="n">
        <x:f>IF(ISNUMBER('Actividades'!F734),'Actividades'!F734,"n.a.")</x:f>
        <x:v>40.06480972222222</x:v>
      </x:c>
      <x:c r="D597" s="10" t="n">
        <x:f>IF(ISNUMBER('Actividades'!G734),'Actividades'!G734,"n.a.")</x:f>
        <x:v>50.211259722222216</x:v>
      </x:c>
      <x:c r="E597" s="10" t="n">
        <x:f>IF(AND(ISNUMBER(C597),ISNUMBER(D597),C597&gt;=0,D597&gt;0),C597-D597,"n.a.")</x:f>
        <x:v>-10.146449999999994</x:v>
      </x:c>
      <x:c r="F597" s="12" t="n">
        <x:f>IF(ISNUMBER(E597),E597/D597,"n.a.")</x:f>
        <x:v>-0.202075193017104</x:v>
      </x:c>
      <x:c r="G597" s="2" t="n">
        <x:f>IF(ISNUMBER(F597),IF(AND(ABS(F597)+0.00000000001&gt;=$B$6,ABS(E597)+0.000000001&gt;=$D$6),1,0),"n.a.")</x:f>
        <x:v>1</x:v>
      </x:c>
      <x:c r="H597" s="2" t="n">
        <x:f>IF(ISNUMBER(E597),SIGN(E597),"n.a.")</x:f>
        <x:v>-1</x:v>
      </x:c>
      <x:c r="I597" s="2" t="n">
        <x:f>IF(NOT(ISNUMBER(G597)),"n.a.",IF(G597=0,0,IF(AND(B597=B583,A597=EDATE(A583,1),H597=H583,ISNUMBER(I583)),I583+1,1)))</x:f>
        <x:v>8</x:v>
      </x:c>
      <x:c r="J597" s="2" t="n">
        <x:f>IF(ISNUMBER(F597),IF(AND(ABS(F597)+0.00000000001&gt;=$B$7,ABS(E597)+0.000000001&gt;=$D$7),1,0),"n.a.")</x:f>
        <x:v>1</x:v>
      </x:c>
      <x:c r="K597" s="2" t="str">
        <x:f>IF(NOT(ISNUMBER(F597)),"No evaluable",IF(OR(J597=1,I597&gt;=$B$8),"Prioridad",IF(G597=1,"Observar","Sin umbral")))</x:f>
        <x:v>Prioridad</x:v>
      </x:c>
      <x:c r="L597" s="2" t="str">
        <x:f>IF(K597="No evaluable","Faltan datos",IF(J597=1,"Magnitud",IF(I597&gt;=$B$8,"Persistencia",IF(G597=1,"Cambio del mes","Sin umbral"))))</x:f>
        <x:v>Magnitud</x:v>
      </x:c>
      <x:c r="M597" s="2" t="n">
        <x:f>ROW()-40</x:f>
        <x:v>557</x:v>
      </x:c>
    </x:row>
    <x:row r="598" ht="48" customHeight="1">
      <x:c r="A598" s="4" t="n">
        <x:v>46113</x:v>
      </x:c>
      <x:c r="B598" s="32" t="str">
        <x:v>Químicas, caucho, plástico y otros minerales no metálicos</x:v>
      </x:c>
      <x:c r="C598" s="10" t="n">
        <x:f>IF(ISNUMBER('Actividades'!F735),'Actividades'!F735,"n.a.")</x:f>
        <x:v>350.669275</x:v>
      </x:c>
      <x:c r="D598" s="10" t="n">
        <x:f>IF(ISNUMBER('Actividades'!G735),'Actividades'!G735,"n.a.")</x:f>
        <x:v>326.77516249999996</x:v>
      </x:c>
      <x:c r="E598" s="10" t="n">
        <x:f>IF(AND(ISNUMBER(C598),ISNUMBER(D598),C598&gt;=0,D598&gt;0),C598-D598,"n.a.")</x:f>
        <x:v>23.894112500000062</x:v>
      </x:c>
      <x:c r="F598" s="12" t="n">
        <x:f>IF(ISNUMBER(E598),E598/D598,"n.a.")</x:f>
        <x:v>0.07312095667613681</x:v>
      </x:c>
      <x:c r="G598" s="2" t="n">
        <x:f>IF(ISNUMBER(F598),IF(AND(ABS(F598)+0.00000000001&gt;=$B$6,ABS(E598)+0.000000001&gt;=$D$6),1,0),"n.a.")</x:f>
        <x:v>0</x:v>
      </x:c>
      <x:c r="H598" s="2" t="n">
        <x:f>IF(ISNUMBER(E598),SIGN(E598),"n.a.")</x:f>
        <x:v>1</x:v>
      </x:c>
      <x:c r="I598" s="2" t="n">
        <x:f>IF(NOT(ISNUMBER(G598)),"n.a.",IF(G598=0,0,IF(AND(B598=B584,A598=EDATE(A584,1),H598=H584,ISNUMBER(I584)),I584+1,1)))</x:f>
        <x:v>0</x:v>
      </x:c>
      <x:c r="J598" s="2" t="n">
        <x:f>IF(ISNUMBER(F598),IF(AND(ABS(F598)+0.00000000001&gt;=$B$7,ABS(E598)+0.000000001&gt;=$D$7),1,0),"n.a.")</x:f>
        <x:v>0</x:v>
      </x:c>
      <x:c r="K598" s="2" t="str">
        <x:f>IF(NOT(ISNUMBER(F598)),"No evaluable",IF(OR(J598=1,I598&gt;=$B$8),"Prioridad",IF(G598=1,"Observar","Sin umbral")))</x:f>
        <x:v>Sin umbral</x:v>
      </x:c>
      <x:c r="L598" s="2" t="str">
        <x:f>IF(K598="No evaluable","Faltan datos",IF(J598=1,"Magnitud",IF(I598&gt;=$B$8,"Persistencia",IF(G598=1,"Cambio del mes","Sin umbral"))))</x:f>
        <x:v>Sin umbral</x:v>
      </x:c>
      <x:c r="M598" s="2" t="n">
        <x:f>ROW()-40</x:f>
        <x:v>558</x:v>
      </x:c>
    </x:row>
    <x:row r="599" ht="48" customHeight="1">
      <x:c r="A599" s="4" t="n">
        <x:v>46113</x:v>
      </x:c>
      <x:c r="B599" s="32" t="str">
        <x:v>Extracción de minerales</x:v>
      </x:c>
      <x:c r="C599" s="10" t="n">
        <x:f>IF(ISNUMBER('Actividades'!F736),'Actividades'!F736,"n.a.")</x:f>
        <x:v>25.52247638888889</x:v>
      </x:c>
      <x:c r="D599" s="10" t="n">
        <x:f>IF(ISNUMBER('Actividades'!G736),'Actividades'!G736,"n.a.")</x:f>
        <x:v>24.467341666666666</x:v>
      </x:c>
      <x:c r="E599" s="10" t="n">
        <x:f>IF(AND(ISNUMBER(C599),ISNUMBER(D599),C599&gt;=0,D599&gt;0),C599-D599,"n.a.")</x:f>
        <x:v>1.055134722222224</x:v>
      </x:c>
      <x:c r="F599" s="12" t="n">
        <x:f>IF(ISNUMBER(E599),E599/D599,"n.a.")</x:f>
        <x:v>0.04312420763141987</x:v>
      </x:c>
      <x:c r="G599" s="2" t="n">
        <x:f>IF(ISNUMBER(F599),IF(AND(ABS(F599)+0.00000000001&gt;=$B$6,ABS(E599)+0.000000001&gt;=$D$6),1,0),"n.a.")</x:f>
        <x:v>0</x:v>
      </x:c>
      <x:c r="H599" s="2" t="n">
        <x:f>IF(ISNUMBER(E599),SIGN(E599),"n.a.")</x:f>
        <x:v>1</x:v>
      </x:c>
      <x:c r="I599" s="2" t="n">
        <x:f>IF(NOT(ISNUMBER(G599)),"n.a.",IF(G599=0,0,IF(AND(B599=B585,A599=EDATE(A585,1),H599=H585,ISNUMBER(I585)),I585+1,1)))</x:f>
        <x:v>0</x:v>
      </x:c>
      <x:c r="J599" s="2" t="n">
        <x:f>IF(ISNUMBER(F599),IF(AND(ABS(F599)+0.00000000001&gt;=$B$7,ABS(E599)+0.000000001&gt;=$D$7),1,0),"n.a.")</x:f>
        <x:v>0</x:v>
      </x:c>
      <x:c r="K599" s="2" t="str">
        <x:f>IF(NOT(ISNUMBER(F599)),"No evaluable",IF(OR(J599=1,I599&gt;=$B$8),"Prioridad",IF(G599=1,"Observar","Sin umbral")))</x:f>
        <x:v>Sin umbral</x:v>
      </x:c>
      <x:c r="L599" s="2" t="str">
        <x:f>IF(K599="No evaluable","Faltan datos",IF(J599=1,"Magnitud",IF(I599&gt;=$B$8,"Persistencia",IF(G599=1,"Cambio del mes","Sin umbral"))))</x:f>
        <x:v>Sin umbral</x:v>
      </x:c>
      <x:c r="M599" s="2" t="n">
        <x:f>ROW()-40</x:f>
        <x:v>559</x:v>
      </x:c>
    </x:row>
    <x:row r="600" ht="48" customHeight="1">
      <x:c r="A600" s="4" t="n">
        <x:v>46113</x:v>
      </x:c>
      <x:c r="B600" s="32" t="str">
        <x:v>Extracción de petróleo</x:v>
      </x:c>
      <x:c r="C600" s="10" t="n">
        <x:f>IF(ISNUMBER('Actividades'!F737),'Actividades'!F737,"n.a.")</x:f>
        <x:v>157.15796388888887</x:v>
      </x:c>
      <x:c r="D600" s="10" t="n">
        <x:f>IF(ISNUMBER('Actividades'!G737),'Actividades'!G737,"n.a.")</x:f>
        <x:v>141.92951944444445</x:v>
      </x:c>
      <x:c r="E600" s="10" t="n">
        <x:f>IF(AND(ISNUMBER(C600),ISNUMBER(D600),C600&gt;=0,D600&gt;0),C600-D600,"n.a.")</x:f>
        <x:v>15.22844444444442</x:v>
      </x:c>
      <x:c r="F600" s="12" t="n">
        <x:f>IF(ISNUMBER(E600),E600/D600,"n.a.")</x:f>
        <x:v>0.10729582192663802</x:v>
      </x:c>
      <x:c r="G600" s="2" t="n">
        <x:f>IF(ISNUMBER(F600),IF(AND(ABS(F600)+0.00000000001&gt;=$B$6,ABS(E600)+0.000000001&gt;=$D$6),1,0),"n.a.")</x:f>
        <x:v>1</x:v>
      </x:c>
      <x:c r="H600" s="2" t="n">
        <x:f>IF(ISNUMBER(E600),SIGN(E600),"n.a.")</x:f>
        <x:v>1</x:v>
      </x:c>
      <x:c r="I600" s="2" t="n">
        <x:f>IF(NOT(ISNUMBER(G600)),"n.a.",IF(G600=0,0,IF(AND(B600=B586,A600=EDATE(A586,1),H600=H586,ISNUMBER(I586)),I586+1,1)))</x:f>
        <x:v>1</x:v>
      </x:c>
      <x:c r="J600" s="2" t="n">
        <x:f>IF(ISNUMBER(F600),IF(AND(ABS(F600)+0.00000000001&gt;=$B$7,ABS(E600)+0.000000001&gt;=$D$7),1,0),"n.a.")</x:f>
        <x:v>0</x:v>
      </x:c>
      <x:c r="K600" s="2" t="str">
        <x:f>IF(NOT(ISNUMBER(F600)),"No evaluable",IF(OR(J600=1,I600&gt;=$B$8),"Prioridad",IF(G600=1,"Observar","Sin umbral")))</x:f>
        <x:v>Observar</x:v>
      </x:c>
      <x:c r="L600" s="2" t="str">
        <x:f>IF(K600="No evaluable","Faltan datos",IF(J600=1,"Magnitud",IF(I600&gt;=$B$8,"Persistencia",IF(G600=1,"Cambio del mes","Sin umbral"))))</x:f>
        <x:v>Cambio del mes</x:v>
      </x:c>
      <x:c r="M600" s="2" t="n">
        <x:f>ROW()-40</x:f>
        <x:v>560</x:v>
      </x:c>
    </x:row>
    <x:row r="601" ht="48" customHeight="1">
      <x:c r="A601" s="4" t="n">
        <x:v>46143</x:v>
      </x:c>
      <x:c r="B601" s="32" t="str">
        <x:v>Cargas y puertos</x:v>
      </x:c>
      <x:c r="C601" s="10" t="n">
        <x:f>IF(ISNUMBER('Actividades'!F738),'Actividades'!F738,"n.a.")</x:f>
        <x:v>9.218932795698926</x:v>
      </x:c>
      <x:c r="D601" s="10" t="n">
        <x:f>IF(ISNUMBER('Actividades'!G738),'Actividades'!G738,"n.a.")</x:f>
        <x:v>9.245549731182795</x:v>
      </x:c>
      <x:c r="E601" s="10" t="n">
        <x:f>IF(AND(ISNUMBER(C601),ISNUMBER(D601),C601&gt;=0,D601&gt;0),C601-D601,"n.a.")</x:f>
        <x:v>-0.026616935483868787</x:v>
      </x:c>
      <x:c r="F601" s="12" t="n">
        <x:f>IF(ISNUMBER(E601),E601/D601,"n.a.")</x:f>
        <x:v>-0.0028788916027455785</x:v>
      </x:c>
      <x:c r="G601" s="2" t="n">
        <x:f>IF(ISNUMBER(F601),IF(AND(ABS(F601)+0.00000000001&gt;=$B$6,ABS(E601)+0.000000001&gt;=$D$6),1,0),"n.a.")</x:f>
        <x:v>0</x:v>
      </x:c>
      <x:c r="H601" s="2" t="n">
        <x:f>IF(ISNUMBER(E601),SIGN(E601),"n.a.")</x:f>
        <x:v>-1</x:v>
      </x:c>
      <x:c r="I601" s="2" t="n">
        <x:f>IF(NOT(ISNUMBER(G601)),"n.a.",IF(G601=0,0,IF(AND(B601=B587,A601=EDATE(A587,1),H601=H587,ISNUMBER(I587)),I587+1,1)))</x:f>
        <x:v>0</x:v>
      </x:c>
      <x:c r="J601" s="2" t="n">
        <x:f>IF(ISNUMBER(F601),IF(AND(ABS(F601)+0.00000000001&gt;=$B$7,ABS(E601)+0.000000001&gt;=$D$7),1,0),"n.a.")</x:f>
        <x:v>0</x:v>
      </x:c>
      <x:c r="K601" s="2" t="str">
        <x:f>IF(NOT(ISNUMBER(F601)),"No evaluable",IF(OR(J601=1,I601&gt;=$B$8),"Prioridad",IF(G601=1,"Observar","Sin umbral")))</x:f>
        <x:v>Sin umbral</x:v>
      </x:c>
      <x:c r="L601" s="2" t="str">
        <x:f>IF(K601="No evaluable","Faltan datos",IF(J601=1,"Magnitud",IF(I601&gt;=$B$8,"Persistencia",IF(G601=1,"Cambio del mes","Sin umbral"))))</x:f>
        <x:v>Sin umbral</x:v>
      </x:c>
      <x:c r="M601" s="2" t="n">
        <x:f>ROW()-40</x:f>
        <x:v>561</x:v>
      </x:c>
    </x:row>
    <x:row r="602" ht="48" customHeight="1">
      <x:c r="A602" s="4" t="n">
        <x:v>46143</x:v>
      </x:c>
      <x:c r="B602" s="32" t="str">
        <x:v>Comercio y servicios: principalmente supermercados y centros comerciales</x:v>
      </x:c>
      <x:c r="C602" s="10" t="n">
        <x:f>IF(ISNUMBER('Actividades'!F739),'Actividades'!F739,"n.a.")</x:f>
        <x:v>48.978276881720426</x:v>
      </x:c>
      <x:c r="D602" s="10" t="n">
        <x:f>IF(ISNUMBER('Actividades'!G739),'Actividades'!G739,"n.a.")</x:f>
        <x:v>44.32232123655914</x:v>
      </x:c>
      <x:c r="E602" s="10" t="n">
        <x:f>IF(AND(ISNUMBER(C602),ISNUMBER(D602),C602&gt;=0,D602&gt;0),C602-D602,"n.a.")</x:f>
        <x:v>4.655955645161285</x:v>
      </x:c>
      <x:c r="F602" s="12" t="n">
        <x:f>IF(ISNUMBER(E602),E602/D602,"n.a.")</x:f>
        <x:v>0.10504764902341877</x:v>
      </x:c>
      <x:c r="G602" s="2" t="n">
        <x:f>IF(ISNUMBER(F602),IF(AND(ABS(F602)+0.00000000001&gt;=$B$6,ABS(E602)+0.000000001&gt;=$D$6),1,0),"n.a.")</x:f>
        <x:v>0</x:v>
      </x:c>
      <x:c r="H602" s="2" t="n">
        <x:f>IF(ISNUMBER(E602),SIGN(E602),"n.a.")</x:f>
        <x:v>1</x:v>
      </x:c>
      <x:c r="I602" s="2" t="n">
        <x:f>IF(NOT(ISNUMBER(G602)),"n.a.",IF(G602=0,0,IF(AND(B602=B588,A602=EDATE(A588,1),H602=H588,ISNUMBER(I588)),I588+1,1)))</x:f>
        <x:v>0</x:v>
      </x:c>
      <x:c r="J602" s="2" t="n">
        <x:f>IF(ISNUMBER(F602),IF(AND(ABS(F602)+0.00000000001&gt;=$B$7,ABS(E602)+0.000000001&gt;=$D$7),1,0),"n.a.")</x:f>
        <x:v>0</x:v>
      </x:c>
      <x:c r="K602" s="2" t="str">
        <x:f>IF(NOT(ISNUMBER(F602)),"No evaluable",IF(OR(J602=1,I602&gt;=$B$8),"Prioridad",IF(G602=1,"Observar","Sin umbral")))</x:f>
        <x:v>Sin umbral</x:v>
      </x:c>
      <x:c r="L602" s="2" t="str">
        <x:f>IF(K602="No evaluable","Faltan datos",IF(J602=1,"Magnitud",IF(I602&gt;=$B$8,"Persistencia",IF(G602=1,"Cambio del mes","Sin umbral"))))</x:f>
        <x:v>Sin umbral</x:v>
      </x:c>
      <x:c r="M602" s="2" t="n">
        <x:f>ROW()-40</x:f>
        <x:v>562</x:v>
      </x:c>
    </x:row>
    <x:row r="603" ht="48" customHeight="1">
      <x:c r="A603" s="4" t="n">
        <x:v>46143</x:v>
      </x:c>
      <x:c r="B603" s="32" t="str">
        <x:v>Alimentación y artículos de consumo masivo</x:v>
      </x:c>
      <x:c r="C603" s="10" t="n">
        <x:f>IF(ISNUMBER('Actividades'!F740),'Actividades'!F740,"n.a.")</x:f>
        <x:v>320.1168373655914</x:v>
      </x:c>
      <x:c r="D603" s="10" t="n">
        <x:f>IF(ISNUMBER('Actividades'!G740),'Actividades'!G740,"n.a.")</x:f>
        <x:v>277.0284045698925</x:v>
      </x:c>
      <x:c r="E603" s="10" t="n">
        <x:f>IF(AND(ISNUMBER(C603),ISNUMBER(D603),C603&gt;=0,D603&gt;0),C603-D603,"n.a.")</x:f>
        <x:v>43.08843279569891</x:v>
      </x:c>
      <x:c r="F603" s="12" t="n">
        <x:f>IF(ISNUMBER(E603),E603/D603,"n.a.")</x:f>
        <x:v>0.1555379595915334</x:v>
      </x:c>
      <x:c r="G603" s="2" t="n">
        <x:f>IF(ISNUMBER(F603),IF(AND(ABS(F603)+0.00000000001&gt;=$B$6,ABS(E603)+0.000000001&gt;=$D$6),1,0),"n.a.")</x:f>
        <x:v>1</x:v>
      </x:c>
      <x:c r="H603" s="2" t="n">
        <x:f>IF(ISNUMBER(E603),SIGN(E603),"n.a.")</x:f>
        <x:v>1</x:v>
      </x:c>
      <x:c r="I603" s="2" t="n">
        <x:f>IF(NOT(ISNUMBER(G603)),"n.a.",IF(G603=0,0,IF(AND(B603=B589,A603=EDATE(A589,1),H603=H589,ISNUMBER(I589)),I589+1,1)))</x:f>
        <x:v>3</x:v>
      </x:c>
      <x:c r="J603" s="2" t="n">
        <x:f>IF(ISNUMBER(F603),IF(AND(ABS(F603)+0.00000000001&gt;=$B$7,ABS(E603)+0.000000001&gt;=$D$7),1,0),"n.a.")</x:f>
        <x:v>0</x:v>
      </x:c>
      <x:c r="K603" s="2" t="str">
        <x:f>IF(NOT(ISNUMBER(F603)),"No evaluable",IF(OR(J603=1,I603&gt;=$B$8),"Prioridad",IF(G603=1,"Observar","Sin umbral")))</x:f>
        <x:v>Prioridad</x:v>
      </x:c>
      <x:c r="L603" s="2" t="str">
        <x:f>IF(K603="No evaluable","Faltan datos",IF(J603=1,"Magnitud",IF(I603&gt;=$B$8,"Persistencia",IF(G603=1,"Cambio del mes","Sin umbral"))))</x:f>
        <x:v>Persistencia</x:v>
      </x:c>
      <x:c r="M603" s="2" t="n">
        <x:f>ROW()-40</x:f>
        <x:v>563</x:v>
      </x:c>
    </x:row>
    <x:row r="604" ht="48" customHeight="1">
      <x:c r="A604" s="4" t="n">
        <x:v>46143</x:v>
      </x:c>
      <x:c r="B604" s="32" t="str">
        <x:v>Servicios públicos y transporte: agua y transporte en GBA</x:v>
      </x:c>
      <x:c r="C604" s="10" t="n">
        <x:f>IF(ISNUMBER('Actividades'!F741),'Actividades'!F741,"n.a.")</x:f>
        <x:v>70.2856814516129</x:v>
      </x:c>
      <x:c r="D604" s="10" t="n">
        <x:f>IF(ISNUMBER('Actividades'!G741),'Actividades'!G741,"n.a.")</x:f>
        <x:v>71.67712634408602</x:v>
      </x:c>
      <x:c r="E604" s="10" t="n">
        <x:f>IF(AND(ISNUMBER(C604),ISNUMBER(D604),C604&gt;=0,D604&gt;0),C604-D604,"n.a.")</x:f>
        <x:v>-1.3914448924731175</x:v>
      </x:c>
      <x:c r="F604" s="12" t="n">
        <x:f>IF(ISNUMBER(E604),E604/D604,"n.a.")</x:f>
        <x:v>-0.019412676867003386</x:v>
      </x:c>
      <x:c r="G604" s="2" t="n">
        <x:f>IF(ISNUMBER(F604),IF(AND(ABS(F604)+0.00000000001&gt;=$B$6,ABS(E604)+0.000000001&gt;=$D$6),1,0),"n.a.")</x:f>
        <x:v>0</x:v>
      </x:c>
      <x:c r="H604" s="2" t="n">
        <x:f>IF(ISNUMBER(E604),SIGN(E604),"n.a.")</x:f>
        <x:v>-1</x:v>
      </x:c>
      <x:c r="I604" s="2" t="n">
        <x:f>IF(NOT(ISNUMBER(G604)),"n.a.",IF(G604=0,0,IF(AND(B604=B590,A604=EDATE(A590,1),H604=H590,ISNUMBER(I590)),I590+1,1)))</x:f>
        <x:v>0</x:v>
      </x:c>
      <x:c r="J604" s="2" t="n">
        <x:f>IF(ISNUMBER(F604),IF(AND(ABS(F604)+0.00000000001&gt;=$B$7,ABS(E604)+0.000000001&gt;=$D$7),1,0),"n.a.")</x:f>
        <x:v>0</x:v>
      </x:c>
      <x:c r="K604" s="2" t="str">
        <x:f>IF(NOT(ISNUMBER(F604)),"No evaluable",IF(OR(J604=1,I604&gt;=$B$8),"Prioridad",IF(G604=1,"Observar","Sin umbral")))</x:f>
        <x:v>Sin umbral</x:v>
      </x:c>
      <x:c r="L604" s="2" t="str">
        <x:f>IF(K604="No evaluable","Faltan datos",IF(J604=1,"Magnitud",IF(I604&gt;=$B$8,"Persistencia",IF(G604=1,"Cambio del mes","Sin umbral"))))</x:f>
        <x:v>Sin umbral</x:v>
      </x:c>
      <x:c r="M604" s="2" t="n">
        <x:f>ROW()-40</x:f>
        <x:v>564</x:v>
      </x:c>
    </x:row>
    <x:row r="605" ht="48" customHeight="1">
      <x:c r="A605" s="4" t="n">
        <x:v>46143</x:v>
      </x:c>
      <x:c r="B605" s="32" t="str">
        <x:v>Industria automotriz</x:v>
      </x:c>
      <x:c r="C605" s="10" t="n">
        <x:f>IF(ISNUMBER('Actividades'!F742),'Actividades'!F742,"n.a.")</x:f>
        <x:v>44.11443548387096</x:v>
      </x:c>
      <x:c r="D605" s="10" t="n">
        <x:f>IF(ISNUMBER('Actividades'!G742),'Actividades'!G742,"n.a.")</x:f>
        <x:v>43.09435887096774</x:v>
      </x:c>
      <x:c r="E605" s="10" t="n">
        <x:f>IF(AND(ISNUMBER(C605),ISNUMBER(D605),C605&gt;=0,D605&gt;0),C605-D605,"n.a.")</x:f>
        <x:v>1.0200766129032246</x:v>
      </x:c>
      <x:c r="F605" s="12" t="n">
        <x:f>IF(ISNUMBER(E605),E605/D605,"n.a.")</x:f>
        <x:v>0.023670768973672807</x:v>
      </x:c>
      <x:c r="G605" s="2" t="n">
        <x:f>IF(ISNUMBER(F605),IF(AND(ABS(F605)+0.00000000001&gt;=$B$6,ABS(E605)+0.000000001&gt;=$D$6),1,0),"n.a.")</x:f>
        <x:v>0</x:v>
      </x:c>
      <x:c r="H605" s="2" t="n">
        <x:f>IF(ISNUMBER(E605),SIGN(E605),"n.a.")</x:f>
        <x:v>1</x:v>
      </x:c>
      <x:c r="I605" s="2" t="n">
        <x:f>IF(NOT(ISNUMBER(G605)),"n.a.",IF(G605=0,0,IF(AND(B605=B591,A605=EDATE(A591,1),H605=H591,ISNUMBER(I591)),I591+1,1)))</x:f>
        <x:v>0</x:v>
      </x:c>
      <x:c r="J605" s="2" t="n">
        <x:f>IF(ISNUMBER(F605),IF(AND(ABS(F605)+0.00000000001&gt;=$B$7,ABS(E605)+0.000000001&gt;=$D$7),1,0),"n.a.")</x:f>
        <x:v>0</x:v>
      </x:c>
      <x:c r="K605" s="2" t="str">
        <x:f>IF(NOT(ISNUMBER(F605)),"No evaluable",IF(OR(J605=1,I605&gt;=$B$8),"Prioridad",IF(G605=1,"Observar","Sin umbral")))</x:f>
        <x:v>Sin umbral</x:v>
      </x:c>
      <x:c r="L605" s="2" t="str">
        <x:f>IF(K605="No evaluable","Faltan datos",IF(J605=1,"Magnitud",IF(I605&gt;=$B$8,"Persistencia",IF(G605=1,"Cambio del mes","Sin umbral"))))</x:f>
        <x:v>Sin umbral</x:v>
      </x:c>
      <x:c r="M605" s="2" t="n">
        <x:f>ROW()-40</x:f>
        <x:v>565</x:v>
      </x:c>
    </x:row>
    <x:row r="606" ht="48" customHeight="1">
      <x:c r="A606" s="4" t="n">
        <x:v>46143</x:v>
      </x:c>
      <x:c r="B606" s="32" t="str">
        <x:v>Derivados de petróleo</x:v>
      </x:c>
      <x:c r="C606" s="10" t="n">
        <x:f>IF(ISNUMBER('Actividades'!F743),'Actividades'!F743,"n.a.")</x:f>
        <x:v>153.14805510752686</x:v>
      </x:c>
      <x:c r="D606" s="10" t="n">
        <x:f>IF(ISNUMBER('Actividades'!G743),'Actividades'!G743,"n.a.")</x:f>
        <x:v>144.58043548387099</x:v>
      </x:c>
      <x:c r="E606" s="10" t="n">
        <x:f>IF(AND(ISNUMBER(C606),ISNUMBER(D606),C606&gt;=0,D606&gt;0),C606-D606,"n.a.")</x:f>
        <x:v>8.567619623655872</x:v>
      </x:c>
      <x:c r="F606" s="12" t="n">
        <x:f>IF(ISNUMBER(E606),E606/D606,"n.a.")</x:f>
        <x:v>0.059258499222127836</x:v>
      </x:c>
      <x:c r="G606" s="2" t="n">
        <x:f>IF(ISNUMBER(F606),IF(AND(ABS(F606)+0.00000000001&gt;=$B$6,ABS(E606)+0.000000001&gt;=$D$6),1,0),"n.a.")</x:f>
        <x:v>0</x:v>
      </x:c>
      <x:c r="H606" s="2" t="n">
        <x:f>IF(ISNUMBER(E606),SIGN(E606),"n.a.")</x:f>
        <x:v>1</x:v>
      </x:c>
      <x:c r="I606" s="2" t="n">
        <x:f>IF(NOT(ISNUMBER(G606)),"n.a.",IF(G606=0,0,IF(AND(B606=B592,A606=EDATE(A592,1),H606=H592,ISNUMBER(I592)),I592+1,1)))</x:f>
        <x:v>0</x:v>
      </x:c>
      <x:c r="J606" s="2" t="n">
        <x:f>IF(ISNUMBER(F606),IF(AND(ABS(F606)+0.00000000001&gt;=$B$7,ABS(E606)+0.000000001&gt;=$D$7),1,0),"n.a.")</x:f>
        <x:v>0</x:v>
      </x:c>
      <x:c r="K606" s="2" t="str">
        <x:f>IF(NOT(ISNUMBER(F606)),"No evaluable",IF(OR(J606=1,I606&gt;=$B$8),"Prioridad",IF(G606=1,"Observar","Sin umbral")))</x:f>
        <x:v>Sin umbral</x:v>
      </x:c>
      <x:c r="L606" s="2" t="str">
        <x:f>IF(K606="No evaluable","Faltan datos",IF(J606=1,"Magnitud",IF(I606&gt;=$B$8,"Persistencia",IF(G606=1,"Cambio del mes","Sin umbral"))))</x:f>
        <x:v>Sin umbral</x:v>
      </x:c>
      <x:c r="M606" s="2" t="n">
        <x:f>ROW()-40</x:f>
        <x:v>566</x:v>
      </x:c>
    </x:row>
    <x:row r="607" ht="48" customHeight="1">
      <x:c r="A607" s="4" t="n">
        <x:v>46143</x:v>
      </x:c>
      <x:c r="B607" s="32" t="str">
        <x:v>Construcción: elaboración de cemento y canteras</x:v>
      </x:c>
      <x:c r="C607" s="10" t="n">
        <x:f>IF(ISNUMBER('Actividades'!F744),'Actividades'!F744,"n.a.")</x:f>
        <x:v>106.31837365591397</x:v>
      </x:c>
      <x:c r="D607" s="10" t="n">
        <x:f>IF(ISNUMBER('Actividades'!G744),'Actividades'!G744,"n.a.")</x:f>
        <x:v>109.74640591397849</x:v>
      </x:c>
      <x:c r="E607" s="10" t="n">
        <x:f>IF(AND(ISNUMBER(C607),ISNUMBER(D607),C607&gt;=0,D607&gt;0),C607-D607,"n.a.")</x:f>
        <x:v>-3.428032258064519</x:v>
      </x:c>
      <x:c r="F607" s="12" t="n">
        <x:f>IF(ISNUMBER(E607),E607/D607,"n.a.")</x:f>
        <x:v>-0.031235940981534118</x:v>
      </x:c>
      <x:c r="G607" s="2" t="n">
        <x:f>IF(ISNUMBER(F607),IF(AND(ABS(F607)+0.00000000001&gt;=$B$6,ABS(E607)+0.000000001&gt;=$D$6),1,0),"n.a.")</x:f>
        <x:v>0</x:v>
      </x:c>
      <x:c r="H607" s="2" t="n">
        <x:f>IF(ISNUMBER(E607),SIGN(E607),"n.a.")</x:f>
        <x:v>-1</x:v>
      </x:c>
      <x:c r="I607" s="2" t="n">
        <x:f>IF(NOT(ISNUMBER(G607)),"n.a.",IF(G607=0,0,IF(AND(B607=B593,A607=EDATE(A593,1),H607=H593,ISNUMBER(I593)),I593+1,1)))</x:f>
        <x:v>0</x:v>
      </x:c>
      <x:c r="J607" s="2" t="n">
        <x:f>IF(ISNUMBER(F607),IF(AND(ABS(F607)+0.00000000001&gt;=$B$7,ABS(E607)+0.000000001&gt;=$D$7),1,0),"n.a.")</x:f>
        <x:v>0</x:v>
      </x:c>
      <x:c r="K607" s="2" t="str">
        <x:f>IF(NOT(ISNUMBER(F607)),"No evaluable",IF(OR(J607=1,I607&gt;=$B$8),"Prioridad",IF(G607=1,"Observar","Sin umbral")))</x:f>
        <x:v>Sin umbral</x:v>
      </x:c>
      <x:c r="L607" s="2" t="str">
        <x:f>IF(K607="No evaluable","Faltan datos",IF(J607=1,"Magnitud",IF(I607&gt;=$B$8,"Persistencia",IF(G607=1,"Cambio del mes","Sin umbral"))))</x:f>
        <x:v>Sin umbral</x:v>
      </x:c>
      <x:c r="M607" s="2" t="n">
        <x:f>ROW()-40</x:f>
        <x:v>567</x:v>
      </x:c>
    </x:row>
    <x:row r="608" ht="48" customHeight="1">
      <x:c r="A608" s="4" t="n">
        <x:v>46143</x:v>
      </x:c>
      <x:c r="B608" s="32" t="str">
        <x:v>Madera y papel</x:v>
      </x:c>
      <x:c r="C608" s="10" t="n">
        <x:f>IF(ISNUMBER('Actividades'!F745),'Actividades'!F745,"n.a.")</x:f>
        <x:v>105.15008198924731</x:v>
      </x:c>
      <x:c r="D608" s="10" t="n">
        <x:f>IF(ISNUMBER('Actividades'!G745),'Actividades'!G745,"n.a.")</x:f>
        <x:v>102.44226612903226</x:v>
      </x:c>
      <x:c r="E608" s="10" t="n">
        <x:f>IF(AND(ISNUMBER(C608),ISNUMBER(D608),C608&gt;=0,D608&gt;0),C608-D608,"n.a.")</x:f>
        <x:v>2.7078158602150495</x:v>
      </x:c>
      <x:c r="F608" s="12" t="n">
        <x:f>IF(ISNUMBER(E608),E608/D608,"n.a.")</x:f>
        <x:v>0.026432604066024767</x:v>
      </x:c>
      <x:c r="G608" s="2" t="n">
        <x:f>IF(ISNUMBER(F608),IF(AND(ABS(F608)+0.00000000001&gt;=$B$6,ABS(E608)+0.000000001&gt;=$D$6),1,0),"n.a.")</x:f>
        <x:v>0</x:v>
      </x:c>
      <x:c r="H608" s="2" t="n">
        <x:f>IF(ISNUMBER(E608),SIGN(E608),"n.a.")</x:f>
        <x:v>1</x:v>
      </x:c>
      <x:c r="I608" s="2" t="n">
        <x:f>IF(NOT(ISNUMBER(G608)),"n.a.",IF(G608=0,0,IF(AND(B608=B594,A608=EDATE(A594,1),H608=H594,ISNUMBER(I594)),I594+1,1)))</x:f>
        <x:v>0</x:v>
      </x:c>
      <x:c r="J608" s="2" t="n">
        <x:f>IF(ISNUMBER(F608),IF(AND(ABS(F608)+0.00000000001&gt;=$B$7,ABS(E608)+0.000000001&gt;=$D$7),1,0),"n.a.")</x:f>
        <x:v>0</x:v>
      </x:c>
      <x:c r="K608" s="2" t="str">
        <x:f>IF(NOT(ISNUMBER(F608)),"No evaluable",IF(OR(J608=1,I608&gt;=$B$8),"Prioridad",IF(G608=1,"Observar","Sin umbral")))</x:f>
        <x:v>Sin umbral</x:v>
      </x:c>
      <x:c r="L608" s="2" t="str">
        <x:f>IF(K608="No evaluable","Faltan datos",IF(J608=1,"Magnitud",IF(I608&gt;=$B$8,"Persistencia",IF(G608=1,"Cambio del mes","Sin umbral"))))</x:f>
        <x:v>Sin umbral</x:v>
      </x:c>
      <x:c r="M608" s="2" t="n">
        <x:f>ROW()-40</x:f>
        <x:v>568</x:v>
      </x:c>
    </x:row>
    <x:row r="609" ht="48" customHeight="1">
      <x:c r="A609" s="4" t="n">
        <x:v>46143</x:v>
      </x:c>
      <x:c r="B609" s="32" t="str">
        <x:v>Productos metálicos no automotores</x:v>
      </x:c>
      <x:c r="C609" s="10" t="n">
        <x:f>IF(ISNUMBER('Actividades'!F746),'Actividades'!F746,"n.a.")</x:f>
        <x:v>39.53677688172043</x:v>
      </x:c>
      <x:c r="D609" s="10" t="n">
        <x:f>IF(ISNUMBER('Actividades'!G746),'Actividades'!G746,"n.a.")</x:f>
        <x:v>30.53157258064516</x:v>
      </x:c>
      <x:c r="E609" s="10" t="n">
        <x:f>IF(AND(ISNUMBER(C609),ISNUMBER(D609),C609&gt;=0,D609&gt;0),C609-D609,"n.a.")</x:f>
        <x:v>9.005204301075267</x:v>
      </x:c>
      <x:c r="F609" s="12" t="n">
        <x:f>IF(ISNUMBER(E609),E609/D609,"n.a.")</x:f>
        <x:v>0.2949472804680858</x:v>
      </x:c>
      <x:c r="G609" s="2" t="n">
        <x:f>IF(ISNUMBER(F609),IF(AND(ABS(F609)+0.00000000001&gt;=$B$6,ABS(E609)+0.000000001&gt;=$D$6),1,0),"n.a.")</x:f>
        <x:v>1</x:v>
      </x:c>
      <x:c r="H609" s="2" t="n">
        <x:f>IF(ISNUMBER(E609),SIGN(E609),"n.a.")</x:f>
        <x:v>1</x:v>
      </x:c>
      <x:c r="I609" s="2" t="n">
        <x:f>IF(NOT(ISNUMBER(G609)),"n.a.",IF(G609=0,0,IF(AND(B609=B595,A609=EDATE(A595,1),H609=H595,ISNUMBER(I595)),I595+1,1)))</x:f>
        <x:v>3</x:v>
      </x:c>
      <x:c r="J609" s="2" t="n">
        <x:f>IF(ISNUMBER(F609),IF(AND(ABS(F609)+0.00000000001&gt;=$B$7,ABS(E609)+0.000000001&gt;=$D$7),1,0),"n.a.")</x:f>
        <x:v>0</x:v>
      </x:c>
      <x:c r="K609" s="2" t="str">
        <x:f>IF(NOT(ISNUMBER(F609)),"No evaluable",IF(OR(J609=1,I609&gt;=$B$8),"Prioridad",IF(G609=1,"Observar","Sin umbral")))</x:f>
        <x:v>Prioridad</x:v>
      </x:c>
      <x:c r="L609" s="2" t="str">
        <x:f>IF(K609="No evaluable","Faltan datos",IF(J609=1,"Magnitud",IF(I609&gt;=$B$8,"Persistencia",IF(G609=1,"Cambio del mes","Sin umbral"))))</x:f>
        <x:v>Persistencia</x:v>
      </x:c>
      <x:c r="M609" s="2" t="n">
        <x:f>ROW()-40</x:f>
        <x:v>569</x:v>
      </x:c>
    </x:row>
    <x:row r="610" ht="48" customHeight="1">
      <x:c r="A610" s="4" t="n">
        <x:v>46143</x:v>
      </x:c>
      <x:c r="B610" s="32" t="str">
        <x:v>Gran siderurgia</x:v>
      </x:c>
      <x:c r="C610" s="10" t="n">
        <x:f>IF(ISNUMBER('Actividades'!F747),'Actividades'!F747,"n.a.")</x:f>
        <x:v>318.2533346774194</x:v>
      </x:c>
      <x:c r="D610" s="10" t="n">
        <x:f>IF(ISNUMBER('Actividades'!G747),'Actividades'!G747,"n.a.")</x:f>
        <x:v>287.72241935483873</x:v>
      </x:c>
      <x:c r="E610" s="10" t="n">
        <x:f>IF(AND(ISNUMBER(C610),ISNUMBER(D610),C610&gt;=0,D610&gt;0),C610-D610,"n.a.")</x:f>
        <x:v>30.530915322580654</x:v>
      </x:c>
      <x:c r="F610" s="12" t="n">
        <x:f>IF(ISNUMBER(E610),E610/D610,"n.a.")</x:f>
        <x:v>0.10611239607619129</x:v>
      </x:c>
      <x:c r="G610" s="2" t="n">
        <x:f>IF(ISNUMBER(F610),IF(AND(ABS(F610)+0.00000000001&gt;=$B$6,ABS(E610)+0.000000001&gt;=$D$6),1,0),"n.a.")</x:f>
        <x:v>1</x:v>
      </x:c>
      <x:c r="H610" s="2" t="n">
        <x:f>IF(ISNUMBER(E610),SIGN(E610),"n.a.")</x:f>
        <x:v>1</x:v>
      </x:c>
      <x:c r="I610" s="2" t="n">
        <x:f>IF(NOT(ISNUMBER(G610)),"n.a.",IF(G610=0,0,IF(AND(B610=B596,A610=EDATE(A596,1),H610=H596,ISNUMBER(I596)),I596+1,1)))</x:f>
        <x:v>3</x:v>
      </x:c>
      <x:c r="J610" s="2" t="n">
        <x:f>IF(ISNUMBER(F610),IF(AND(ABS(F610)+0.00000000001&gt;=$B$7,ABS(E610)+0.000000001&gt;=$D$7),1,0),"n.a.")</x:f>
        <x:v>0</x:v>
      </x:c>
      <x:c r="K610" s="2" t="str">
        <x:f>IF(NOT(ISNUMBER(F610)),"No evaluable",IF(OR(J610=1,I610&gt;=$B$8),"Prioridad",IF(G610=1,"Observar","Sin umbral")))</x:f>
        <x:v>Prioridad</x:v>
      </x:c>
      <x:c r="L610" s="2" t="str">
        <x:f>IF(K610="No evaluable","Faltan datos",IF(J610=1,"Magnitud",IF(I610&gt;=$B$8,"Persistencia",IF(G610=1,"Cambio del mes","Sin umbral"))))</x:f>
        <x:v>Persistencia</x:v>
      </x:c>
      <x:c r="M610" s="2" t="n">
        <x:f>ROW()-40</x:f>
        <x:v>570</x:v>
      </x:c>
    </x:row>
    <x:row r="611" ht="48" customHeight="1">
      <x:c r="A611" s="4" t="n">
        <x:v>46143</x:v>
      </x:c>
      <x:c r="B611" s="32" t="str">
        <x:v>Industria textil</x:v>
      </x:c>
      <x:c r="C611" s="10" t="n">
        <x:f>IF(ISNUMBER('Actividades'!F748),'Actividades'!F748,"n.a.")</x:f>
        <x:v>38.682069892473116</x:v>
      </x:c>
      <x:c r="D611" s="10" t="n">
        <x:f>IF(ISNUMBER('Actividades'!G748),'Actividades'!G748,"n.a.")</x:f>
        <x:v>55.273020161290326</x:v>
      </x:c>
      <x:c r="E611" s="10" t="n">
        <x:f>IF(AND(ISNUMBER(C611),ISNUMBER(D611),C611&gt;=0,D611&gt;0),C611-D611,"n.a.")</x:f>
        <x:v>-16.59095026881721</x:v>
      </x:c>
      <x:c r="F611" s="12" t="n">
        <x:f>IF(ISNUMBER(E611),E611/D611,"n.a.")</x:f>
        <x:v>-0.3001636281209842</x:v>
      </x:c>
      <x:c r="G611" s="2" t="n">
        <x:f>IF(ISNUMBER(F611),IF(AND(ABS(F611)+0.00000000001&gt;=$B$6,ABS(E611)+0.000000001&gt;=$D$6),1,0),"n.a.")</x:f>
        <x:v>1</x:v>
      </x:c>
      <x:c r="H611" s="2" t="n">
        <x:f>IF(ISNUMBER(E611),SIGN(E611),"n.a.")</x:f>
        <x:v>-1</x:v>
      </x:c>
      <x:c r="I611" s="2" t="n">
        <x:f>IF(NOT(ISNUMBER(G611)),"n.a.",IF(G611=0,0,IF(AND(B611=B597,A611=EDATE(A597,1),H611=H597,ISNUMBER(I597)),I597+1,1)))</x:f>
        <x:v>9</x:v>
      </x:c>
      <x:c r="J611" s="2" t="n">
        <x:f>IF(ISNUMBER(F611),IF(AND(ABS(F611)+0.00000000001&gt;=$B$7,ABS(E611)+0.000000001&gt;=$D$7),1,0),"n.a.")</x:f>
        <x:v>1</x:v>
      </x:c>
      <x:c r="K611" s="2" t="str">
        <x:f>IF(NOT(ISNUMBER(F611)),"No evaluable",IF(OR(J611=1,I611&gt;=$B$8),"Prioridad",IF(G611=1,"Observar","Sin umbral")))</x:f>
        <x:v>Prioridad</x:v>
      </x:c>
      <x:c r="L611" s="2" t="str">
        <x:f>IF(K611="No evaluable","Faltan datos",IF(J611=1,"Magnitud",IF(I611&gt;=$B$8,"Persistencia",IF(G611=1,"Cambio del mes","Sin umbral"))))</x:f>
        <x:v>Magnitud</x:v>
      </x:c>
      <x:c r="M611" s="2" t="n">
        <x:f>ROW()-40</x:f>
        <x:v>571</x:v>
      </x:c>
    </x:row>
    <x:row r="612" ht="48" customHeight="1">
      <x:c r="A612" s="4" t="n">
        <x:v>46143</x:v>
      </x:c>
      <x:c r="B612" s="32" t="str">
        <x:v>Químicas, caucho, plástico y otros minerales no metálicos</x:v>
      </x:c>
      <x:c r="C612" s="10" t="n">
        <x:f>IF(ISNUMBER('Actividades'!F749),'Actividades'!F749,"n.a.")</x:f>
        <x:v>357.275314516129</x:v>
      </x:c>
      <x:c r="D612" s="10" t="n">
        <x:f>IF(ISNUMBER('Actividades'!G749),'Actividades'!G749,"n.a.")</x:f>
        <x:v>332.53623790322575</x:v>
      </x:c>
      <x:c r="E612" s="10" t="n">
        <x:f>IF(AND(ISNUMBER(C612),ISNUMBER(D612),C612&gt;=0,D612&gt;0),C612-D612,"n.a.")</x:f>
        <x:v>24.73907661290326</x:v>
      </x:c>
      <x:c r="F612" s="12" t="n">
        <x:f>IF(ISNUMBER(E612),E612/D612,"n.a.")</x:f>
        <x:v>0.07439512989288943</x:v>
      </x:c>
      <x:c r="G612" s="2" t="n">
        <x:f>IF(ISNUMBER(F612),IF(AND(ABS(F612)+0.00000000001&gt;=$B$6,ABS(E612)+0.000000001&gt;=$D$6),1,0),"n.a.")</x:f>
        <x:v>0</x:v>
      </x:c>
      <x:c r="H612" s="2" t="n">
        <x:f>IF(ISNUMBER(E612),SIGN(E612),"n.a.")</x:f>
        <x:v>1</x:v>
      </x:c>
      <x:c r="I612" s="2" t="n">
        <x:f>IF(NOT(ISNUMBER(G612)),"n.a.",IF(G612=0,0,IF(AND(B612=B598,A612=EDATE(A598,1),H612=H598,ISNUMBER(I598)),I598+1,1)))</x:f>
        <x:v>0</x:v>
      </x:c>
      <x:c r="J612" s="2" t="n">
        <x:f>IF(ISNUMBER(F612),IF(AND(ABS(F612)+0.00000000001&gt;=$B$7,ABS(E612)+0.000000001&gt;=$D$7),1,0),"n.a.")</x:f>
        <x:v>0</x:v>
      </x:c>
      <x:c r="K612" s="2" t="str">
        <x:f>IF(NOT(ISNUMBER(F612)),"No evaluable",IF(OR(J612=1,I612&gt;=$B$8),"Prioridad",IF(G612=1,"Observar","Sin umbral")))</x:f>
        <x:v>Sin umbral</x:v>
      </x:c>
      <x:c r="L612" s="2" t="str">
        <x:f>IF(K612="No evaluable","Faltan datos",IF(J612=1,"Magnitud",IF(I612&gt;=$B$8,"Persistencia",IF(G612=1,"Cambio del mes","Sin umbral"))))</x:f>
        <x:v>Sin umbral</x:v>
      </x:c>
      <x:c r="M612" s="2" t="n">
        <x:f>ROW()-40</x:f>
        <x:v>572</x:v>
      </x:c>
    </x:row>
    <x:row r="613" ht="48" customHeight="1">
      <x:c r="A613" s="4" t="n">
        <x:v>46143</x:v>
      </x:c>
      <x:c r="B613" s="32" t="str">
        <x:v>Extracción de minerales</x:v>
      </x:c>
      <x:c r="C613" s="10" t="n">
        <x:f>IF(ISNUMBER('Actividades'!F750),'Actividades'!F750,"n.a.")</x:f>
        <x:v>37.073040322580646</x:v>
      </x:c>
      <x:c r="D613" s="10" t="n">
        <x:f>IF(ISNUMBER('Actividades'!G750),'Actividades'!G750,"n.a.")</x:f>
        <x:v>24.52288306451613</x:v>
      </x:c>
      <x:c r="E613" s="10" t="n">
        <x:f>IF(AND(ISNUMBER(C613),ISNUMBER(D613),C613&gt;=0,D613&gt;0),C613-D613,"n.a.")</x:f>
        <x:v>12.550157258064516</x:v>
      </x:c>
      <x:c r="F613" s="12" t="n">
        <x:f>IF(ISNUMBER(E613),E613/D613,"n.a.")</x:f>
        <x:v>0.5117733190280638</x:v>
      </x:c>
      <x:c r="G613" s="2" t="n">
        <x:f>IF(ISNUMBER(F613),IF(AND(ABS(F613)+0.00000000001&gt;=$B$6,ABS(E613)+0.000000001&gt;=$D$6),1,0),"n.a.")</x:f>
        <x:v>1</x:v>
      </x:c>
      <x:c r="H613" s="2" t="n">
        <x:f>IF(ISNUMBER(E613),SIGN(E613),"n.a.")</x:f>
        <x:v>1</x:v>
      </x:c>
      <x:c r="I613" s="2" t="n">
        <x:f>IF(NOT(ISNUMBER(G613)),"n.a.",IF(G613=0,0,IF(AND(B613=B599,A613=EDATE(A599,1),H613=H599,ISNUMBER(I599)),I599+1,1)))</x:f>
        <x:v>1</x:v>
      </x:c>
      <x:c r="J613" s="2" t="n">
        <x:f>IF(ISNUMBER(F613),IF(AND(ABS(F613)+0.00000000001&gt;=$B$7,ABS(E613)+0.000000001&gt;=$D$7),1,0),"n.a.")</x:f>
        <x:v>1</x:v>
      </x:c>
      <x:c r="K613" s="2" t="str">
        <x:f>IF(NOT(ISNUMBER(F613)),"No evaluable",IF(OR(J613=1,I613&gt;=$B$8),"Prioridad",IF(G613=1,"Observar","Sin umbral")))</x:f>
        <x:v>Prioridad</x:v>
      </x:c>
      <x:c r="L613" s="2" t="str">
        <x:f>IF(K613="No evaluable","Faltan datos",IF(J613=1,"Magnitud",IF(I613&gt;=$B$8,"Persistencia",IF(G613=1,"Cambio del mes","Sin umbral"))))</x:f>
        <x:v>Magnitud</x:v>
      </x:c>
      <x:c r="M613" s="2" t="n">
        <x:f>ROW()-40</x:f>
        <x:v>573</x:v>
      </x:c>
    </x:row>
    <x:row r="614" ht="48" customHeight="1">
      <x:c r="A614" s="4" t="n">
        <x:v>46143</x:v>
      </x:c>
      <x:c r="B614" s="32" t="str">
        <x:v>Extracción de petróleo</x:v>
      </x:c>
      <x:c r="C614" s="10" t="n">
        <x:f>IF(ISNUMBER('Actividades'!F751),'Actividades'!F751,"n.a.")</x:f>
        <x:v>151.58433333333332</x:v>
      </x:c>
      <x:c r="D614" s="10" t="n">
        <x:f>IF(ISNUMBER('Actividades'!G751),'Actividades'!G751,"n.a.")</x:f>
        <x:v>155.61768279569893</x:v>
      </x:c>
      <x:c r="E614" s="10" t="n">
        <x:f>IF(AND(ISNUMBER(C614),ISNUMBER(D614),C614&gt;=0,D614&gt;0),C614-D614,"n.a.")</x:f>
        <x:v>-4.0333494623656065</x:v>
      </x:c>
      <x:c r="F614" s="12" t="n">
        <x:f>IF(ISNUMBER(E614),E614/D614,"n.a.")</x:f>
        <x:v>-0.025918323611467394</x:v>
      </x:c>
      <x:c r="G614" s="2" t="n">
        <x:f>IF(ISNUMBER(F614),IF(AND(ABS(F614)+0.00000000001&gt;=$B$6,ABS(E614)+0.000000001&gt;=$D$6),1,0),"n.a.")</x:f>
        <x:v>0</x:v>
      </x:c>
      <x:c r="H614" s="2" t="n">
        <x:f>IF(ISNUMBER(E614),SIGN(E614),"n.a.")</x:f>
        <x:v>-1</x:v>
      </x:c>
      <x:c r="I614" s="2" t="n">
        <x:f>IF(NOT(ISNUMBER(G614)),"n.a.",IF(G614=0,0,IF(AND(B614=B600,A614=EDATE(A600,1),H614=H600,ISNUMBER(I600)),I600+1,1)))</x:f>
        <x:v>0</x:v>
      </x:c>
      <x:c r="J614" s="2" t="n">
        <x:f>IF(ISNUMBER(F614),IF(AND(ABS(F614)+0.00000000001&gt;=$B$7,ABS(E614)+0.000000001&gt;=$D$7),1,0),"n.a.")</x:f>
        <x:v>0</x:v>
      </x:c>
      <x:c r="K614" s="2" t="str">
        <x:f>IF(NOT(ISNUMBER(F614)),"No evaluable",IF(OR(J614=1,I614&gt;=$B$8),"Prioridad",IF(G614=1,"Observar","Sin umbral")))</x:f>
        <x:v>Sin umbral</x:v>
      </x:c>
      <x:c r="L614" s="2" t="str">
        <x:f>IF(K614="No evaluable","Faltan datos",IF(J614=1,"Magnitud",IF(I614&gt;=$B$8,"Persistencia",IF(G614=1,"Cambio del mes","Sin umbral"))))</x:f>
        <x:v>Sin umbral</x:v>
      </x:c>
      <x:c r="M614" s="2" t="n">
        <x:f>ROW()-40</x:f>
        <x:v>574</x:v>
      </x:c>
    </x:row>
    <x:row r="615" ht="48" customHeight="1">
      <x:c r="A615" s="4" t="n">
        <x:v>46174</x:v>
      </x:c>
      <x:c r="B615" s="32" t="str">
        <x:v>Cargas y puertos</x:v>
      </x:c>
      <x:c r="C615" s="10" t="n">
        <x:f>IF(ISNUMBER('Actividades'!F752),'Actividades'!F752,"n.a.")</x:f>
        <x:v>9.483913888888887</x:v>
      </x:c>
      <x:c r="D615" s="10" t="n">
        <x:f>IF(ISNUMBER('Actividades'!G752),'Actividades'!G752,"n.a.")</x:f>
        <x:v>9.643102777777779</x:v>
      </x:c>
      <x:c r="E615" s="10" t="n">
        <x:f>IF(AND(ISNUMBER(C615),ISNUMBER(D615),C615&gt;=0,D615&gt;0),C615-D615,"n.a.")</x:f>
        <x:v>-0.1591888888888917</x:v>
      </x:c>
      <x:c r="F615" s="12" t="n">
        <x:f>IF(ISNUMBER(E615),E615/D615,"n.a.")</x:f>
        <x:v>-0.016508056852379237</x:v>
      </x:c>
      <x:c r="G615" s="2" t="n">
        <x:f>IF(ISNUMBER(F615),IF(AND(ABS(F615)+0.00000000001&gt;=$B$6,ABS(E615)+0.000000001&gt;=$D$6),1,0),"n.a.")</x:f>
        <x:v>0</x:v>
      </x:c>
      <x:c r="H615" s="2" t="n">
        <x:f>IF(ISNUMBER(E615),SIGN(E615),"n.a.")</x:f>
        <x:v>-1</x:v>
      </x:c>
      <x:c r="I615" s="2" t="n">
        <x:f>IF(NOT(ISNUMBER(G615)),"n.a.",IF(G615=0,0,IF(AND(B615=B601,A615=EDATE(A601,1),H615=H601,ISNUMBER(I601)),I601+1,1)))</x:f>
        <x:v>0</x:v>
      </x:c>
      <x:c r="J615" s="2" t="n">
        <x:f>IF(ISNUMBER(F615),IF(AND(ABS(F615)+0.00000000001&gt;=$B$7,ABS(E615)+0.000000001&gt;=$D$7),1,0),"n.a.")</x:f>
        <x:v>0</x:v>
      </x:c>
      <x:c r="K615" s="2" t="str">
        <x:f>IF(NOT(ISNUMBER(F615)),"No evaluable",IF(OR(J615=1,I615&gt;=$B$8),"Prioridad",IF(G615=1,"Observar","Sin umbral")))</x:f>
        <x:v>Sin umbral</x:v>
      </x:c>
      <x:c r="L615" s="2" t="str">
        <x:f>IF(K615="No evaluable","Faltan datos",IF(J615=1,"Magnitud",IF(I615&gt;=$B$8,"Persistencia",IF(G615=1,"Cambio del mes","Sin umbral"))))</x:f>
        <x:v>Sin umbral</x:v>
      </x:c>
      <x:c r="M615" s="2" t="n">
        <x:f>ROW()-40</x:f>
        <x:v>575</x:v>
      </x:c>
    </x:row>
    <x:row r="616" ht="48" customHeight="1">
      <x:c r="A616" s="4" t="n">
        <x:v>46174</x:v>
      </x:c>
      <x:c r="B616" s="32" t="str">
        <x:v>Comercio y servicios: principalmente supermercados y centros comerciales</x:v>
      </x:c>
      <x:c r="C616" s="10" t="n">
        <x:f>IF(ISNUMBER('Actividades'!F753),'Actividades'!F753,"n.a.")</x:f>
        <x:v>49.477943055555556</x:v>
      </x:c>
      <x:c r="D616" s="10" t="n">
        <x:f>IF(ISNUMBER('Actividades'!G753),'Actividades'!G753,"n.a.")</x:f>
        <x:v>44.043680555555554</x:v>
      </x:c>
      <x:c r="E616" s="10" t="n">
        <x:f>IF(AND(ISNUMBER(C616),ISNUMBER(D616),C616&gt;=0,D616&gt;0),C616-D616,"n.a.")</x:f>
        <x:v>5.434262500000003</x:v>
      </x:c>
      <x:c r="F616" s="12" t="n">
        <x:f>IF(ISNUMBER(E616),E616/D616,"n.a.")</x:f>
        <x:v>0.12338347820739834</x:v>
      </x:c>
      <x:c r="G616" s="2" t="n">
        <x:f>IF(ISNUMBER(F616),IF(AND(ABS(F616)+0.00000000001&gt;=$B$6,ABS(E616)+0.000000001&gt;=$D$6),1,0),"n.a.")</x:f>
        <x:v>1</x:v>
      </x:c>
      <x:c r="H616" s="2" t="n">
        <x:f>IF(ISNUMBER(E616),SIGN(E616),"n.a.")</x:f>
        <x:v>1</x:v>
      </x:c>
      <x:c r="I616" s="2" t="n">
        <x:f>IF(NOT(ISNUMBER(G616)),"n.a.",IF(G616=0,0,IF(AND(B616=B602,A616=EDATE(A602,1),H616=H602,ISNUMBER(I602)),I602+1,1)))</x:f>
        <x:v>1</x:v>
      </x:c>
      <x:c r="J616" s="2" t="n">
        <x:f>IF(ISNUMBER(F616),IF(AND(ABS(F616)+0.00000000001&gt;=$B$7,ABS(E616)+0.000000001&gt;=$D$7),1,0),"n.a.")</x:f>
        <x:v>0</x:v>
      </x:c>
      <x:c r="K616" s="2" t="str">
        <x:f>IF(NOT(ISNUMBER(F616)),"No evaluable",IF(OR(J616=1,I616&gt;=$B$8),"Prioridad",IF(G616=1,"Observar","Sin umbral")))</x:f>
        <x:v>Observar</x:v>
      </x:c>
      <x:c r="L616" s="2" t="str">
        <x:f>IF(K616="No evaluable","Faltan datos",IF(J616=1,"Magnitud",IF(I616&gt;=$B$8,"Persistencia",IF(G616=1,"Cambio del mes","Sin umbral"))))</x:f>
        <x:v>Cambio del mes</x:v>
      </x:c>
      <x:c r="M616" s="2" t="n">
        <x:f>ROW()-40</x:f>
        <x:v>576</x:v>
      </x:c>
    </x:row>
    <x:row r="617" ht="48" customHeight="1">
      <x:c r="A617" s="4" t="n">
        <x:v>46174</x:v>
      </x:c>
      <x:c r="B617" s="32" t="str">
        <x:v>Alimentación y artículos de consumo masivo</x:v>
      </x:c>
      <x:c r="C617" s="10" t="n">
        <x:f>IF(ISNUMBER('Actividades'!F754),'Actividades'!F754,"n.a.")</x:f>
        <x:v>330.7736902777778</x:v>
      </x:c>
      <x:c r="D617" s="10" t="n">
        <x:f>IF(ISNUMBER('Actividades'!G754),'Actividades'!G754,"n.a.")</x:f>
        <x:v>279.086475</x:v>
      </x:c>
      <x:c r="E617" s="10" t="n">
        <x:f>IF(AND(ISNUMBER(C617),ISNUMBER(D617),C617&gt;=0,D617&gt;0),C617-D617,"n.a.")</x:f>
        <x:v>51.687215277777796</x:v>
      </x:c>
      <x:c r="F617" s="12" t="n">
        <x:f>IF(ISNUMBER(E617),E617/D617,"n.a.")</x:f>
        <x:v>0.18520143363370722</x:v>
      </x:c>
      <x:c r="G617" s="2" t="n">
        <x:f>IF(ISNUMBER(F617),IF(AND(ABS(F617)+0.00000000001&gt;=$B$6,ABS(E617)+0.000000001&gt;=$D$6),1,0),"n.a.")</x:f>
        <x:v>1</x:v>
      </x:c>
      <x:c r="H617" s="2" t="n">
        <x:f>IF(ISNUMBER(E617),SIGN(E617),"n.a.")</x:f>
        <x:v>1</x:v>
      </x:c>
      <x:c r="I617" s="2" t="n">
        <x:f>IF(NOT(ISNUMBER(G617)),"n.a.",IF(G617=0,0,IF(AND(B617=B603,A617=EDATE(A603,1),H617=H603,ISNUMBER(I603)),I603+1,1)))</x:f>
        <x:v>4</x:v>
      </x:c>
      <x:c r="J617" s="2" t="n">
        <x:f>IF(ISNUMBER(F617),IF(AND(ABS(F617)+0.00000000001&gt;=$B$7,ABS(E617)+0.000000001&gt;=$D$7),1,0),"n.a.")</x:f>
        <x:v>0</x:v>
      </x:c>
      <x:c r="K617" s="2" t="str">
        <x:f>IF(NOT(ISNUMBER(F617)),"No evaluable",IF(OR(J617=1,I617&gt;=$B$8),"Prioridad",IF(G617=1,"Observar","Sin umbral")))</x:f>
        <x:v>Prioridad</x:v>
      </x:c>
      <x:c r="L617" s="2" t="str">
        <x:f>IF(K617="No evaluable","Faltan datos",IF(J617=1,"Magnitud",IF(I617&gt;=$B$8,"Persistencia",IF(G617=1,"Cambio del mes","Sin umbral"))))</x:f>
        <x:v>Persistencia</x:v>
      </x:c>
      <x:c r="M617" s="2" t="n">
        <x:f>ROW()-40</x:f>
        <x:v>577</x:v>
      </x:c>
    </x:row>
    <x:row r="618" ht="48" customHeight="1">
      <x:c r="A618" s="4" t="n">
        <x:v>46174</x:v>
      </x:c>
      <x:c r="B618" s="32" t="str">
        <x:v>Servicios públicos y transporte: agua y transporte en GBA</x:v>
      </x:c>
      <x:c r="C618" s="10" t="n">
        <x:f>IF(ISNUMBER('Actividades'!F755),'Actividades'!F755,"n.a.")</x:f>
        <x:v>70.15644166666668</x:v>
      </x:c>
      <x:c r="D618" s="10" t="n">
        <x:f>IF(ISNUMBER('Actividades'!G755),'Actividades'!G755,"n.a.")</x:f>
        <x:v>74.01151527777778</x:v>
      </x:c>
      <x:c r="E618" s="10" t="n">
        <x:f>IF(AND(ISNUMBER(C618),ISNUMBER(D618),C618&gt;=0,D618&gt;0),C618-D618,"n.a.")</x:f>
        <x:v>-3.855073611111095</x:v>
      </x:c>
      <x:c r="F618" s="12" t="n">
        <x:f>IF(ISNUMBER(E618),E618/D618,"n.a.")</x:f>
        <x:v>-0.05208748390898835</x:v>
      </x:c>
      <x:c r="G618" s="2" t="n">
        <x:f>IF(ISNUMBER(F618),IF(AND(ABS(F618)+0.00000000001&gt;=$B$6,ABS(E618)+0.000000001&gt;=$D$6),1,0),"n.a.")</x:f>
        <x:v>0</x:v>
      </x:c>
      <x:c r="H618" s="2" t="n">
        <x:f>IF(ISNUMBER(E618),SIGN(E618),"n.a.")</x:f>
        <x:v>-1</x:v>
      </x:c>
      <x:c r="I618" s="2" t="n">
        <x:f>IF(NOT(ISNUMBER(G618)),"n.a.",IF(G618=0,0,IF(AND(B618=B604,A618=EDATE(A604,1),H618=H604,ISNUMBER(I604)),I604+1,1)))</x:f>
        <x:v>0</x:v>
      </x:c>
      <x:c r="J618" s="2" t="n">
        <x:f>IF(ISNUMBER(F618),IF(AND(ABS(F618)+0.00000000001&gt;=$B$7,ABS(E618)+0.000000001&gt;=$D$7),1,0),"n.a.")</x:f>
        <x:v>0</x:v>
      </x:c>
      <x:c r="K618" s="2" t="str">
        <x:f>IF(NOT(ISNUMBER(F618)),"No evaluable",IF(OR(J618=1,I618&gt;=$B$8),"Prioridad",IF(G618=1,"Observar","Sin umbral")))</x:f>
        <x:v>Sin umbral</x:v>
      </x:c>
      <x:c r="L618" s="2" t="str">
        <x:f>IF(K618="No evaluable","Faltan datos",IF(J618=1,"Magnitud",IF(I618&gt;=$B$8,"Persistencia",IF(G618=1,"Cambio del mes","Sin umbral"))))</x:f>
        <x:v>Sin umbral</x:v>
      </x:c>
      <x:c r="M618" s="2" t="n">
        <x:f>ROW()-40</x:f>
        <x:v>578</x:v>
      </x:c>
    </x:row>
    <x:row r="619" ht="48" customHeight="1">
      <x:c r="A619" s="4" t="n">
        <x:v>46174</x:v>
      </x:c>
      <x:c r="B619" s="32" t="str">
        <x:v>Industria automotriz</x:v>
      </x:c>
      <x:c r="C619" s="10" t="n">
        <x:f>IF(ISNUMBER('Actividades'!F756),'Actividades'!F756,"n.a.")</x:f>
        <x:v>44.93822222222222</x:v>
      </x:c>
      <x:c r="D619" s="10" t="n">
        <x:f>IF(ISNUMBER('Actividades'!G756),'Actividades'!G756,"n.a.")</x:f>
        <x:v>42.16368333333333</x:v>
      </x:c>
      <x:c r="E619" s="10" t="n">
        <x:f>IF(AND(ISNUMBER(C619),ISNUMBER(D619),C619&gt;=0,D619&gt;0),C619-D619,"n.a.")</x:f>
        <x:v>2.774538888888891</x:v>
      </x:c>
      <x:c r="F619" s="12" t="n">
        <x:f>IF(ISNUMBER(E619),E619/D619,"n.a.")</x:f>
        <x:v>0.06580399693627868</x:v>
      </x:c>
      <x:c r="G619" s="2" t="n">
        <x:f>IF(ISNUMBER(F619),IF(AND(ABS(F619)+0.00000000001&gt;=$B$6,ABS(E619)+0.000000001&gt;=$D$6),1,0),"n.a.")</x:f>
        <x:v>0</x:v>
      </x:c>
      <x:c r="H619" s="2" t="n">
        <x:f>IF(ISNUMBER(E619),SIGN(E619),"n.a.")</x:f>
        <x:v>1</x:v>
      </x:c>
      <x:c r="I619" s="2" t="n">
        <x:f>IF(NOT(ISNUMBER(G619)),"n.a.",IF(G619=0,0,IF(AND(B619=B605,A619=EDATE(A605,1),H619=H605,ISNUMBER(I605)),I605+1,1)))</x:f>
        <x:v>0</x:v>
      </x:c>
      <x:c r="J619" s="2" t="n">
        <x:f>IF(ISNUMBER(F619),IF(AND(ABS(F619)+0.00000000001&gt;=$B$7,ABS(E619)+0.000000001&gt;=$D$7),1,0),"n.a.")</x:f>
        <x:v>0</x:v>
      </x:c>
      <x:c r="K619" s="2" t="str">
        <x:f>IF(NOT(ISNUMBER(F619)),"No evaluable",IF(OR(J619=1,I619&gt;=$B$8),"Prioridad",IF(G619=1,"Observar","Sin umbral")))</x:f>
        <x:v>Sin umbral</x:v>
      </x:c>
      <x:c r="L619" s="2" t="str">
        <x:f>IF(K619="No evaluable","Faltan datos",IF(J619=1,"Magnitud",IF(I619&gt;=$B$8,"Persistencia",IF(G619=1,"Cambio del mes","Sin umbral"))))</x:f>
        <x:v>Sin umbral</x:v>
      </x:c>
      <x:c r="M619" s="2" t="n">
        <x:f>ROW()-40</x:f>
        <x:v>579</x:v>
      </x:c>
    </x:row>
    <x:row r="620" ht="48" customHeight="1">
      <x:c r="A620" s="4" t="n">
        <x:v>46174</x:v>
      </x:c>
      <x:c r="B620" s="32" t="str">
        <x:v>Derivados de petróleo</x:v>
      </x:c>
      <x:c r="C620" s="10" t="n">
        <x:f>IF(ISNUMBER('Actividades'!F757),'Actividades'!F757,"n.a.")</x:f>
        <x:v>154.25398611111112</x:v>
      </x:c>
      <x:c r="D620" s="10" t="n">
        <x:f>IF(ISNUMBER('Actividades'!G757),'Actividades'!G757,"n.a.")</x:f>
        <x:v>151.43318055555557</x:v>
      </x:c>
      <x:c r="E620" s="10" t="n">
        <x:f>IF(AND(ISNUMBER(C620),ISNUMBER(D620),C620&gt;=0,D620&gt;0),C620-D620,"n.a.")</x:f>
        <x:v>2.820805555555552</x:v>
      </x:c>
      <x:c r="F620" s="12" t="n">
        <x:f>IF(ISNUMBER(E620),E620/D620,"n.a.")</x:f>
        <x:v>0.018627394242179945</x:v>
      </x:c>
      <x:c r="G620" s="2" t="n">
        <x:f>IF(ISNUMBER(F620),IF(AND(ABS(F620)+0.00000000001&gt;=$B$6,ABS(E620)+0.000000001&gt;=$D$6),1,0),"n.a.")</x:f>
        <x:v>0</x:v>
      </x:c>
      <x:c r="H620" s="2" t="n">
        <x:f>IF(ISNUMBER(E620),SIGN(E620),"n.a.")</x:f>
        <x:v>1</x:v>
      </x:c>
      <x:c r="I620" s="2" t="n">
        <x:f>IF(NOT(ISNUMBER(G620)),"n.a.",IF(G620=0,0,IF(AND(B620=B606,A620=EDATE(A606,1),H620=H606,ISNUMBER(I606)),I606+1,1)))</x:f>
        <x:v>0</x:v>
      </x:c>
      <x:c r="J620" s="2" t="n">
        <x:f>IF(ISNUMBER(F620),IF(AND(ABS(F620)+0.00000000001&gt;=$B$7,ABS(E620)+0.000000001&gt;=$D$7),1,0),"n.a.")</x:f>
        <x:v>0</x:v>
      </x:c>
      <x:c r="K620" s="2" t="str">
        <x:f>IF(NOT(ISNUMBER(F620)),"No evaluable",IF(OR(J620=1,I620&gt;=$B$8),"Prioridad",IF(G620=1,"Observar","Sin umbral")))</x:f>
        <x:v>Sin umbral</x:v>
      </x:c>
      <x:c r="L620" s="2" t="str">
        <x:f>IF(K620="No evaluable","Faltan datos",IF(J620=1,"Magnitud",IF(I620&gt;=$B$8,"Persistencia",IF(G620=1,"Cambio del mes","Sin umbral"))))</x:f>
        <x:v>Sin umbral</x:v>
      </x:c>
      <x:c r="M620" s="2" t="n">
        <x:f>ROW()-40</x:f>
        <x:v>580</x:v>
      </x:c>
    </x:row>
    <x:row r="621" ht="48" customHeight="1">
      <x:c r="A621" s="4" t="n">
        <x:v>46174</x:v>
      </x:c>
      <x:c r="B621" s="32" t="str">
        <x:v>Construcción: elaboración de cemento y canteras</x:v>
      </x:c>
      <x:c r="C621" s="10" t="n">
        <x:f>IF(ISNUMBER('Actividades'!F758),'Actividades'!F758,"n.a.")</x:f>
        <x:v>101.10380416666666</x:v>
      </x:c>
      <x:c r="D621" s="10" t="n">
        <x:f>IF(ISNUMBER('Actividades'!G758),'Actividades'!G758,"n.a.")</x:f>
        <x:v>111.61258055555555</x:v>
      </x:c>
      <x:c r="E621" s="10" t="n">
        <x:f>IF(AND(ISNUMBER(C621),ISNUMBER(D621),C621&gt;=0,D621&gt;0),C621-D621,"n.a.")</x:f>
        <x:v>-10.50877638888889</x:v>
      </x:c>
      <x:c r="F621" s="12" t="n">
        <x:f>IF(ISNUMBER(E621),E621/D621,"n.a.")</x:f>
        <x:v>-0.09415404909178773</x:v>
      </x:c>
      <x:c r="G621" s="2" t="n">
        <x:f>IF(ISNUMBER(F621),IF(AND(ABS(F621)+0.00000000001&gt;=$B$6,ABS(E621)+0.000000001&gt;=$D$6),1,0),"n.a.")</x:f>
        <x:v>0</x:v>
      </x:c>
      <x:c r="H621" s="2" t="n">
        <x:f>IF(ISNUMBER(E621),SIGN(E621),"n.a.")</x:f>
        <x:v>-1</x:v>
      </x:c>
      <x:c r="I621" s="2" t="n">
        <x:f>IF(NOT(ISNUMBER(G621)),"n.a.",IF(G621=0,0,IF(AND(B621=B607,A621=EDATE(A607,1),H621=H607,ISNUMBER(I607)),I607+1,1)))</x:f>
        <x:v>0</x:v>
      </x:c>
      <x:c r="J621" s="2" t="n">
        <x:f>IF(ISNUMBER(F621),IF(AND(ABS(F621)+0.00000000001&gt;=$B$7,ABS(E621)+0.000000001&gt;=$D$7),1,0),"n.a.")</x:f>
        <x:v>0</x:v>
      </x:c>
      <x:c r="K621" s="2" t="str">
        <x:f>IF(NOT(ISNUMBER(F621)),"No evaluable",IF(OR(J621=1,I621&gt;=$B$8),"Prioridad",IF(G621=1,"Observar","Sin umbral")))</x:f>
        <x:v>Sin umbral</x:v>
      </x:c>
      <x:c r="L621" s="2" t="str">
        <x:f>IF(K621="No evaluable","Faltan datos",IF(J621=1,"Magnitud",IF(I621&gt;=$B$8,"Persistencia",IF(G621=1,"Cambio del mes","Sin umbral"))))</x:f>
        <x:v>Sin umbral</x:v>
      </x:c>
      <x:c r="M621" s="2" t="n">
        <x:f>ROW()-40</x:f>
        <x:v>581</x:v>
      </x:c>
    </x:row>
    <x:row r="622" ht="48" customHeight="1">
      <x:c r="A622" s="4" t="n">
        <x:v>46174</x:v>
      </x:c>
      <x:c r="B622" s="32" t="str">
        <x:v>Madera y papel</x:v>
      </x:c>
      <x:c r="C622" s="10" t="n">
        <x:f>IF(ISNUMBER('Actividades'!F759),'Actividades'!F759,"n.a.")</x:f>
        <x:v>107.18345416666668</x:v>
      </x:c>
      <x:c r="D622" s="10" t="n">
        <x:f>IF(ISNUMBER('Actividades'!G759),'Actividades'!G759,"n.a.")</x:f>
        <x:v>100.88241666666666</x:v>
      </x:c>
      <x:c r="E622" s="10" t="n">
        <x:f>IF(AND(ISNUMBER(C622),ISNUMBER(D622),C622&gt;=0,D622&gt;0),C622-D622,"n.a.")</x:f>
        <x:v>6.301037500000021</x:v>
      </x:c>
      <x:c r="F622" s="12" t="n">
        <x:f>IF(ISNUMBER(E622),E622/D622,"n.a.")</x:f>
        <x:v>0.062459224394076154</x:v>
      </x:c>
      <x:c r="G622" s="2" t="n">
        <x:f>IF(ISNUMBER(F622),IF(AND(ABS(F622)+0.00000000001&gt;=$B$6,ABS(E622)+0.000000001&gt;=$D$6),1,0),"n.a.")</x:f>
        <x:v>0</x:v>
      </x:c>
      <x:c r="H622" s="2" t="n">
        <x:f>IF(ISNUMBER(E622),SIGN(E622),"n.a.")</x:f>
        <x:v>1</x:v>
      </x:c>
      <x:c r="I622" s="2" t="n">
        <x:f>IF(NOT(ISNUMBER(G622)),"n.a.",IF(G622=0,0,IF(AND(B622=B608,A622=EDATE(A608,1),H622=H608,ISNUMBER(I608)),I608+1,1)))</x:f>
        <x:v>0</x:v>
      </x:c>
      <x:c r="J622" s="2" t="n">
        <x:f>IF(ISNUMBER(F622),IF(AND(ABS(F622)+0.00000000001&gt;=$B$7,ABS(E622)+0.000000001&gt;=$D$7),1,0),"n.a.")</x:f>
        <x:v>0</x:v>
      </x:c>
      <x:c r="K622" s="2" t="str">
        <x:f>IF(NOT(ISNUMBER(F622)),"No evaluable",IF(OR(J622=1,I622&gt;=$B$8),"Prioridad",IF(G622=1,"Observar","Sin umbral")))</x:f>
        <x:v>Sin umbral</x:v>
      </x:c>
      <x:c r="L622" s="2" t="str">
        <x:f>IF(K622="No evaluable","Faltan datos",IF(J622=1,"Magnitud",IF(I622&gt;=$B$8,"Persistencia",IF(G622=1,"Cambio del mes","Sin umbral"))))</x:f>
        <x:v>Sin umbral</x:v>
      </x:c>
      <x:c r="M622" s="2" t="n">
        <x:f>ROW()-40</x:f>
        <x:v>582</x:v>
      </x:c>
    </x:row>
    <x:row r="623" ht="48" customHeight="1">
      <x:c r="A623" s="4" t="n">
        <x:v>46174</x:v>
      </x:c>
      <x:c r="B623" s="32" t="str">
        <x:v>Productos metálicos no automotores</x:v>
      </x:c>
      <x:c r="C623" s="10" t="n">
        <x:f>IF(ISNUMBER('Actividades'!F760),'Actividades'!F760,"n.a.")</x:f>
        <x:v>40.7641</x:v>
      </x:c>
      <x:c r="D623" s="10" t="n">
        <x:f>IF(ISNUMBER('Actividades'!G760),'Actividades'!G760,"n.a.")</x:f>
        <x:v>38.19257777777777</x:v>
      </x:c>
      <x:c r="E623" s="10" t="n">
        <x:f>IF(AND(ISNUMBER(C623),ISNUMBER(D623),C623&gt;=0,D623&gt;0),C623-D623,"n.a.")</x:f>
        <x:v>2.571522222222228</x:v>
      </x:c>
      <x:c r="F623" s="12" t="n">
        <x:f>IF(ISNUMBER(E623),E623/D623,"n.a.")</x:f>
        <x:v>0.06733041789387832</x:v>
      </x:c>
      <x:c r="G623" s="2" t="n">
        <x:f>IF(ISNUMBER(F623),IF(AND(ABS(F623)+0.00000000001&gt;=$B$6,ABS(E623)+0.000000001&gt;=$D$6),1,0),"n.a.")</x:f>
        <x:v>0</x:v>
      </x:c>
      <x:c r="H623" s="2" t="n">
        <x:f>IF(ISNUMBER(E623),SIGN(E623),"n.a.")</x:f>
        <x:v>1</x:v>
      </x:c>
      <x:c r="I623" s="2" t="n">
        <x:f>IF(NOT(ISNUMBER(G623)),"n.a.",IF(G623=0,0,IF(AND(B623=B609,A623=EDATE(A609,1),H623=H609,ISNUMBER(I609)),I609+1,1)))</x:f>
        <x:v>0</x:v>
      </x:c>
      <x:c r="J623" s="2" t="n">
        <x:f>IF(ISNUMBER(F623),IF(AND(ABS(F623)+0.00000000001&gt;=$B$7,ABS(E623)+0.000000001&gt;=$D$7),1,0),"n.a.")</x:f>
        <x:v>0</x:v>
      </x:c>
      <x:c r="K623" s="2" t="str">
        <x:f>IF(NOT(ISNUMBER(F623)),"No evaluable",IF(OR(J623=1,I623&gt;=$B$8),"Prioridad",IF(G623=1,"Observar","Sin umbral")))</x:f>
        <x:v>Sin umbral</x:v>
      </x:c>
      <x:c r="L623" s="2" t="str">
        <x:f>IF(K623="No evaluable","Faltan datos",IF(J623=1,"Magnitud",IF(I623&gt;=$B$8,"Persistencia",IF(G623=1,"Cambio del mes","Sin umbral"))))</x:f>
        <x:v>Sin umbral</x:v>
      </x:c>
      <x:c r="M623" s="2" t="n">
        <x:f>ROW()-40</x:f>
        <x:v>583</x:v>
      </x:c>
    </x:row>
    <x:row r="624" ht="48" customHeight="1">
      <x:c r="A624" s="4" t="n">
        <x:v>46174</x:v>
      </x:c>
      <x:c r="B624" s="32" t="str">
        <x:v>Gran siderurgia</x:v>
      </x:c>
      <x:c r="C624" s="10" t="n">
        <x:f>IF(ISNUMBER('Actividades'!F761),'Actividades'!F761,"n.a.")</x:f>
        <x:v>293.9984777777778</x:v>
      </x:c>
      <x:c r="D624" s="10" t="n">
        <x:f>IF(ISNUMBER('Actividades'!G761),'Actividades'!G761,"n.a.")</x:f>
        <x:v>266.9037902777778</x:v>
      </x:c>
      <x:c r="E624" s="10" t="n">
        <x:f>IF(AND(ISNUMBER(C624),ISNUMBER(D624),C624&gt;=0,D624&gt;0),C624-D624,"n.a.")</x:f>
        <x:v>27.09468750000002</x:v>
      </x:c>
      <x:c r="F624" s="12" t="n">
        <x:f>IF(ISNUMBER(E624),E624/D624,"n.a.")</x:f>
        <x:v>0.10151480978146268</x:v>
      </x:c>
      <x:c r="G624" s="2" t="n">
        <x:f>IF(ISNUMBER(F624),IF(AND(ABS(F624)+0.00000000001&gt;=$B$6,ABS(E624)+0.000000001&gt;=$D$6),1,0),"n.a.")</x:f>
        <x:v>1</x:v>
      </x:c>
      <x:c r="H624" s="2" t="n">
        <x:f>IF(ISNUMBER(E624),SIGN(E624),"n.a.")</x:f>
        <x:v>1</x:v>
      </x:c>
      <x:c r="I624" s="2" t="n">
        <x:f>IF(NOT(ISNUMBER(G624)),"n.a.",IF(G624=0,0,IF(AND(B624=B610,A624=EDATE(A610,1),H624=H610,ISNUMBER(I610)),I610+1,1)))</x:f>
        <x:v>4</x:v>
      </x:c>
      <x:c r="J624" s="2" t="n">
        <x:f>IF(ISNUMBER(F624),IF(AND(ABS(F624)+0.00000000001&gt;=$B$7,ABS(E624)+0.000000001&gt;=$D$7),1,0),"n.a.")</x:f>
        <x:v>0</x:v>
      </x:c>
      <x:c r="K624" s="2" t="str">
        <x:f>IF(NOT(ISNUMBER(F624)),"No evaluable",IF(OR(J624=1,I624&gt;=$B$8),"Prioridad",IF(G624=1,"Observar","Sin umbral")))</x:f>
        <x:v>Prioridad</x:v>
      </x:c>
      <x:c r="L624" s="2" t="str">
        <x:f>IF(K624="No evaluable","Faltan datos",IF(J624=1,"Magnitud",IF(I624&gt;=$B$8,"Persistencia",IF(G624=1,"Cambio del mes","Sin umbral"))))</x:f>
        <x:v>Persistencia</x:v>
      </x:c>
      <x:c r="M624" s="2" t="n">
        <x:f>ROW()-40</x:f>
        <x:v>584</x:v>
      </x:c>
    </x:row>
    <x:row r="625" ht="48" customHeight="1">
      <x:c r="A625" s="4" t="n">
        <x:v>46174</x:v>
      </x:c>
      <x:c r="B625" s="32" t="str">
        <x:v>Industria textil</x:v>
      </x:c>
      <x:c r="C625" s="10" t="n">
        <x:f>IF(ISNUMBER('Actividades'!F762),'Actividades'!F762,"n.a.")</x:f>
        <x:v>40.55865138888889</x:v>
      </x:c>
      <x:c r="D625" s="10" t="n">
        <x:f>IF(ISNUMBER('Actividades'!G762),'Actividades'!G762,"n.a.")</x:f>
        <x:v>53.01022777777778</x:v>
      </x:c>
      <x:c r="E625" s="10" t="n">
        <x:f>IF(AND(ISNUMBER(C625),ISNUMBER(D625),C625&gt;=0,D625&gt;0),C625-D625,"n.a.")</x:f>
        <x:v>-12.451576388888888</x:v>
      </x:c>
      <x:c r="F625" s="12" t="n">
        <x:f>IF(ISNUMBER(E625),E625/D625,"n.a.")</x:f>
        <x:v>-0.2348900751961807</x:v>
      </x:c>
      <x:c r="G625" s="2" t="n">
        <x:f>IF(ISNUMBER(F625),IF(AND(ABS(F625)+0.00000000001&gt;=$B$6,ABS(E625)+0.000000001&gt;=$D$6),1,0),"n.a.")</x:f>
        <x:v>1</x:v>
      </x:c>
      <x:c r="H625" s="2" t="n">
        <x:f>IF(ISNUMBER(E625),SIGN(E625),"n.a.")</x:f>
        <x:v>-1</x:v>
      </x:c>
      <x:c r="I625" s="2" t="n">
        <x:f>IF(NOT(ISNUMBER(G625)),"n.a.",IF(G625=0,0,IF(AND(B625=B611,A625=EDATE(A611,1),H625=H611,ISNUMBER(I611)),I611+1,1)))</x:f>
        <x:v>10</x:v>
      </x:c>
      <x:c r="J625" s="2" t="n">
        <x:f>IF(ISNUMBER(F625),IF(AND(ABS(F625)+0.00000000001&gt;=$B$7,ABS(E625)+0.000000001&gt;=$D$7),1,0),"n.a.")</x:f>
        <x:v>1</x:v>
      </x:c>
      <x:c r="K625" s="2" t="str">
        <x:f>IF(NOT(ISNUMBER(F625)),"No evaluable",IF(OR(J625=1,I625&gt;=$B$8),"Prioridad",IF(G625=1,"Observar","Sin umbral")))</x:f>
        <x:v>Prioridad</x:v>
      </x:c>
      <x:c r="L625" s="2" t="str">
        <x:f>IF(K625="No evaluable","Faltan datos",IF(J625=1,"Magnitud",IF(I625&gt;=$B$8,"Persistencia",IF(G625=1,"Cambio del mes","Sin umbral"))))</x:f>
        <x:v>Magnitud</x:v>
      </x:c>
      <x:c r="M625" s="2" t="n">
        <x:f>ROW()-40</x:f>
        <x:v>585</x:v>
      </x:c>
    </x:row>
    <x:row r="626" ht="48" customHeight="1">
      <x:c r="A626" s="4" t="n">
        <x:v>46174</x:v>
      </x:c>
      <x:c r="B626" s="32" t="str">
        <x:v>Químicas, caucho, plástico y otros minerales no metálicos</x:v>
      </x:c>
      <x:c r="C626" s="10" t="n">
        <x:f>IF(ISNUMBER('Actividades'!F763),'Actividades'!F763,"n.a.")</x:f>
        <x:v>354.5497138888889</x:v>
      </x:c>
      <x:c r="D626" s="10" t="n">
        <x:f>IF(ISNUMBER('Actividades'!G763),'Actividades'!G763,"n.a.")</x:f>
        <x:v>317.5846305555555</x:v>
      </x:c>
      <x:c r="E626" s="10" t="n">
        <x:f>IF(AND(ISNUMBER(C626),ISNUMBER(D626),C626&gt;=0,D626&gt;0),C626-D626,"n.a.")</x:f>
        <x:v>36.96508333333338</x:v>
      </x:c>
      <x:c r="F626" s="12" t="n">
        <x:f>IF(ISNUMBER(E626),E626/D626,"n.a.")</x:f>
        <x:v>0.11639443404005355</x:v>
      </x:c>
      <x:c r="G626" s="2" t="n">
        <x:f>IF(ISNUMBER(F626),IF(AND(ABS(F626)+0.00000000001&gt;=$B$6,ABS(E626)+0.000000001&gt;=$D$6),1,0),"n.a.")</x:f>
        <x:v>1</x:v>
      </x:c>
      <x:c r="H626" s="2" t="n">
        <x:f>IF(ISNUMBER(E626),SIGN(E626),"n.a.")</x:f>
        <x:v>1</x:v>
      </x:c>
      <x:c r="I626" s="2" t="n">
        <x:f>IF(NOT(ISNUMBER(G626)),"n.a.",IF(G626=0,0,IF(AND(B626=B612,A626=EDATE(A612,1),H626=H612,ISNUMBER(I612)),I612+1,1)))</x:f>
        <x:v>1</x:v>
      </x:c>
      <x:c r="J626" s="2" t="n">
        <x:f>IF(ISNUMBER(F626),IF(AND(ABS(F626)+0.00000000001&gt;=$B$7,ABS(E626)+0.000000001&gt;=$D$7),1,0),"n.a.")</x:f>
        <x:v>0</x:v>
      </x:c>
      <x:c r="K626" s="2" t="str">
        <x:f>IF(NOT(ISNUMBER(F626)),"No evaluable",IF(OR(J626=1,I626&gt;=$B$8),"Prioridad",IF(G626=1,"Observar","Sin umbral")))</x:f>
        <x:v>Observar</x:v>
      </x:c>
      <x:c r="L626" s="2" t="str">
        <x:f>IF(K626="No evaluable","Faltan datos",IF(J626=1,"Magnitud",IF(I626&gt;=$B$8,"Persistencia",IF(G626=1,"Cambio del mes","Sin umbral"))))</x:f>
        <x:v>Cambio del mes</x:v>
      </x:c>
      <x:c r="M626" s="2" t="n">
        <x:f>ROW()-40</x:f>
        <x:v>586</x:v>
      </x:c>
    </x:row>
    <x:row r="627" ht="48" customHeight="1">
      <x:c r="A627" s="4" t="n">
        <x:v>46174</x:v>
      </x:c>
      <x:c r="B627" s="32" t="str">
        <x:v>Extracción de minerales</x:v>
      </x:c>
      <x:c r="C627" s="10" t="n">
        <x:f>IF(ISNUMBER('Actividades'!F764),'Actividades'!F764,"n.a.")</x:f>
        <x:v>35.924308333333336</x:v>
      </x:c>
      <x:c r="D627" s="10" t="n">
        <x:f>IF(ISNUMBER('Actividades'!G764),'Actividades'!G764,"n.a.")</x:f>
        <x:v>25.42856388888889</x:v>
      </x:c>
      <x:c r="E627" s="10" t="n">
        <x:f>IF(AND(ISNUMBER(C627),ISNUMBER(D627),C627&gt;=0,D627&gt;0),C627-D627,"n.a.")</x:f>
        <x:v>10.495744444444448</x:v>
      </x:c>
      <x:c r="F627" s="12" t="n">
        <x:f>IF(ISNUMBER(E627),E627/D627,"n.a.")</x:f>
        <x:v>0.4127541173896417</x:v>
      </x:c>
      <x:c r="G627" s="2" t="n">
        <x:f>IF(ISNUMBER(F627),IF(AND(ABS(F627)+0.00000000001&gt;=$B$6,ABS(E627)+0.000000001&gt;=$D$6),1,0),"n.a.")</x:f>
        <x:v>1</x:v>
      </x:c>
      <x:c r="H627" s="2" t="n">
        <x:f>IF(ISNUMBER(E627),SIGN(E627),"n.a.")</x:f>
        <x:v>1</x:v>
      </x:c>
      <x:c r="I627" s="2" t="n">
        <x:f>IF(NOT(ISNUMBER(G627)),"n.a.",IF(G627=0,0,IF(AND(B627=B613,A627=EDATE(A613,1),H627=H613,ISNUMBER(I613)),I613+1,1)))</x:f>
        <x:v>2</x:v>
      </x:c>
      <x:c r="J627" s="2" t="n">
        <x:f>IF(ISNUMBER(F627),IF(AND(ABS(F627)+0.00000000001&gt;=$B$7,ABS(E627)+0.000000001&gt;=$D$7),1,0),"n.a.")</x:f>
        <x:v>1</x:v>
      </x:c>
      <x:c r="K627" s="2" t="str">
        <x:f>IF(NOT(ISNUMBER(F627)),"No evaluable",IF(OR(J627=1,I627&gt;=$B$8),"Prioridad",IF(G627=1,"Observar","Sin umbral")))</x:f>
        <x:v>Prioridad</x:v>
      </x:c>
      <x:c r="L627" s="2" t="str">
        <x:f>IF(K627="No evaluable","Faltan datos",IF(J627=1,"Magnitud",IF(I627&gt;=$B$8,"Persistencia",IF(G627=1,"Cambio del mes","Sin umbral"))))</x:f>
        <x:v>Magnitud</x:v>
      </x:c>
      <x:c r="M627" s="2" t="n">
        <x:f>ROW()-40</x:f>
        <x:v>587</x:v>
      </x:c>
    </x:row>
    <x:row r="628" ht="48" customHeight="1">
      <x:c r="A628" s="4" t="n">
        <x:v>46174</x:v>
      </x:c>
      <x:c r="B628" s="32" t="str">
        <x:v>Extracción de petróleo</x:v>
      </x:c>
      <x:c r="C628" s="10" t="n">
        <x:f>IF(ISNUMBER('Actividades'!F765),'Actividades'!F765,"n.a.")</x:f>
        <x:v>157.3925888888889</x:v>
      </x:c>
      <x:c r="D628" s="10" t="n">
        <x:f>IF(ISNUMBER('Actividades'!G765),'Actividades'!G765,"n.a.")</x:f>
        <x:v>151.82418888888887</x:v>
      </x:c>
      <x:c r="E628" s="10" t="n">
        <x:f>IF(AND(ISNUMBER(C628),ISNUMBER(D628),C628&gt;=0,D628&gt;0),C628-D628,"n.a.")</x:f>
        <x:v>5.568400000000025</x:v>
      </x:c>
      <x:c r="F628" s="12" t="n">
        <x:f>IF(ISNUMBER(E628),E628/D628,"n.a.")</x:f>
        <x:v>0.036676632628514866</x:v>
      </x:c>
      <x:c r="G628" s="2" t="n">
        <x:f>IF(ISNUMBER(F628),IF(AND(ABS(F628)+0.00000000001&gt;=$B$6,ABS(E628)+0.000000001&gt;=$D$6),1,0),"n.a.")</x:f>
        <x:v>0</x:v>
      </x:c>
      <x:c r="H628" s="2" t="n">
        <x:f>IF(ISNUMBER(E628),SIGN(E628),"n.a.")</x:f>
        <x:v>1</x:v>
      </x:c>
      <x:c r="I628" s="2" t="n">
        <x:f>IF(NOT(ISNUMBER(G628)),"n.a.",IF(G628=0,0,IF(AND(B628=B614,A628=EDATE(A614,1),H628=H614,ISNUMBER(I614)),I614+1,1)))</x:f>
        <x:v>0</x:v>
      </x:c>
      <x:c r="J628" s="2" t="n">
        <x:f>IF(ISNUMBER(F628),IF(AND(ABS(F628)+0.00000000001&gt;=$B$7,ABS(E628)+0.000000001&gt;=$D$7),1,0),"n.a.")</x:f>
        <x:v>0</x:v>
      </x:c>
      <x:c r="K628" s="2" t="str">
        <x:f>IF(NOT(ISNUMBER(F628)),"No evaluable",IF(OR(J628=1,I628&gt;=$B$8),"Prioridad",IF(G628=1,"Observar","Sin umbral")))</x:f>
        <x:v>Sin umbral</x:v>
      </x:c>
      <x:c r="L628" s="2" t="str">
        <x:f>IF(K628="No evaluable","Faltan datos",IF(J628=1,"Magnitud",IF(I628&gt;=$B$8,"Persistencia",IF(G628=1,"Cambio del mes","Sin umbral"))))</x:f>
        <x:v>Sin umbral</x:v>
      </x:c>
      <x:c r="M628" s="2" t="n">
        <x:f>ROW()-40</x:f>
        <x:v>588</x:v>
      </x:c>
    </x:row>
    <x:row r="629" ht="48" customHeight="1">
      <x:c r="A629" s="4" t="n">
        <x:v>46204</x:v>
      </x:c>
      <x:c r="B629" s="32" t="str">
        <x:v>Cargas y puertos</x:v>
      </x:c>
      <x:c r="C629" s="10" t="n">
        <x:f>IF(ISNUMBER('Actividades'!F766),'Actividades'!F766,"n.a.")</x:f>
        <x:v>9.82797311827957</x:v>
      </x:c>
      <x:c r="D629" s="10" t="n">
        <x:f>IF(ISNUMBER('Actividades'!G766),'Actividades'!G766,"n.a.")</x:f>
        <x:v>9.712587365591398</x:v>
      </x:c>
      <x:c r="E629" s="10" t="n">
        <x:f>IF(AND(ISNUMBER(C629),ISNUMBER(D629),C629&gt;=0,D629&gt;0),C629-D629,"n.a.")</x:f>
        <x:v>0.1153857526881712</x:v>
      </x:c>
      <x:c r="F629" s="12" t="n">
        <x:f>IF(ISNUMBER(E629),E629/D629,"n.a.")</x:f>
        <x:v>0.01188002211408117</x:v>
      </x:c>
      <x:c r="G629" s="2" t="n">
        <x:f>IF(ISNUMBER(F629),IF(AND(ABS(F629)+0.00000000001&gt;=$B$6,ABS(E629)+0.000000001&gt;=$D$6),1,0),"n.a.")</x:f>
        <x:v>0</x:v>
      </x:c>
      <x:c r="H629" s="2" t="n">
        <x:f>IF(ISNUMBER(E629),SIGN(E629),"n.a.")</x:f>
        <x:v>1</x:v>
      </x:c>
      <x:c r="I629" s="2" t="n">
        <x:f>IF(NOT(ISNUMBER(G629)),"n.a.",IF(G629=0,0,IF(AND(B629=B615,A629=EDATE(A615,1),H629=H615,ISNUMBER(I615)),I615+1,1)))</x:f>
        <x:v>0</x:v>
      </x:c>
      <x:c r="J629" s="2" t="n">
        <x:f>IF(ISNUMBER(F629),IF(AND(ABS(F629)+0.00000000001&gt;=$B$7,ABS(E629)+0.000000001&gt;=$D$7),1,0),"n.a.")</x:f>
        <x:v>0</x:v>
      </x:c>
      <x:c r="K629" s="2" t="str">
        <x:f>IF(NOT(ISNUMBER(F629)),"No evaluable",IF(OR(J629=1,I629&gt;=$B$8),"Prioridad",IF(G629=1,"Observar","Sin umbral")))</x:f>
        <x:v>Sin umbral</x:v>
      </x:c>
      <x:c r="L629" s="2" t="str">
        <x:f>IF(K629="No evaluable","Faltan datos",IF(J629=1,"Magnitud",IF(I629&gt;=$B$8,"Persistencia",IF(G629=1,"Cambio del mes","Sin umbral"))))</x:f>
        <x:v>Sin umbral</x:v>
      </x:c>
      <x:c r="M629" s="2" t="n">
        <x:f>ROW()-40</x:f>
        <x:v>589</x:v>
      </x:c>
    </x:row>
    <x:row r="630" ht="48" customHeight="1">
      <x:c r="A630" s="4" t="n">
        <x:v>46204</x:v>
      </x:c>
      <x:c r="B630" s="32" t="str">
        <x:v>Comercio y servicios: principalmente supermercados y centros comerciales</x:v>
      </x:c>
      <x:c r="C630" s="10" t="n">
        <x:f>IF(ISNUMBER('Actividades'!F767),'Actividades'!F767,"n.a.")</x:f>
        <x:v>50.19701344086022</x:v>
      </x:c>
      <x:c r="D630" s="10" t="n">
        <x:f>IF(ISNUMBER('Actividades'!G767),'Actividades'!G767,"n.a.")</x:f>
        <x:v>43.9786935483871</x:v>
      </x:c>
      <x:c r="E630" s="10" t="n">
        <x:f>IF(AND(ISNUMBER(C630),ISNUMBER(D630),C630&gt;=0,D630&gt;0),C630-D630,"n.a.")</x:f>
        <x:v>6.218319892473119</x:v>
      </x:c>
      <x:c r="F630" s="12" t="n">
        <x:f>IF(ISNUMBER(E630),E630/D630,"n.a.")</x:f>
        <x:v>0.14139392034534806</x:v>
      </x:c>
      <x:c r="G630" s="2" t="n">
        <x:f>IF(ISNUMBER(F630),IF(AND(ABS(F630)+0.00000000001&gt;=$B$6,ABS(E630)+0.000000001&gt;=$D$6),1,0),"n.a.")</x:f>
        <x:v>1</x:v>
      </x:c>
      <x:c r="H630" s="2" t="n">
        <x:f>IF(ISNUMBER(E630),SIGN(E630),"n.a.")</x:f>
        <x:v>1</x:v>
      </x:c>
      <x:c r="I630" s="2" t="n">
        <x:f>IF(NOT(ISNUMBER(G630)),"n.a.",IF(G630=0,0,IF(AND(B630=B616,A630=EDATE(A616,1),H630=H616,ISNUMBER(I616)),I616+1,1)))</x:f>
        <x:v>2</x:v>
      </x:c>
      <x:c r="J630" s="2" t="n">
        <x:f>IF(ISNUMBER(F630),IF(AND(ABS(F630)+0.00000000001&gt;=$B$7,ABS(E630)+0.000000001&gt;=$D$7),1,0),"n.a.")</x:f>
        <x:v>0</x:v>
      </x:c>
      <x:c r="K630" s="2" t="str">
        <x:f>IF(NOT(ISNUMBER(F630)),"No evaluable",IF(OR(J630=1,I630&gt;=$B$8),"Prioridad",IF(G630=1,"Observar","Sin umbral")))</x:f>
        <x:v>Observar</x:v>
      </x:c>
      <x:c r="L630" s="2" t="str">
        <x:f>IF(K630="No evaluable","Faltan datos",IF(J630=1,"Magnitud",IF(I630&gt;=$B$8,"Persistencia",IF(G630=1,"Cambio del mes","Sin umbral"))))</x:f>
        <x:v>Cambio del mes</x:v>
      </x:c>
      <x:c r="M630" s="2" t="n">
        <x:f>ROW()-40</x:f>
        <x:v>590</x:v>
      </x:c>
    </x:row>
    <x:row r="631" ht="48" customHeight="1">
      <x:c r="A631" s="4" t="n">
        <x:v>46204</x:v>
      </x:c>
      <x:c r="B631" s="32" t="str">
        <x:v>Alimentación y artículos de consumo masivo</x:v>
      </x:c>
      <x:c r="C631" s="10" t="n">
        <x:f>IF(ISNUMBER('Actividades'!F768),'Actividades'!F768,"n.a.")</x:f>
        <x:v>332.2968857526882</x:v>
      </x:c>
      <x:c r="D631" s="10" t="n">
        <x:f>IF(ISNUMBER('Actividades'!G768),'Actividades'!G768,"n.a.")</x:f>
        <x:v>288.0569758064516</x:v>
      </x:c>
      <x:c r="E631" s="10" t="n">
        <x:f>IF(AND(ISNUMBER(C631),ISNUMBER(D631),C631&gt;=0,D631&gt;0),C631-D631,"n.a.")</x:f>
        <x:v>44.239909946236594</x:v>
      </x:c>
      <x:c r="F631" s="12" t="n">
        <x:f>IF(ISNUMBER(E631),E631/D631,"n.a.")</x:f>
        <x:v>0.1535804152021711</x:v>
      </x:c>
      <x:c r="G631" s="2" t="n">
        <x:f>IF(ISNUMBER(F631),IF(AND(ABS(F631)+0.00000000001&gt;=$B$6,ABS(E631)+0.000000001&gt;=$D$6),1,0),"n.a.")</x:f>
        <x:v>1</x:v>
      </x:c>
      <x:c r="H631" s="2" t="n">
        <x:f>IF(ISNUMBER(E631),SIGN(E631),"n.a.")</x:f>
        <x:v>1</x:v>
      </x:c>
      <x:c r="I631" s="2" t="n">
        <x:f>IF(NOT(ISNUMBER(G631)),"n.a.",IF(G631=0,0,IF(AND(B631=B617,A631=EDATE(A617,1),H631=H617,ISNUMBER(I617)),I617+1,1)))</x:f>
        <x:v>5</x:v>
      </x:c>
      <x:c r="J631" s="2" t="n">
        <x:f>IF(ISNUMBER(F631),IF(AND(ABS(F631)+0.00000000001&gt;=$B$7,ABS(E631)+0.000000001&gt;=$D$7),1,0),"n.a.")</x:f>
        <x:v>0</x:v>
      </x:c>
      <x:c r="K631" s="2" t="str">
        <x:f>IF(NOT(ISNUMBER(F631)),"No evaluable",IF(OR(J631=1,I631&gt;=$B$8),"Prioridad",IF(G631=1,"Observar","Sin umbral")))</x:f>
        <x:v>Prioridad</x:v>
      </x:c>
      <x:c r="L631" s="2" t="str">
        <x:f>IF(K631="No evaluable","Faltan datos",IF(J631=1,"Magnitud",IF(I631&gt;=$B$8,"Persistencia",IF(G631=1,"Cambio del mes","Sin umbral"))))</x:f>
        <x:v>Persistencia</x:v>
      </x:c>
      <x:c r="M631" s="2" t="n">
        <x:f>ROW()-40</x:f>
        <x:v>591</x:v>
      </x:c>
    </x:row>
    <x:row r="632" ht="48" customHeight="1">
      <x:c r="A632" s="4" t="n">
        <x:v>46204</x:v>
      </x:c>
      <x:c r="B632" s="32" t="str">
        <x:v>Servicios públicos y transporte: agua y transporte en GBA</x:v>
      </x:c>
      <x:c r="C632" s="10" t="n">
        <x:f>IF(ISNUMBER('Actividades'!F769),'Actividades'!F769,"n.a.")</x:f>
        <x:v>69.62086021505375</x:v>
      </x:c>
      <x:c r="D632" s="10" t="n">
        <x:f>IF(ISNUMBER('Actividades'!G769),'Actividades'!G769,"n.a.")</x:f>
        <x:v>73.52754032258065</x:v>
      </x:c>
      <x:c r="E632" s="10" t="n">
        <x:f>IF(AND(ISNUMBER(C632),ISNUMBER(D632),C632&gt;=0,D632&gt;0),C632-D632,"n.a.")</x:f>
        <x:v>-3.9066801075268955</x:v>
      </x:c>
      <x:c r="F632" s="12" t="n">
        <x:f>IF(ISNUMBER(E632),E632/D632,"n.a.")</x:f>
        <x:v>-0.05313220176259773</x:v>
      </x:c>
      <x:c r="G632" s="2" t="n">
        <x:f>IF(ISNUMBER(F632),IF(AND(ABS(F632)+0.00000000001&gt;=$B$6,ABS(E632)+0.000000001&gt;=$D$6),1,0),"n.a.")</x:f>
        <x:v>0</x:v>
      </x:c>
      <x:c r="H632" s="2" t="n">
        <x:f>IF(ISNUMBER(E632),SIGN(E632),"n.a.")</x:f>
        <x:v>-1</x:v>
      </x:c>
      <x:c r="I632" s="2" t="n">
        <x:f>IF(NOT(ISNUMBER(G632)),"n.a.",IF(G632=0,0,IF(AND(B632=B618,A632=EDATE(A618,1),H632=H618,ISNUMBER(I618)),I618+1,1)))</x:f>
        <x:v>0</x:v>
      </x:c>
      <x:c r="J632" s="2" t="n">
        <x:f>IF(ISNUMBER(F632),IF(AND(ABS(F632)+0.00000000001&gt;=$B$7,ABS(E632)+0.000000001&gt;=$D$7),1,0),"n.a.")</x:f>
        <x:v>0</x:v>
      </x:c>
      <x:c r="K632" s="2" t="str">
        <x:f>IF(NOT(ISNUMBER(F632)),"No evaluable",IF(OR(J632=1,I632&gt;=$B$8),"Prioridad",IF(G632=1,"Observar","Sin umbral")))</x:f>
        <x:v>Sin umbral</x:v>
      </x:c>
      <x:c r="L632" s="2" t="str">
        <x:f>IF(K632="No evaluable","Faltan datos",IF(J632=1,"Magnitud",IF(I632&gt;=$B$8,"Persistencia",IF(G632=1,"Cambio del mes","Sin umbral"))))</x:f>
        <x:v>Sin umbral</x:v>
      </x:c>
      <x:c r="M632" s="2" t="n">
        <x:f>ROW()-40</x:f>
        <x:v>592</x:v>
      </x:c>
    </x:row>
    <x:row r="633" ht="48" customHeight="1">
      <x:c r="A633" s="4" t="n">
        <x:v>46204</x:v>
      </x:c>
      <x:c r="B633" s="32" t="str">
        <x:v>Industria automotriz</x:v>
      </x:c>
      <x:c r="C633" s="10" t="n">
        <x:f>IF(ISNUMBER('Actividades'!F770),'Actividades'!F770,"n.a.")</x:f>
        <x:v>43.14829301075269</x:v>
      </x:c>
      <x:c r="D633" s="10" t="n">
        <x:f>IF(ISNUMBER('Actividades'!G770),'Actividades'!G770,"n.a.")</x:f>
        <x:v>38.95674059139785</x:v>
      </x:c>
      <x:c r="E633" s="10" t="n">
        <x:f>IF(AND(ISNUMBER(C633),ISNUMBER(D633),C633&gt;=0,D633&gt;0),C633-D633,"n.a.")</x:f>
        <x:v>4.191552419354835</x:v>
      </x:c>
      <x:c r="F633" s="12" t="n">
        <x:f>IF(ISNUMBER(E633),E633/D633,"n.a.")</x:f>
        <x:v>0.10759504916795794</x:v>
      </x:c>
      <x:c r="G633" s="2" t="n">
        <x:f>IF(ISNUMBER(F633),IF(AND(ABS(F633)+0.00000000001&gt;=$B$6,ABS(E633)+0.000000001&gt;=$D$6),1,0),"n.a.")</x:f>
        <x:v>0</x:v>
      </x:c>
      <x:c r="H633" s="2" t="n">
        <x:f>IF(ISNUMBER(E633),SIGN(E633),"n.a.")</x:f>
        <x:v>1</x:v>
      </x:c>
      <x:c r="I633" s="2" t="n">
        <x:f>IF(NOT(ISNUMBER(G633)),"n.a.",IF(G633=0,0,IF(AND(B633=B619,A633=EDATE(A619,1),H633=H619,ISNUMBER(I619)),I619+1,1)))</x:f>
        <x:v>0</x:v>
      </x:c>
      <x:c r="J633" s="2" t="n">
        <x:f>IF(ISNUMBER(F633),IF(AND(ABS(F633)+0.00000000001&gt;=$B$7,ABS(E633)+0.000000001&gt;=$D$7),1,0),"n.a.")</x:f>
        <x:v>0</x:v>
      </x:c>
      <x:c r="K633" s="2" t="str">
        <x:f>IF(NOT(ISNUMBER(F633)),"No evaluable",IF(OR(J633=1,I633&gt;=$B$8),"Prioridad",IF(G633=1,"Observar","Sin umbral")))</x:f>
        <x:v>Sin umbral</x:v>
      </x:c>
      <x:c r="L633" s="2" t="str">
        <x:f>IF(K633="No evaluable","Faltan datos",IF(J633=1,"Magnitud",IF(I633&gt;=$B$8,"Persistencia",IF(G633=1,"Cambio del mes","Sin umbral"))))</x:f>
        <x:v>Sin umbral</x:v>
      </x:c>
      <x:c r="M633" s="2" t="n">
        <x:f>ROW()-40</x:f>
        <x:v>593</x:v>
      </x:c>
    </x:row>
    <x:row r="634" ht="48" customHeight="1">
      <x:c r="A634" s="4" t="n">
        <x:v>46204</x:v>
      </x:c>
      <x:c r="B634" s="32" t="str">
        <x:v>Derivados de petróleo</x:v>
      </x:c>
      <x:c r="C634" s="10" t="n">
        <x:f>IF(ISNUMBER('Actividades'!F771),'Actividades'!F771,"n.a.")</x:f>
        <x:v>157.7597620967742</x:v>
      </x:c>
      <x:c r="D634" s="10" t="n">
        <x:f>IF(ISNUMBER('Actividades'!G771),'Actividades'!G771,"n.a.")</x:f>
        <x:v>173.21219220430106</x:v>
      </x:c>
      <x:c r="E634" s="10" t="n">
        <x:f>IF(AND(ISNUMBER(C634),ISNUMBER(D634),C634&gt;=0,D634&gt;0),C634-D634,"n.a.")</x:f>
        <x:v>-15.452430107526851</x:v>
      </x:c>
      <x:c r="F634" s="12" t="n">
        <x:f>IF(ISNUMBER(E634),E634/D634,"n.a.")</x:f>
        <x:v>-0.08921098400106242</x:v>
      </x:c>
      <x:c r="G634" s="2" t="n">
        <x:f>IF(ISNUMBER(F634),IF(AND(ABS(F634)+0.00000000001&gt;=$B$6,ABS(E634)+0.000000001&gt;=$D$6),1,0),"n.a.")</x:f>
        <x:v>0</x:v>
      </x:c>
      <x:c r="H634" s="2" t="n">
        <x:f>IF(ISNUMBER(E634),SIGN(E634),"n.a.")</x:f>
        <x:v>-1</x:v>
      </x:c>
      <x:c r="I634" s="2" t="n">
        <x:f>IF(NOT(ISNUMBER(G634)),"n.a.",IF(G634=0,0,IF(AND(B634=B620,A634=EDATE(A620,1),H634=H620,ISNUMBER(I620)),I620+1,1)))</x:f>
        <x:v>0</x:v>
      </x:c>
      <x:c r="J634" s="2" t="n">
        <x:f>IF(ISNUMBER(F634),IF(AND(ABS(F634)+0.00000000001&gt;=$B$7,ABS(E634)+0.000000001&gt;=$D$7),1,0),"n.a.")</x:f>
        <x:v>0</x:v>
      </x:c>
      <x:c r="K634" s="2" t="str">
        <x:f>IF(NOT(ISNUMBER(F634)),"No evaluable",IF(OR(J634=1,I634&gt;=$B$8),"Prioridad",IF(G634=1,"Observar","Sin umbral")))</x:f>
        <x:v>Sin umbral</x:v>
      </x:c>
      <x:c r="L634" s="2" t="str">
        <x:f>IF(K634="No evaluable","Faltan datos",IF(J634=1,"Magnitud",IF(I634&gt;=$B$8,"Persistencia",IF(G634=1,"Cambio del mes","Sin umbral"))))</x:f>
        <x:v>Sin umbral</x:v>
      </x:c>
      <x:c r="M634" s="2" t="n">
        <x:f>ROW()-40</x:f>
        <x:v>594</x:v>
      </x:c>
    </x:row>
    <x:row r="635" ht="48" customHeight="1">
      <x:c r="A635" s="4" t="n">
        <x:v>46204</x:v>
      </x:c>
      <x:c r="B635" s="32" t="str">
        <x:v>Construcción: elaboración de cemento y canteras</x:v>
      </x:c>
      <x:c r="C635" s="10" t="n">
        <x:f>IF(ISNUMBER('Actividades'!F772),'Actividades'!F772,"n.a.")</x:f>
        <x:v>102.73809677419355</x:v>
      </x:c>
      <x:c r="D635" s="10" t="n">
        <x:f>IF(ISNUMBER('Actividades'!G772),'Actividades'!G772,"n.a.")</x:f>
        <x:v>122.29569086021505</x:v>
      </x:c>
      <x:c r="E635" s="10" t="n">
        <x:f>IF(AND(ISNUMBER(C635),ISNUMBER(D635),C635&gt;=0,D635&gt;0),C635-D635,"n.a.")</x:f>
        <x:v>-19.557594086021496</x:v>
      </x:c>
      <x:c r="F635" s="12" t="n">
        <x:f>IF(ISNUMBER(E635),E635/D635,"n.a.")</x:f>
        <x:v>-0.15992054951777476</x:v>
      </x:c>
      <x:c r="G635" s="2" t="n">
        <x:f>IF(ISNUMBER(F635),IF(AND(ABS(F635)+0.00000000001&gt;=$B$6,ABS(E635)+0.000000001&gt;=$D$6),1,0),"n.a.")</x:f>
        <x:v>1</x:v>
      </x:c>
      <x:c r="H635" s="2" t="n">
        <x:f>IF(ISNUMBER(E635),SIGN(E635),"n.a.")</x:f>
        <x:v>-1</x:v>
      </x:c>
      <x:c r="I635" s="2" t="n">
        <x:f>IF(NOT(ISNUMBER(G635)),"n.a.",IF(G635=0,0,IF(AND(B635=B621,A635=EDATE(A621,1),H635=H621,ISNUMBER(I621)),I621+1,1)))</x:f>
        <x:v>1</x:v>
      </x:c>
      <x:c r="J635" s="2" t="n">
        <x:f>IF(ISNUMBER(F635),IF(AND(ABS(F635)+0.00000000001&gt;=$B$7,ABS(E635)+0.000000001&gt;=$D$7),1,0),"n.a.")</x:f>
        <x:v>0</x:v>
      </x:c>
      <x:c r="K635" s="2" t="str">
        <x:f>IF(NOT(ISNUMBER(F635)),"No evaluable",IF(OR(J635=1,I635&gt;=$B$8),"Prioridad",IF(G635=1,"Observar","Sin umbral")))</x:f>
        <x:v>Observar</x:v>
      </x:c>
      <x:c r="L635" s="2" t="str">
        <x:f>IF(K635="No evaluable","Faltan datos",IF(J635=1,"Magnitud",IF(I635&gt;=$B$8,"Persistencia",IF(G635=1,"Cambio del mes","Sin umbral"))))</x:f>
        <x:v>Cambio del mes</x:v>
      </x:c>
      <x:c r="M635" s="2" t="n">
        <x:f>ROW()-40</x:f>
        <x:v>595</x:v>
      </x:c>
    </x:row>
    <x:row r="636" ht="48" customHeight="1">
      <x:c r="A636" s="4" t="n">
        <x:v>46204</x:v>
      </x:c>
      <x:c r="B636" s="32" t="str">
        <x:v>Madera y papel</x:v>
      </x:c>
      <x:c r="C636" s="10" t="n">
        <x:f>IF(ISNUMBER('Actividades'!F773),'Actividades'!F773,"n.a.")</x:f>
        <x:v>103.40906989247313</x:v>
      </x:c>
      <x:c r="D636" s="10" t="n">
        <x:f>IF(ISNUMBER('Actividades'!G773),'Actividades'!G773,"n.a.")</x:f>
        <x:v>99.60840456989249</x:v>
      </x:c>
      <x:c r="E636" s="10" t="n">
        <x:f>IF(AND(ISNUMBER(C636),ISNUMBER(D636),C636&gt;=0,D636&gt;0),C636-D636,"n.a.")</x:f>
        <x:v>3.8006653225806417</x:v>
      </x:c>
      <x:c r="F636" s="12" t="n">
        <x:f>IF(ISNUMBER(E636),E636/D636,"n.a.")</x:f>
        <x:v>0.03815607065479921</x:v>
      </x:c>
      <x:c r="G636" s="2" t="n">
        <x:f>IF(ISNUMBER(F636),IF(AND(ABS(F636)+0.00000000001&gt;=$B$6,ABS(E636)+0.000000001&gt;=$D$6),1,0),"n.a.")</x:f>
        <x:v>0</x:v>
      </x:c>
      <x:c r="H636" s="2" t="n">
        <x:f>IF(ISNUMBER(E636),SIGN(E636),"n.a.")</x:f>
        <x:v>1</x:v>
      </x:c>
      <x:c r="I636" s="2" t="n">
        <x:f>IF(NOT(ISNUMBER(G636)),"n.a.",IF(G636=0,0,IF(AND(B636=B622,A636=EDATE(A622,1),H636=H622,ISNUMBER(I622)),I622+1,1)))</x:f>
        <x:v>0</x:v>
      </x:c>
      <x:c r="J636" s="2" t="n">
        <x:f>IF(ISNUMBER(F636),IF(AND(ABS(F636)+0.00000000001&gt;=$B$7,ABS(E636)+0.000000001&gt;=$D$7),1,0),"n.a.")</x:f>
        <x:v>0</x:v>
      </x:c>
      <x:c r="K636" s="2" t="str">
        <x:f>IF(NOT(ISNUMBER(F636)),"No evaluable",IF(OR(J636=1,I636&gt;=$B$8),"Prioridad",IF(G636=1,"Observar","Sin umbral")))</x:f>
        <x:v>Sin umbral</x:v>
      </x:c>
      <x:c r="L636" s="2" t="str">
        <x:f>IF(K636="No evaluable","Faltan datos",IF(J636=1,"Magnitud",IF(I636&gt;=$B$8,"Persistencia",IF(G636=1,"Cambio del mes","Sin umbral"))))</x:f>
        <x:v>Sin umbral</x:v>
      </x:c>
      <x:c r="M636" s="2" t="n">
        <x:f>ROW()-40</x:f>
        <x:v>596</x:v>
      </x:c>
    </x:row>
    <x:row r="637" ht="48" customHeight="1">
      <x:c r="A637" s="4" t="n">
        <x:v>46204</x:v>
      </x:c>
      <x:c r="B637" s="32" t="str">
        <x:v>Productos metálicos no automotores</x:v>
      </x:c>
      <x:c r="C637" s="10" t="n">
        <x:f>IF(ISNUMBER('Actividades'!F774),'Actividades'!F774,"n.a.")</x:f>
        <x:v>24.68722311827957</x:v>
      </x:c>
      <x:c r="D637" s="10" t="n">
        <x:f>IF(ISNUMBER('Actividades'!G774),'Actividades'!G774,"n.a.")</x:f>
        <x:v>43.541455645161285</x:v>
      </x:c>
      <x:c r="E637" s="10" t="n">
        <x:f>IF(AND(ISNUMBER(C637),ISNUMBER(D637),C637&gt;=0,D637&gt;0),C637-D637,"n.a.")</x:f>
        <x:v>-18.854232526881717</x:v>
      </x:c>
      <x:c r="F637" s="12" t="n">
        <x:f>IF(ISNUMBER(E637),E637/D637,"n.a.")</x:f>
        <x:v>-0.4330179652360099</x:v>
      </x:c>
      <x:c r="G637" s="2" t="n">
        <x:f>IF(ISNUMBER(F637),IF(AND(ABS(F637)+0.00000000001&gt;=$B$6,ABS(E637)+0.000000001&gt;=$D$6),1,0),"n.a.")</x:f>
        <x:v>1</x:v>
      </x:c>
      <x:c r="H637" s="2" t="n">
        <x:f>IF(ISNUMBER(E637),SIGN(E637),"n.a.")</x:f>
        <x:v>-1</x:v>
      </x:c>
      <x:c r="I637" s="2" t="n">
        <x:f>IF(NOT(ISNUMBER(G637)),"n.a.",IF(G637=0,0,IF(AND(B637=B623,A637=EDATE(A623,1),H637=H623,ISNUMBER(I623)),I623+1,1)))</x:f>
        <x:v>1</x:v>
      </x:c>
      <x:c r="J637" s="2" t="n">
        <x:f>IF(ISNUMBER(F637),IF(AND(ABS(F637)+0.00000000001&gt;=$B$7,ABS(E637)+0.000000001&gt;=$D$7),1,0),"n.a.")</x:f>
        <x:v>1</x:v>
      </x:c>
      <x:c r="K637" s="2" t="str">
        <x:f>IF(NOT(ISNUMBER(F637)),"No evaluable",IF(OR(J637=1,I637&gt;=$B$8),"Prioridad",IF(G637=1,"Observar","Sin umbral")))</x:f>
        <x:v>Prioridad</x:v>
      </x:c>
      <x:c r="L637" s="2" t="str">
        <x:f>IF(K637="No evaluable","Faltan datos",IF(J637=1,"Magnitud",IF(I637&gt;=$B$8,"Persistencia",IF(G637=1,"Cambio del mes","Sin umbral"))))</x:f>
        <x:v>Magnitud</x:v>
      </x:c>
      <x:c r="M637" s="2" t="n">
        <x:f>ROW()-40</x:f>
        <x:v>597</x:v>
      </x:c>
    </x:row>
    <x:row r="638" ht="48" customHeight="1">
      <x:c r="A638" s="4" t="n">
        <x:v>46204</x:v>
      </x:c>
      <x:c r="B638" s="32" t="str">
        <x:v>Gran siderurgia</x:v>
      </x:c>
      <x:c r="C638" s="10" t="n">
        <x:f>IF(ISNUMBER('Actividades'!F775),'Actividades'!F775,"n.a.")</x:f>
        <x:v>287.02912499999996</x:v>
      </x:c>
      <x:c r="D638" s="10" t="n">
        <x:f>IF(ISNUMBER('Actividades'!G775),'Actividades'!G775,"n.a.")</x:f>
        <x:v>261.25713440860216</x:v>
      </x:c>
      <x:c r="E638" s="10" t="n">
        <x:f>IF(AND(ISNUMBER(C638),ISNUMBER(D638),C638&gt;=0,D638&gt;0),C638-D638,"n.a.")</x:f>
        <x:v>25.77199059139781</x:v>
      </x:c>
      <x:c r="F638" s="12" t="n">
        <x:f>IF(ISNUMBER(E638),E638/D638,"n.a.")</x:f>
        <x:v>0.09864607391387373</x:v>
      </x:c>
      <x:c r="G638" s="2" t="n">
        <x:f>IF(ISNUMBER(F638),IF(AND(ABS(F638)+0.00000000001&gt;=$B$6,ABS(E638)+0.000000001&gt;=$D$6),1,0),"n.a.")</x:f>
        <x:v>0</x:v>
      </x:c>
      <x:c r="H638" s="2" t="n">
        <x:f>IF(ISNUMBER(E638),SIGN(E638),"n.a.")</x:f>
        <x:v>1</x:v>
      </x:c>
      <x:c r="I638" s="2" t="n">
        <x:f>IF(NOT(ISNUMBER(G638)),"n.a.",IF(G638=0,0,IF(AND(B638=B624,A638=EDATE(A624,1),H638=H624,ISNUMBER(I624)),I624+1,1)))</x:f>
        <x:v>0</x:v>
      </x:c>
      <x:c r="J638" s="2" t="n">
        <x:f>IF(ISNUMBER(F638),IF(AND(ABS(F638)+0.00000000001&gt;=$B$7,ABS(E638)+0.000000001&gt;=$D$7),1,0),"n.a.")</x:f>
        <x:v>0</x:v>
      </x:c>
      <x:c r="K638" s="2" t="str">
        <x:f>IF(NOT(ISNUMBER(F638)),"No evaluable",IF(OR(J638=1,I638&gt;=$B$8),"Prioridad",IF(G638=1,"Observar","Sin umbral")))</x:f>
        <x:v>Sin umbral</x:v>
      </x:c>
      <x:c r="L638" s="2" t="str">
        <x:f>IF(K638="No evaluable","Faltan datos",IF(J638=1,"Magnitud",IF(I638&gt;=$B$8,"Persistencia",IF(G638=1,"Cambio del mes","Sin umbral"))))</x:f>
        <x:v>Sin umbral</x:v>
      </x:c>
      <x:c r="M638" s="2" t="n">
        <x:f>ROW()-40</x:f>
        <x:v>598</x:v>
      </x:c>
    </x:row>
    <x:row r="639" ht="48" customHeight="1">
      <x:c r="A639" s="4" t="n">
        <x:v>46204</x:v>
      </x:c>
      <x:c r="B639" s="32" t="str">
        <x:v>Industria textil</x:v>
      </x:c>
      <x:c r="C639" s="10" t="n">
        <x:f>IF(ISNUMBER('Actividades'!F776),'Actividades'!F776,"n.a.")</x:f>
        <x:v>41.2665685483871</x:v>
      </x:c>
      <x:c r="D639" s="10" t="n">
        <x:f>IF(ISNUMBER('Actividades'!G776),'Actividades'!G776,"n.a.")</x:f>
        <x:v>49.99107795698925</x:v>
      </x:c>
      <x:c r="E639" s="10" t="n">
        <x:f>IF(AND(ISNUMBER(C639),ISNUMBER(D639),C639&gt;=0,D639&gt;0),C639-D639,"n.a.")</x:f>
        <x:v>-8.724509408602152</x:v>
      </x:c>
      <x:c r="F639" s="12" t="n">
        <x:f>IF(ISNUMBER(E639),E639/D639,"n.a.")</x:f>
        <x:v>-0.17452132990827773</x:v>
      </x:c>
      <x:c r="G639" s="2" t="n">
        <x:f>IF(ISNUMBER(F639),IF(AND(ABS(F639)+0.00000000001&gt;=$B$6,ABS(E639)+0.000000001&gt;=$D$6),1,0),"n.a.")</x:f>
        <x:v>1</x:v>
      </x:c>
      <x:c r="H639" s="2" t="n">
        <x:f>IF(ISNUMBER(E639),SIGN(E639),"n.a.")</x:f>
        <x:v>-1</x:v>
      </x:c>
      <x:c r="I639" s="2" t="n">
        <x:f>IF(NOT(ISNUMBER(G639)),"n.a.",IF(G639=0,0,IF(AND(B639=B625,A639=EDATE(A625,1),H639=H625,ISNUMBER(I625)),I625+1,1)))</x:f>
        <x:v>11</x:v>
      </x:c>
      <x:c r="J639" s="2" t="n">
        <x:f>IF(ISNUMBER(F639),IF(AND(ABS(F639)+0.00000000001&gt;=$B$7,ABS(E639)+0.000000001&gt;=$D$7),1,0),"n.a.")</x:f>
        <x:v>0</x:v>
      </x:c>
      <x:c r="K639" s="2" t="str">
        <x:f>IF(NOT(ISNUMBER(F639)),"No evaluable",IF(OR(J639=1,I639&gt;=$B$8),"Prioridad",IF(G639=1,"Observar","Sin umbral")))</x:f>
        <x:v>Prioridad</x:v>
      </x:c>
      <x:c r="L639" s="2" t="str">
        <x:f>IF(K639="No evaluable","Faltan datos",IF(J639=1,"Magnitud",IF(I639&gt;=$B$8,"Persistencia",IF(G639=1,"Cambio del mes","Sin umbral"))))</x:f>
        <x:v>Persistencia</x:v>
      </x:c>
      <x:c r="M639" s="2" t="n">
        <x:f>ROW()-40</x:f>
        <x:v>599</x:v>
      </x:c>
    </x:row>
    <x:row r="640" ht="48" customHeight="1">
      <x:c r="A640" s="4" t="n">
        <x:v>46204</x:v>
      </x:c>
      <x:c r="B640" s="32" t="str">
        <x:v>Químicas, caucho, plástico y otros minerales no metálicos</x:v>
      </x:c>
      <x:c r="C640" s="10" t="n">
        <x:f>IF(ISNUMBER('Actividades'!F777),'Actividades'!F777,"n.a.")</x:f>
        <x:v>335.4748306451613</x:v>
      </x:c>
      <x:c r="D640" s="10" t="n">
        <x:f>IF(ISNUMBER('Actividades'!G777),'Actividades'!G777,"n.a.")</x:f>
        <x:v>316.4524690860215</x:v>
      </x:c>
      <x:c r="E640" s="10" t="n">
        <x:f>IF(AND(ISNUMBER(C640),ISNUMBER(D640),C640&gt;=0,D640&gt;0),C640-D640,"n.a.")</x:f>
        <x:v>19.022361559139824</x:v>
      </x:c>
      <x:c r="F640" s="12" t="n">
        <x:f>IF(ISNUMBER(E640),E640/D640,"n.a.")</x:f>
        <x:v>0.06011127552292525</x:v>
      </x:c>
      <x:c r="G640" s="2" t="n">
        <x:f>IF(ISNUMBER(F640),IF(AND(ABS(F640)+0.00000000001&gt;=$B$6,ABS(E640)+0.000000001&gt;=$D$6),1,0),"n.a.")</x:f>
        <x:v>0</x:v>
      </x:c>
      <x:c r="H640" s="2" t="n">
        <x:f>IF(ISNUMBER(E640),SIGN(E640),"n.a.")</x:f>
        <x:v>1</x:v>
      </x:c>
      <x:c r="I640" s="2" t="n">
        <x:f>IF(NOT(ISNUMBER(G640)),"n.a.",IF(G640=0,0,IF(AND(B640=B626,A640=EDATE(A626,1),H640=H626,ISNUMBER(I626)),I626+1,1)))</x:f>
        <x:v>0</x:v>
      </x:c>
      <x:c r="J640" s="2" t="n">
        <x:f>IF(ISNUMBER(F640),IF(AND(ABS(F640)+0.00000000001&gt;=$B$7,ABS(E640)+0.000000001&gt;=$D$7),1,0),"n.a.")</x:f>
        <x:v>0</x:v>
      </x:c>
      <x:c r="K640" s="2" t="str">
        <x:f>IF(NOT(ISNUMBER(F640)),"No evaluable",IF(OR(J640=1,I640&gt;=$B$8),"Prioridad",IF(G640=1,"Observar","Sin umbral")))</x:f>
        <x:v>Sin umbral</x:v>
      </x:c>
      <x:c r="L640" s="2" t="str">
        <x:f>IF(K640="No evaluable","Faltan datos",IF(J640=1,"Magnitud",IF(I640&gt;=$B$8,"Persistencia",IF(G640=1,"Cambio del mes","Sin umbral"))))</x:f>
        <x:v>Sin umbral</x:v>
      </x:c>
      <x:c r="M640" s="2" t="n">
        <x:f>ROW()-40</x:f>
        <x:v>600</x:v>
      </x:c>
    </x:row>
    <x:row r="641" ht="48" customHeight="1">
      <x:c r="A641" s="4" t="n">
        <x:v>46204</x:v>
      </x:c>
      <x:c r="B641" s="32" t="str">
        <x:v>Extracción de minerales</x:v>
      </x:c>
      <x:c r="C641" s="10" t="n">
        <x:f>IF(ISNUMBER('Actividades'!F778),'Actividades'!F778,"n.a.")</x:f>
        <x:v>31.457631720430108</x:v>
      </x:c>
      <x:c r="D641" s="10" t="n">
        <x:f>IF(ISNUMBER('Actividades'!G778),'Actividades'!G778,"n.a.")</x:f>
        <x:v>25.554833333333335</x:v>
      </x:c>
      <x:c r="E641" s="10" t="n">
        <x:f>IF(AND(ISNUMBER(C641),ISNUMBER(D641),C641&gt;=0,D641&gt;0),C641-D641,"n.a.")</x:f>
        <x:v>5.902798387096773</x:v>
      </x:c>
      <x:c r="F641" s="12" t="n">
        <x:f>IF(ISNUMBER(E641),E641/D641,"n.a.")</x:f>
        <x:v>0.23098559517495476</x:v>
      </x:c>
      <x:c r="G641" s="2" t="n">
        <x:f>IF(ISNUMBER(F641),IF(AND(ABS(F641)+0.00000000001&gt;=$B$6,ABS(E641)+0.000000001&gt;=$D$6),1,0),"n.a.")</x:f>
        <x:v>1</x:v>
      </x:c>
      <x:c r="H641" s="2" t="n">
        <x:f>IF(ISNUMBER(E641),SIGN(E641),"n.a.")</x:f>
        <x:v>1</x:v>
      </x:c>
      <x:c r="I641" s="2" t="n">
        <x:f>IF(NOT(ISNUMBER(G641)),"n.a.",IF(G641=0,0,IF(AND(B641=B627,A641=EDATE(A627,1),H641=H627,ISNUMBER(I627)),I627+1,1)))</x:f>
        <x:v>3</x:v>
      </x:c>
      <x:c r="J641" s="2" t="n">
        <x:f>IF(ISNUMBER(F641),IF(AND(ABS(F641)+0.00000000001&gt;=$B$7,ABS(E641)+0.000000001&gt;=$D$7),1,0),"n.a.")</x:f>
        <x:v>0</x:v>
      </x:c>
      <x:c r="K641" s="2" t="str">
        <x:f>IF(NOT(ISNUMBER(F641)),"No evaluable",IF(OR(J641=1,I641&gt;=$B$8),"Prioridad",IF(G641=1,"Observar","Sin umbral")))</x:f>
        <x:v>Prioridad</x:v>
      </x:c>
      <x:c r="L641" s="2" t="str">
        <x:f>IF(K641="No evaluable","Faltan datos",IF(J641=1,"Magnitud",IF(I641&gt;=$B$8,"Persistencia",IF(G641=1,"Cambio del mes","Sin umbral"))))</x:f>
        <x:v>Persistencia</x:v>
      </x:c>
      <x:c r="M641" s="2" t="n">
        <x:f>ROW()-40</x:f>
        <x:v>601</x:v>
      </x:c>
    </x:row>
    <x:row r="642" ht="48" customHeight="1">
      <x:c r="A642" s="4" t="n">
        <x:v>46204</x:v>
      </x:c>
      <x:c r="B642" s="32" t="str">
        <x:v>Extracción de petróleo</x:v>
      </x:c>
      <x:c r="C642" s="10" t="n">
        <x:f>IF(ISNUMBER('Actividades'!F779),'Actividades'!F779,"n.a.")</x:f>
        <x:v>154.9217997311828</x:v>
      </x:c>
      <x:c r="D642" s="10" t="n">
        <x:f>IF(ISNUMBER('Actividades'!G779),'Actividades'!G779,"n.a.")</x:f>
        <x:v>145.85157123655912</x:v>
      </x:c>
      <x:c r="E642" s="10" t="n">
        <x:f>IF(AND(ISNUMBER(C642),ISNUMBER(D642),C642&gt;=0,D642&gt;0),C642-D642,"n.a.")</x:f>
        <x:v>9.070228494623677</x:v>
      </x:c>
      <x:c r="F642" s="12" t="n">
        <x:f>IF(ISNUMBER(E642),E642/D642,"n.a.")</x:f>
        <x:v>0.062188075299597016</x:v>
      </x:c>
      <x:c r="G642" s="2" t="n">
        <x:f>IF(ISNUMBER(F642),IF(AND(ABS(F642)+0.00000000001&gt;=$B$6,ABS(E642)+0.000000001&gt;=$D$6),1,0),"n.a.")</x:f>
        <x:v>0</x:v>
      </x:c>
      <x:c r="H642" s="2" t="n">
        <x:f>IF(ISNUMBER(E642),SIGN(E642),"n.a.")</x:f>
        <x:v>1</x:v>
      </x:c>
      <x:c r="I642" s="2" t="n">
        <x:f>IF(NOT(ISNUMBER(G642)),"n.a.",IF(G642=0,0,IF(AND(B642=B628,A642=EDATE(A628,1),H642=H628,ISNUMBER(I628)),I628+1,1)))</x:f>
        <x:v>0</x:v>
      </x:c>
      <x:c r="J642" s="2" t="n">
        <x:f>IF(ISNUMBER(F642),IF(AND(ABS(F642)+0.00000000001&gt;=$B$7,ABS(E642)+0.000000001&gt;=$D$7),1,0),"n.a.")</x:f>
        <x:v>0</x:v>
      </x:c>
      <x:c r="K642" s="2" t="str">
        <x:f>IF(NOT(ISNUMBER(F642)),"No evaluable",IF(OR(J642=1,I642&gt;=$B$8),"Prioridad",IF(G642=1,"Observar","Sin umbral")))</x:f>
        <x:v>Sin umbral</x:v>
      </x:c>
      <x:c r="L642" s="2" t="str">
        <x:f>IF(K642="No evaluable","Faltan datos",IF(J642=1,"Magnitud",IF(I642&gt;=$B$8,"Persistencia",IF(G642=1,"Cambio del mes","Sin umbral"))))</x:f>
        <x:v>Sin umbral</x:v>
      </x:c>
      <x:c r="M642" s="2" t="n">
        <x:f>ROW()-40</x:f>
        <x:v>602</x:v>
      </x:c>
    </x:row>
    <x:row r="643" ht="48" customHeight="1">
      <x:c r="A643" s="4" t="n">
        <x:v>46235</x:v>
      </x:c>
      <x:c r="B643" s="32" t="str">
        <x:v>Cargas y puertos</x:v>
      </x:c>
      <x:c r="C643" s="10" t="n">
        <x:f>IF(ISNUMBER('Actividades'!F780),'Actividades'!F780,"n.a.")</x:f>
        <x:v>9.595604838709678</x:v>
      </x:c>
      <x:c r="D643" s="10" t="n">
        <x:f>IF(ISNUMBER('Actividades'!G780),'Actividades'!G780,"n.a.")</x:f>
        <x:v>9.285111559139786</x:v>
      </x:c>
      <x:c r="E643" s="10" t="n">
        <x:f>IF(AND(ISNUMBER(C643),ISNUMBER(D643),C643&gt;=0,D643&gt;0),C643-D643,"n.a.")</x:f>
        <x:v>0.3104932795698918</x:v>
      </x:c>
      <x:c r="F643" s="12" t="n">
        <x:f>IF(ISNUMBER(E643),E643/D643,"n.a.")</x:f>
        <x:v>0.0334399083513712</x:v>
      </x:c>
      <x:c r="G643" s="2" t="n">
        <x:f>IF(ISNUMBER(F643),IF(AND(ABS(F643)+0.00000000001&gt;=$B$6,ABS(E643)+0.000000001&gt;=$D$6),1,0),"n.a.")</x:f>
        <x:v>0</x:v>
      </x:c>
      <x:c r="H643" s="2" t="n">
        <x:f>IF(ISNUMBER(E643),SIGN(E643),"n.a.")</x:f>
        <x:v>1</x:v>
      </x:c>
      <x:c r="I643" s="2" t="n">
        <x:f>IF(NOT(ISNUMBER(G643)),"n.a.",IF(G643=0,0,IF(AND(B643=B629,A643=EDATE(A629,1),H643=H629,ISNUMBER(I629)),I629+1,1)))</x:f>
        <x:v>0</x:v>
      </x:c>
      <x:c r="J643" s="2" t="n">
        <x:f>IF(ISNUMBER(F643),IF(AND(ABS(F643)+0.00000000001&gt;=$B$7,ABS(E643)+0.000000001&gt;=$D$7),1,0),"n.a.")</x:f>
        <x:v>0</x:v>
      </x:c>
      <x:c r="K643" s="2" t="str">
        <x:f>IF(NOT(ISNUMBER(F643)),"No evaluable",IF(OR(J643=1,I643&gt;=$B$8),"Prioridad",IF(G643=1,"Observar","Sin umbral")))</x:f>
        <x:v>Sin umbral</x:v>
      </x:c>
      <x:c r="L643" s="2" t="str">
        <x:f>IF(K643="No evaluable","Faltan datos",IF(J643=1,"Magnitud",IF(I643&gt;=$B$8,"Persistencia",IF(G643=1,"Cambio del mes","Sin umbral"))))</x:f>
        <x:v>Sin umbral</x:v>
      </x:c>
      <x:c r="M643" s="2" t="n">
        <x:f>ROW()-40</x:f>
        <x:v>603</x:v>
      </x:c>
    </x:row>
    <x:row r="644" ht="48" customHeight="1">
      <x:c r="A644" s="4" t="n">
        <x:v>46235</x:v>
      </x:c>
      <x:c r="B644" s="32" t="str">
        <x:v>Comercio y servicios: principalmente supermercados y centros comerciales</x:v>
      </x:c>
      <x:c r="C644" s="10" t="n">
        <x:f>IF(ISNUMBER('Actividades'!F781),'Actividades'!F781,"n.a.")</x:f>
        <x:v>50.93604704301075</x:v>
      </x:c>
      <x:c r="D644" s="10" t="n">
        <x:f>IF(ISNUMBER('Actividades'!G781),'Actividades'!G781,"n.a.")</x:f>
        <x:v>45.42779838709677</x:v>
      </x:c>
      <x:c r="E644" s="10" t="n">
        <x:f>IF(AND(ISNUMBER(C644),ISNUMBER(D644),C644&gt;=0,D644&gt;0),C644-D644,"n.a.")</x:f>
        <x:v>5.508248655913981</x:v>
      </x:c>
      <x:c r="F644" s="12" t="n">
        <x:f>IF(ISNUMBER(E644),E644/D644,"n.a.")</x:f>
        <x:v>0.12125281989185137</x:v>
      </x:c>
      <x:c r="G644" s="2" t="n">
        <x:f>IF(ISNUMBER(F644),IF(AND(ABS(F644)+0.00000000001&gt;=$B$6,ABS(E644)+0.000000001&gt;=$D$6),1,0),"n.a.")</x:f>
        <x:v>1</x:v>
      </x:c>
      <x:c r="H644" s="2" t="n">
        <x:f>IF(ISNUMBER(E644),SIGN(E644),"n.a.")</x:f>
        <x:v>1</x:v>
      </x:c>
      <x:c r="I644" s="2" t="n">
        <x:f>IF(NOT(ISNUMBER(G644)),"n.a.",IF(G644=0,0,IF(AND(B644=B630,A644=EDATE(A630,1),H644=H630,ISNUMBER(I630)),I630+1,1)))</x:f>
        <x:v>3</x:v>
      </x:c>
      <x:c r="J644" s="2" t="n">
        <x:f>IF(ISNUMBER(F644),IF(AND(ABS(F644)+0.00000000001&gt;=$B$7,ABS(E644)+0.000000001&gt;=$D$7),1,0),"n.a.")</x:f>
        <x:v>0</x:v>
      </x:c>
      <x:c r="K644" s="2" t="str">
        <x:f>IF(NOT(ISNUMBER(F644)),"No evaluable",IF(OR(J644=1,I644&gt;=$B$8),"Prioridad",IF(G644=1,"Observar","Sin umbral")))</x:f>
        <x:v>Prioridad</x:v>
      </x:c>
      <x:c r="L644" s="2" t="str">
        <x:f>IF(K644="No evaluable","Faltan datos",IF(J644=1,"Magnitud",IF(I644&gt;=$B$8,"Persistencia",IF(G644=1,"Cambio del mes","Sin umbral"))))</x:f>
        <x:v>Persistencia</x:v>
      </x:c>
      <x:c r="M644" s="2" t="n">
        <x:f>ROW()-40</x:f>
        <x:v>604</x:v>
      </x:c>
    </x:row>
    <x:row r="645" ht="48" customHeight="1">
      <x:c r="A645" s="4" t="n">
        <x:v>46235</x:v>
      </x:c>
      <x:c r="B645" s="32" t="str">
        <x:v>Alimentación y artículos de consumo masivo</x:v>
      </x:c>
      <x:c r="C645" s="10" t="n">
        <x:f>IF(ISNUMBER('Actividades'!F782),'Actividades'!F782,"n.a.")</x:f>
        <x:v>330.6915510752688</x:v>
      </x:c>
      <x:c r="D645" s="10" t="n">
        <x:f>IF(ISNUMBER('Actividades'!G782),'Actividades'!G782,"n.a.")</x:f>
        <x:v>285.3702419354838</x:v>
      </x:c>
      <x:c r="E645" s="10" t="n">
        <x:f>IF(AND(ISNUMBER(C645),ISNUMBER(D645),C645&gt;=0,D645&gt;0),C645-D645,"n.a.")</x:f>
        <x:v>45.321309139785</x:v>
      </x:c>
      <x:c r="F645" s="12" t="n">
        <x:f>IF(ISNUMBER(E645),E645/D645,"n.a.")</x:f>
        <x:v>0.15881582057189828</x:v>
      </x:c>
      <x:c r="G645" s="2" t="n">
        <x:f>IF(ISNUMBER(F645),IF(AND(ABS(F645)+0.00000000001&gt;=$B$6,ABS(E645)+0.000000001&gt;=$D$6),1,0),"n.a.")</x:f>
        <x:v>1</x:v>
      </x:c>
      <x:c r="H645" s="2" t="n">
        <x:f>IF(ISNUMBER(E645),SIGN(E645),"n.a.")</x:f>
        <x:v>1</x:v>
      </x:c>
      <x:c r="I645" s="2" t="n">
        <x:f>IF(NOT(ISNUMBER(G645)),"n.a.",IF(G645=0,0,IF(AND(B645=B631,A645=EDATE(A631,1),H645=H631,ISNUMBER(I631)),I631+1,1)))</x:f>
        <x:v>6</x:v>
      </x:c>
      <x:c r="J645" s="2" t="n">
        <x:f>IF(ISNUMBER(F645),IF(AND(ABS(F645)+0.00000000001&gt;=$B$7,ABS(E645)+0.000000001&gt;=$D$7),1,0),"n.a.")</x:f>
        <x:v>0</x:v>
      </x:c>
      <x:c r="K645" s="2" t="str">
        <x:f>IF(NOT(ISNUMBER(F645)),"No evaluable",IF(OR(J645=1,I645&gt;=$B$8),"Prioridad",IF(G645=1,"Observar","Sin umbral")))</x:f>
        <x:v>Prioridad</x:v>
      </x:c>
      <x:c r="L645" s="2" t="str">
        <x:f>IF(K645="No evaluable","Faltan datos",IF(J645=1,"Magnitud",IF(I645&gt;=$B$8,"Persistencia",IF(G645=1,"Cambio del mes","Sin umbral"))))</x:f>
        <x:v>Persistencia</x:v>
      </x:c>
      <x:c r="M645" s="2" t="n">
        <x:f>ROW()-40</x:f>
        <x:v>605</x:v>
      </x:c>
    </x:row>
    <x:row r="646" ht="48" customHeight="1">
      <x:c r="A646" s="4" t="n">
        <x:v>46235</x:v>
      </x:c>
      <x:c r="B646" s="32" t="str">
        <x:v>Servicios públicos y transporte: agua y transporte en GBA</x:v>
      </x:c>
      <x:c r="C646" s="10" t="n">
        <x:f>IF(ISNUMBER('Actividades'!F783),'Actividades'!F783,"n.a.")</x:f>
        <x:v>69.5429932795699</x:v>
      </x:c>
      <x:c r="D646" s="10" t="n">
        <x:f>IF(ISNUMBER('Actividades'!G783),'Actividades'!G783,"n.a.")</x:f>
        <x:v>72.79087096774194</x:v>
      </x:c>
      <x:c r="E646" s="10" t="n">
        <x:f>IF(AND(ISNUMBER(C646),ISNUMBER(D646),C646&gt;=0,D646&gt;0),C646-D646,"n.a.")</x:f>
        <x:v>-3.2478776881720393</x:v>
      </x:c>
      <x:c r="F646" s="12" t="n">
        <x:f>IF(ISNUMBER(E646),E646/D646,"n.a.")</x:f>
        <x:v>-0.0446192997142646</x:v>
      </x:c>
      <x:c r="G646" s="2" t="n">
        <x:f>IF(ISNUMBER(F646),IF(AND(ABS(F646)+0.00000000001&gt;=$B$6,ABS(E646)+0.000000001&gt;=$D$6),1,0),"n.a.")</x:f>
        <x:v>0</x:v>
      </x:c>
      <x:c r="H646" s="2" t="n">
        <x:f>IF(ISNUMBER(E646),SIGN(E646),"n.a.")</x:f>
        <x:v>-1</x:v>
      </x:c>
      <x:c r="I646" s="2" t="n">
        <x:f>IF(NOT(ISNUMBER(G646)),"n.a.",IF(G646=0,0,IF(AND(B646=B632,A646=EDATE(A632,1),H646=H632,ISNUMBER(I632)),I632+1,1)))</x:f>
        <x:v>0</x:v>
      </x:c>
      <x:c r="J646" s="2" t="n">
        <x:f>IF(ISNUMBER(F646),IF(AND(ABS(F646)+0.00000000001&gt;=$B$7,ABS(E646)+0.000000001&gt;=$D$7),1,0),"n.a.")</x:f>
        <x:v>0</x:v>
      </x:c>
      <x:c r="K646" s="2" t="str">
        <x:f>IF(NOT(ISNUMBER(F646)),"No evaluable",IF(OR(J646=1,I646&gt;=$B$8),"Prioridad",IF(G646=1,"Observar","Sin umbral")))</x:f>
        <x:v>Sin umbral</x:v>
      </x:c>
      <x:c r="L646" s="2" t="str">
        <x:f>IF(K646="No evaluable","Faltan datos",IF(J646=1,"Magnitud",IF(I646&gt;=$B$8,"Persistencia",IF(G646=1,"Cambio del mes","Sin umbral"))))</x:f>
        <x:v>Sin umbral</x:v>
      </x:c>
      <x:c r="M646" s="2" t="n">
        <x:f>ROW()-40</x:f>
        <x:v>606</x:v>
      </x:c>
    </x:row>
    <x:row r="647" ht="48" customHeight="1">
      <x:c r="A647" s="4" t="n">
        <x:v>46235</x:v>
      </x:c>
      <x:c r="B647" s="32" t="str">
        <x:v>Industria automotriz</x:v>
      </x:c>
      <x:c r="C647" s="10" t="n">
        <x:f>IF(ISNUMBER('Actividades'!F784),'Actividades'!F784,"n.a.")</x:f>
        <x:v>44.86576612903225</x:v>
      </x:c>
      <x:c r="D647" s="10" t="n">
        <x:f>IF(ISNUMBER('Actividades'!G784),'Actividades'!G784,"n.a.")</x:f>
        <x:v>40.71383198924732</x:v>
      </x:c>
      <x:c r="E647" s="10" t="n">
        <x:f>IF(AND(ISNUMBER(C647),ISNUMBER(D647),C647&gt;=0,D647&gt;0),C647-D647,"n.a.")</x:f>
        <x:v>4.1519341397849345</x:v>
      </x:c>
      <x:c r="F647" s="12" t="n">
        <x:f>IF(ISNUMBER(E647),E647/D647,"n.a.")</x:f>
        <x:v>0.10197846620975094</x:v>
      </x:c>
      <x:c r="G647" s="2" t="n">
        <x:f>IF(ISNUMBER(F647),IF(AND(ABS(F647)+0.00000000001&gt;=$B$6,ABS(E647)+0.000000001&gt;=$D$6),1,0),"n.a.")</x:f>
        <x:v>0</x:v>
      </x:c>
      <x:c r="H647" s="2" t="n">
        <x:f>IF(ISNUMBER(E647),SIGN(E647),"n.a.")</x:f>
        <x:v>1</x:v>
      </x:c>
      <x:c r="I647" s="2" t="n">
        <x:f>IF(NOT(ISNUMBER(G647)),"n.a.",IF(G647=0,0,IF(AND(B647=B633,A647=EDATE(A633,1),H647=H633,ISNUMBER(I633)),I633+1,1)))</x:f>
        <x:v>0</x:v>
      </x:c>
      <x:c r="J647" s="2" t="n">
        <x:f>IF(ISNUMBER(F647),IF(AND(ABS(F647)+0.00000000001&gt;=$B$7,ABS(E647)+0.000000001&gt;=$D$7),1,0),"n.a.")</x:f>
        <x:v>0</x:v>
      </x:c>
      <x:c r="K647" s="2" t="str">
        <x:f>IF(NOT(ISNUMBER(F647)),"No evaluable",IF(OR(J647=1,I647&gt;=$B$8),"Prioridad",IF(G647=1,"Observar","Sin umbral")))</x:f>
        <x:v>Sin umbral</x:v>
      </x:c>
      <x:c r="L647" s="2" t="str">
        <x:f>IF(K647="No evaluable","Faltan datos",IF(J647=1,"Magnitud",IF(I647&gt;=$B$8,"Persistencia",IF(G647=1,"Cambio del mes","Sin umbral"))))</x:f>
        <x:v>Sin umbral</x:v>
      </x:c>
      <x:c r="M647" s="2" t="n">
        <x:f>ROW()-40</x:f>
        <x:v>607</x:v>
      </x:c>
    </x:row>
    <x:row r="648" ht="48" customHeight="1">
      <x:c r="A648" s="4" t="n">
        <x:v>46235</x:v>
      </x:c>
      <x:c r="B648" s="32" t="str">
        <x:v>Derivados de petróleo</x:v>
      </x:c>
      <x:c r="C648" s="10" t="n">
        <x:f>IF(ISNUMBER('Actividades'!F785),'Actividades'!F785,"n.a.")</x:f>
        <x:v>158.5797862903226</x:v>
      </x:c>
      <x:c r="D648" s="10" t="n">
        <x:f>IF(ISNUMBER('Actividades'!G785),'Actividades'!G785,"n.a.")</x:f>
        <x:v>144.79486559139784</x:v>
      </x:c>
      <x:c r="E648" s="10" t="n">
        <x:f>IF(AND(ISNUMBER(C648),ISNUMBER(D648),C648&gt;=0,D648&gt;0),C648-D648,"n.a.")</x:f>
        <x:v>13.784920698924765</x:v>
      </x:c>
      <x:c r="F648" s="12" t="n">
        <x:f>IF(ISNUMBER(E648),E648/D648,"n.a.")</x:f>
        <x:v>0.0952031043547149</x:v>
      </x:c>
      <x:c r="G648" s="2" t="n">
        <x:f>IF(ISNUMBER(F648),IF(AND(ABS(F648)+0.00000000001&gt;=$B$6,ABS(E648)+0.000000001&gt;=$D$6),1,0),"n.a.")</x:f>
        <x:v>0</x:v>
      </x:c>
      <x:c r="H648" s="2" t="n">
        <x:f>IF(ISNUMBER(E648),SIGN(E648),"n.a.")</x:f>
        <x:v>1</x:v>
      </x:c>
      <x:c r="I648" s="2" t="n">
        <x:f>IF(NOT(ISNUMBER(G648)),"n.a.",IF(G648=0,0,IF(AND(B648=B634,A648=EDATE(A634,1),H648=H634,ISNUMBER(I634)),I634+1,1)))</x:f>
        <x:v>0</x:v>
      </x:c>
      <x:c r="J648" s="2" t="n">
        <x:f>IF(ISNUMBER(F648),IF(AND(ABS(F648)+0.00000000001&gt;=$B$7,ABS(E648)+0.000000001&gt;=$D$7),1,0),"n.a.")</x:f>
        <x:v>0</x:v>
      </x:c>
      <x:c r="K648" s="2" t="str">
        <x:f>IF(NOT(ISNUMBER(F648)),"No evaluable",IF(OR(J648=1,I648&gt;=$B$8),"Prioridad",IF(G648=1,"Observar","Sin umbral")))</x:f>
        <x:v>Sin umbral</x:v>
      </x:c>
      <x:c r="L648" s="2" t="str">
        <x:f>IF(K648="No evaluable","Faltan datos",IF(J648=1,"Magnitud",IF(I648&gt;=$B$8,"Persistencia",IF(G648=1,"Cambio del mes","Sin umbral"))))</x:f>
        <x:v>Sin umbral</x:v>
      </x:c>
      <x:c r="M648" s="2" t="n">
        <x:f>ROW()-40</x:f>
        <x:v>608</x:v>
      </x:c>
    </x:row>
    <x:row r="649" ht="48" customHeight="1">
      <x:c r="A649" s="4" t="n">
        <x:v>46235</x:v>
      </x:c>
      <x:c r="B649" s="32" t="str">
        <x:v>Construcción: elaboración de cemento y canteras</x:v>
      </x:c>
      <x:c r="C649" s="10" t="n">
        <x:f>IF(ISNUMBER('Actividades'!F786),'Actividades'!F786,"n.a.")</x:f>
        <x:v>90.21100403225807</x:v>
      </x:c>
      <x:c r="D649" s="10" t="n">
        <x:f>IF(ISNUMBER('Actividades'!G786),'Actividades'!G786,"n.a.")</x:f>
        <x:v>122.58155241935485</x:v>
      </x:c>
      <x:c r="E649" s="10" t="n">
        <x:f>IF(AND(ISNUMBER(C649),ISNUMBER(D649),C649&gt;=0,D649&gt;0),C649-D649,"n.a.")</x:f>
        <x:v>-32.370548387096775</x:v>
      </x:c>
      <x:c r="F649" s="12" t="n">
        <x:f>IF(ISNUMBER(E649),E649/D649,"n.a.")</x:f>
        <x:v>-0.26407357182389274</x:v>
      </x:c>
      <x:c r="G649" s="2" t="n">
        <x:f>IF(ISNUMBER(F649),IF(AND(ABS(F649)+0.00000000001&gt;=$B$6,ABS(E649)+0.000000001&gt;=$D$6),1,0),"n.a.")</x:f>
        <x:v>1</x:v>
      </x:c>
      <x:c r="H649" s="2" t="n">
        <x:f>IF(ISNUMBER(E649),SIGN(E649),"n.a.")</x:f>
        <x:v>-1</x:v>
      </x:c>
      <x:c r="I649" s="2" t="n">
        <x:f>IF(NOT(ISNUMBER(G649)),"n.a.",IF(G649=0,0,IF(AND(B649=B635,A649=EDATE(A635,1),H649=H635,ISNUMBER(I635)),I635+1,1)))</x:f>
        <x:v>2</x:v>
      </x:c>
      <x:c r="J649" s="2" t="n">
        <x:f>IF(ISNUMBER(F649),IF(AND(ABS(F649)+0.00000000001&gt;=$B$7,ABS(E649)+0.000000001&gt;=$D$7),1,0),"n.a.")</x:f>
        <x:v>1</x:v>
      </x:c>
      <x:c r="K649" s="2" t="str">
        <x:f>IF(NOT(ISNUMBER(F649)),"No evaluable",IF(OR(J649=1,I649&gt;=$B$8),"Prioridad",IF(G649=1,"Observar","Sin umbral")))</x:f>
        <x:v>Prioridad</x:v>
      </x:c>
      <x:c r="L649" s="2" t="str">
        <x:f>IF(K649="No evaluable","Faltan datos",IF(J649=1,"Magnitud",IF(I649&gt;=$B$8,"Persistencia",IF(G649=1,"Cambio del mes","Sin umbral"))))</x:f>
        <x:v>Magnitud</x:v>
      </x:c>
      <x:c r="M649" s="2" t="n">
        <x:f>ROW()-40</x:f>
        <x:v>609</x:v>
      </x:c>
    </x:row>
    <x:row r="650" ht="48" customHeight="1">
      <x:c r="A650" s="4" t="n">
        <x:v>46235</x:v>
      </x:c>
      <x:c r="B650" s="32" t="str">
        <x:v>Madera y papel</x:v>
      </x:c>
      <x:c r="C650" s="10" t="n">
        <x:f>IF(ISNUMBER('Actividades'!F787),'Actividades'!F787,"n.a.")</x:f>
        <x:v>105.26906989247311</x:v>
      </x:c>
      <x:c r="D650" s="10" t="n">
        <x:f>IF(ISNUMBER('Actividades'!G787),'Actividades'!G787,"n.a.")</x:f>
        <x:v>104.69448521505376</x:v>
      </x:c>
      <x:c r="E650" s="10" t="n">
        <x:f>IF(AND(ISNUMBER(C650),ISNUMBER(D650),C650&gt;=0,D650&gt;0),C650-D650,"n.a.")</x:f>
        <x:v>0.5745846774193524</x:v>
      </x:c>
      <x:c r="F650" s="12" t="n">
        <x:f>IF(ISNUMBER(E650),E650/D650,"n.a.")</x:f>
        <x:v>0.005488203855619458</x:v>
      </x:c>
      <x:c r="G650" s="2" t="n">
        <x:f>IF(ISNUMBER(F650),IF(AND(ABS(F650)+0.00000000001&gt;=$B$6,ABS(E650)+0.000000001&gt;=$D$6),1,0),"n.a.")</x:f>
        <x:v>0</x:v>
      </x:c>
      <x:c r="H650" s="2" t="n">
        <x:f>IF(ISNUMBER(E650),SIGN(E650),"n.a.")</x:f>
        <x:v>1</x:v>
      </x:c>
      <x:c r="I650" s="2" t="n">
        <x:f>IF(NOT(ISNUMBER(G650)),"n.a.",IF(G650=0,0,IF(AND(B650=B636,A650=EDATE(A636,1),H650=H636,ISNUMBER(I636)),I636+1,1)))</x:f>
        <x:v>0</x:v>
      </x:c>
      <x:c r="J650" s="2" t="n">
        <x:f>IF(ISNUMBER(F650),IF(AND(ABS(F650)+0.00000000001&gt;=$B$7,ABS(E650)+0.000000001&gt;=$D$7),1,0),"n.a.")</x:f>
        <x:v>0</x:v>
      </x:c>
      <x:c r="K650" s="2" t="str">
        <x:f>IF(NOT(ISNUMBER(F650)),"No evaluable",IF(OR(J650=1,I650&gt;=$B$8),"Prioridad",IF(G650=1,"Observar","Sin umbral")))</x:f>
        <x:v>Sin umbral</x:v>
      </x:c>
      <x:c r="L650" s="2" t="str">
        <x:f>IF(K650="No evaluable","Faltan datos",IF(J650=1,"Magnitud",IF(I650&gt;=$B$8,"Persistencia",IF(G650=1,"Cambio del mes","Sin umbral"))))</x:f>
        <x:v>Sin umbral</x:v>
      </x:c>
      <x:c r="M650" s="2" t="n">
        <x:f>ROW()-40</x:f>
        <x:v>610</x:v>
      </x:c>
    </x:row>
    <x:row r="651" ht="48" customHeight="1">
      <x:c r="A651" s="4" t="n">
        <x:v>46235</x:v>
      </x:c>
      <x:c r="B651" s="32" t="str">
        <x:v>Productos metálicos no automotores</x:v>
      </x:c>
      <x:c r="C651" s="10" t="n">
        <x:f>IF(ISNUMBER('Actividades'!F788),'Actividades'!F788,"n.a.")</x:f>
        <x:v>36.33427688172043</x:v>
      </x:c>
      <x:c r="D651" s="10" t="n">
        <x:f>IF(ISNUMBER('Actividades'!G788),'Actividades'!G788,"n.a.")</x:f>
        <x:v>47.62105241935484</x:v>
      </x:c>
      <x:c r="E651" s="10" t="n">
        <x:f>IF(AND(ISNUMBER(C651),ISNUMBER(D651),C651&gt;=0,D651&gt;0),C651-D651,"n.a.")</x:f>
        <x:v>-11.286775537634412</x:v>
      </x:c>
      <x:c r="F651" s="12" t="n">
        <x:f>IF(ISNUMBER(E651),E651/D651,"n.a.")</x:f>
        <x:v>-0.2370123078810219</x:v>
      </x:c>
      <x:c r="G651" s="2" t="n">
        <x:f>IF(ISNUMBER(F651),IF(AND(ABS(F651)+0.00000000001&gt;=$B$6,ABS(E651)+0.000000001&gt;=$D$6),1,0),"n.a.")</x:f>
        <x:v>1</x:v>
      </x:c>
      <x:c r="H651" s="2" t="n">
        <x:f>IF(ISNUMBER(E651),SIGN(E651),"n.a.")</x:f>
        <x:v>-1</x:v>
      </x:c>
      <x:c r="I651" s="2" t="n">
        <x:f>IF(NOT(ISNUMBER(G651)),"n.a.",IF(G651=0,0,IF(AND(B651=B637,A651=EDATE(A637,1),H651=H637,ISNUMBER(I637)),I637+1,1)))</x:f>
        <x:v>2</x:v>
      </x:c>
      <x:c r="J651" s="2" t="n">
        <x:f>IF(ISNUMBER(F651),IF(AND(ABS(F651)+0.00000000001&gt;=$B$7,ABS(E651)+0.000000001&gt;=$D$7),1,0),"n.a.")</x:f>
        <x:v>1</x:v>
      </x:c>
      <x:c r="K651" s="2" t="str">
        <x:f>IF(NOT(ISNUMBER(F651)),"No evaluable",IF(OR(J651=1,I651&gt;=$B$8),"Prioridad",IF(G651=1,"Observar","Sin umbral")))</x:f>
        <x:v>Prioridad</x:v>
      </x:c>
      <x:c r="L651" s="2" t="str">
        <x:f>IF(K651="No evaluable","Faltan datos",IF(J651=1,"Magnitud",IF(I651&gt;=$B$8,"Persistencia",IF(G651=1,"Cambio del mes","Sin umbral"))))</x:f>
        <x:v>Magnitud</x:v>
      </x:c>
      <x:c r="M651" s="2" t="n">
        <x:f>ROW()-40</x:f>
        <x:v>611</x:v>
      </x:c>
    </x:row>
    <x:row r="652" ht="48" customHeight="1">
      <x:c r="A652" s="4" t="n">
        <x:v>46235</x:v>
      </x:c>
      <x:c r="B652" s="32" t="str">
        <x:v>Gran siderurgia</x:v>
      </x:c>
      <x:c r="C652" s="10" t="n">
        <x:f>IF(ISNUMBER('Actividades'!F789),'Actividades'!F789,"n.a.")</x:f>
        <x:v>286.66648387096774</x:v>
      </x:c>
      <x:c r="D652" s="10" t="n">
        <x:f>IF(ISNUMBER('Actividades'!G789),'Actividades'!G789,"n.a.")</x:f>
        <x:v>274.7639919354839</x:v>
      </x:c>
      <x:c r="E652" s="10" t="n">
        <x:f>IF(AND(ISNUMBER(C652),ISNUMBER(D652),C652&gt;=0,D652&gt;0),C652-D652,"n.a.")</x:f>
        <x:v>11.902491935483852</x:v>
      </x:c>
      <x:c r="F652" s="12" t="n">
        <x:f>IF(ISNUMBER(E652),E652/D652,"n.a.")</x:f>
        <x:v>0.04331896567538086</x:v>
      </x:c>
      <x:c r="G652" s="2" t="n">
        <x:f>IF(ISNUMBER(F652),IF(AND(ABS(F652)+0.00000000001&gt;=$B$6,ABS(E652)+0.000000001&gt;=$D$6),1,0),"n.a.")</x:f>
        <x:v>0</x:v>
      </x:c>
      <x:c r="H652" s="2" t="n">
        <x:f>IF(ISNUMBER(E652),SIGN(E652),"n.a.")</x:f>
        <x:v>1</x:v>
      </x:c>
      <x:c r="I652" s="2" t="n">
        <x:f>IF(NOT(ISNUMBER(G652)),"n.a.",IF(G652=0,0,IF(AND(B652=B638,A652=EDATE(A638,1),H652=H638,ISNUMBER(I638)),I638+1,1)))</x:f>
        <x:v>0</x:v>
      </x:c>
      <x:c r="J652" s="2" t="n">
        <x:f>IF(ISNUMBER(F652),IF(AND(ABS(F652)+0.00000000001&gt;=$B$7,ABS(E652)+0.000000001&gt;=$D$7),1,0),"n.a.")</x:f>
        <x:v>0</x:v>
      </x:c>
      <x:c r="K652" s="2" t="str">
        <x:f>IF(NOT(ISNUMBER(F652)),"No evaluable",IF(OR(J652=1,I652&gt;=$B$8),"Prioridad",IF(G652=1,"Observar","Sin umbral")))</x:f>
        <x:v>Sin umbral</x:v>
      </x:c>
      <x:c r="L652" s="2" t="str">
        <x:f>IF(K652="No evaluable","Faltan datos",IF(J652=1,"Magnitud",IF(I652&gt;=$B$8,"Persistencia",IF(G652=1,"Cambio del mes","Sin umbral"))))</x:f>
        <x:v>Sin umbral</x:v>
      </x:c>
      <x:c r="M652" s="2" t="n">
        <x:f>ROW()-40</x:f>
        <x:v>612</x:v>
      </x:c>
    </x:row>
    <x:row r="653" ht="48" customHeight="1">
      <x:c r="A653" s="4" t="n">
        <x:v>46235</x:v>
      </x:c>
      <x:c r="B653" s="32" t="str">
        <x:v>Industria textil</x:v>
      </x:c>
      <x:c r="C653" s="10" t="n">
        <x:f>IF(ISNUMBER('Actividades'!F790),'Actividades'!F790,"n.a.")</x:f>
        <x:v>40.63267741935484</x:v>
      </x:c>
      <x:c r="D653" s="10" t="n">
        <x:f>IF(ISNUMBER('Actividades'!G790),'Actividades'!G790,"n.a.")</x:f>
        <x:v>50.04054166666667</x:v>
      </x:c>
      <x:c r="E653" s="10" t="n">
        <x:f>IF(AND(ISNUMBER(C653),ISNUMBER(D653),C653&gt;=0,D653&gt;0),C653-D653,"n.a.")</x:f>
        <x:v>-9.407864247311828</x:v>
      </x:c>
      <x:c r="F653" s="12" t="n">
        <x:f>IF(ISNUMBER(E653),E653/D653,"n.a.")</x:f>
        <x:v>-0.1880048443516081</x:v>
      </x:c>
      <x:c r="G653" s="2" t="n">
        <x:f>IF(ISNUMBER(F653),IF(AND(ABS(F653)+0.00000000001&gt;=$B$6,ABS(E653)+0.000000001&gt;=$D$6),1,0),"n.a.")</x:f>
        <x:v>1</x:v>
      </x:c>
      <x:c r="H653" s="2" t="n">
        <x:f>IF(ISNUMBER(E653),SIGN(E653),"n.a.")</x:f>
        <x:v>-1</x:v>
      </x:c>
      <x:c r="I653" s="2" t="n">
        <x:f>IF(NOT(ISNUMBER(G653)),"n.a.",IF(G653=0,0,IF(AND(B653=B639,A653=EDATE(A639,1),H653=H639,ISNUMBER(I639)),I639+1,1)))</x:f>
        <x:v>12</x:v>
      </x:c>
      <x:c r="J653" s="2" t="n">
        <x:f>IF(ISNUMBER(F653),IF(AND(ABS(F653)+0.00000000001&gt;=$B$7,ABS(E653)+0.000000001&gt;=$D$7),1,0),"n.a.")</x:f>
        <x:v>0</x:v>
      </x:c>
      <x:c r="K653" s="2" t="str">
        <x:f>IF(NOT(ISNUMBER(F653)),"No evaluable",IF(OR(J653=1,I653&gt;=$B$8),"Prioridad",IF(G653=1,"Observar","Sin umbral")))</x:f>
        <x:v>Prioridad</x:v>
      </x:c>
      <x:c r="L653" s="2" t="str">
        <x:f>IF(K653="No evaluable","Faltan datos",IF(J653=1,"Magnitud",IF(I653&gt;=$B$8,"Persistencia",IF(G653=1,"Cambio del mes","Sin umbral"))))</x:f>
        <x:v>Persistencia</x:v>
      </x:c>
      <x:c r="M653" s="2" t="n">
        <x:f>ROW()-40</x:f>
        <x:v>613</x:v>
      </x:c>
    </x:row>
    <x:row r="654" ht="48" customHeight="1">
      <x:c r="A654" s="4" t="n">
        <x:v>46235</x:v>
      </x:c>
      <x:c r="B654" s="32" t="str">
        <x:v>Químicas, caucho, plástico y otros minerales no metálicos</x:v>
      </x:c>
      <x:c r="C654" s="10" t="n">
        <x:f>IF(ISNUMBER('Actividades'!F791),'Actividades'!F791,"n.a.")</x:f>
        <x:v>330.74127822580647</x:v>
      </x:c>
      <x:c r="D654" s="10" t="n">
        <x:f>IF(ISNUMBER('Actividades'!G791),'Actividades'!G791,"n.a.")</x:f>
        <x:v>317.85408333333334</x:v>
      </x:c>
      <x:c r="E654" s="10" t="n">
        <x:f>IF(AND(ISNUMBER(C654),ISNUMBER(D654),C654&gt;=0,D654&gt;0),C654-D654,"n.a.")</x:f>
        <x:v>12.887194892473133</x:v>
      </x:c>
      <x:c r="F654" s="12" t="n">
        <x:f>IF(ISNUMBER(E654),E654/D654,"n.a.")</x:f>
        <x:v>0.040544374189959174</x:v>
      </x:c>
      <x:c r="G654" s="2" t="n">
        <x:f>IF(ISNUMBER(F654),IF(AND(ABS(F654)+0.00000000001&gt;=$B$6,ABS(E654)+0.000000001&gt;=$D$6),1,0),"n.a.")</x:f>
        <x:v>0</x:v>
      </x:c>
      <x:c r="H654" s="2" t="n">
        <x:f>IF(ISNUMBER(E654),SIGN(E654),"n.a.")</x:f>
        <x:v>1</x:v>
      </x:c>
      <x:c r="I654" s="2" t="n">
        <x:f>IF(NOT(ISNUMBER(G654)),"n.a.",IF(G654=0,0,IF(AND(B654=B640,A654=EDATE(A640,1),H654=H640,ISNUMBER(I640)),I640+1,1)))</x:f>
        <x:v>0</x:v>
      </x:c>
      <x:c r="J654" s="2" t="n">
        <x:f>IF(ISNUMBER(F654),IF(AND(ABS(F654)+0.00000000001&gt;=$B$7,ABS(E654)+0.000000001&gt;=$D$7),1,0),"n.a.")</x:f>
        <x:v>0</x:v>
      </x:c>
      <x:c r="K654" s="2" t="str">
        <x:f>IF(NOT(ISNUMBER(F654)),"No evaluable",IF(OR(J654=1,I654&gt;=$B$8),"Prioridad",IF(G654=1,"Observar","Sin umbral")))</x:f>
        <x:v>Sin umbral</x:v>
      </x:c>
      <x:c r="L654" s="2" t="str">
        <x:f>IF(K654="No evaluable","Faltan datos",IF(J654=1,"Magnitud",IF(I654&gt;=$B$8,"Persistencia",IF(G654=1,"Cambio del mes","Sin umbral"))))</x:f>
        <x:v>Sin umbral</x:v>
      </x:c>
      <x:c r="M654" s="2" t="n">
        <x:f>ROW()-40</x:f>
        <x:v>614</x:v>
      </x:c>
    </x:row>
    <x:row r="655" ht="48" customHeight="1">
      <x:c r="A655" s="4" t="n">
        <x:v>46235</x:v>
      </x:c>
      <x:c r="B655" s="32" t="str">
        <x:v>Extracción de minerales</x:v>
      </x:c>
      <x:c r="C655" s="10" t="n">
        <x:f>IF(ISNUMBER('Actividades'!F792),'Actividades'!F792,"n.a.")</x:f>
        <x:v>36.16088037634408</x:v>
      </x:c>
      <x:c r="D655" s="10" t="n">
        <x:f>IF(ISNUMBER('Actividades'!G792),'Actividades'!G792,"n.a.")</x:f>
        <x:v>25.329064516129034</x:v>
      </x:c>
      <x:c r="E655" s="10" t="n">
        <x:f>IF(AND(ISNUMBER(C655),ISNUMBER(D655),C655&gt;=0,D655&gt;0),C655-D655,"n.a.")</x:f>
        <x:v>10.831815860215048</x:v>
      </x:c>
      <x:c r="F655" s="12" t="n">
        <x:f>IF(ISNUMBER(E655),E655/D655,"n.a.")</x:f>
        <x:v>0.42764373920393184</x:v>
      </x:c>
      <x:c r="G655" s="2" t="n">
        <x:f>IF(ISNUMBER(F655),IF(AND(ABS(F655)+0.00000000001&gt;=$B$6,ABS(E655)+0.000000001&gt;=$D$6),1,0),"n.a.")</x:f>
        <x:v>1</x:v>
      </x:c>
      <x:c r="H655" s="2" t="n">
        <x:f>IF(ISNUMBER(E655),SIGN(E655),"n.a.")</x:f>
        <x:v>1</x:v>
      </x:c>
      <x:c r="I655" s="2" t="n">
        <x:f>IF(NOT(ISNUMBER(G655)),"n.a.",IF(G655=0,0,IF(AND(B655=B641,A655=EDATE(A641,1),H655=H641,ISNUMBER(I641)),I641+1,1)))</x:f>
        <x:v>4</x:v>
      </x:c>
      <x:c r="J655" s="2" t="n">
        <x:f>IF(ISNUMBER(F655),IF(AND(ABS(F655)+0.00000000001&gt;=$B$7,ABS(E655)+0.000000001&gt;=$D$7),1,0),"n.a.")</x:f>
        <x:v>1</x:v>
      </x:c>
      <x:c r="K655" s="2" t="str">
        <x:f>IF(NOT(ISNUMBER(F655)),"No evaluable",IF(OR(J655=1,I655&gt;=$B$8),"Prioridad",IF(G655=1,"Observar","Sin umbral")))</x:f>
        <x:v>Prioridad</x:v>
      </x:c>
      <x:c r="L655" s="2" t="str">
        <x:f>IF(K655="No evaluable","Faltan datos",IF(J655=1,"Magnitud",IF(I655&gt;=$B$8,"Persistencia",IF(G655=1,"Cambio del mes","Sin umbral"))))</x:f>
        <x:v>Magnitud</x:v>
      </x:c>
      <x:c r="M655" s="2" t="n">
        <x:f>ROW()-40</x:f>
        <x:v>615</x:v>
      </x:c>
    </x:row>
    <x:row r="656" ht="48" customHeight="1">
      <x:c r="A656" s="4" t="n">
        <x:v>46235</x:v>
      </x:c>
      <x:c r="B656" s="32" t="str">
        <x:v>Extracción de petróleo</x:v>
      </x:c>
      <x:c r="C656" s="10" t="n">
        <x:f>IF(ISNUMBER('Actividades'!F793),'Actividades'!F793,"n.a.")</x:f>
        <x:v>154.64072177419354</x:v>
      </x:c>
      <x:c r="D656" s="10" t="n">
        <x:f>IF(ISNUMBER('Actividades'!G793),'Actividades'!G793,"n.a.")</x:f>
        <x:v>145.03430913978497</x:v>
      </x:c>
      <x:c r="E656" s="10" t="n">
        <x:f>IF(AND(ISNUMBER(C656),ISNUMBER(D656),C656&gt;=0,D656&gt;0),C656-D656,"n.a.")</x:f>
        <x:v>9.60641263440857</x:v>
      </x:c>
      <x:c r="F656" s="12" t="n">
        <x:f>IF(ISNUMBER(E656),E656/D656,"n.a.")</x:f>
        <x:v>0.06623544933185327</x:v>
      </x:c>
      <x:c r="G656" s="2" t="n">
        <x:f>IF(ISNUMBER(F656),IF(AND(ABS(F656)+0.00000000001&gt;=$B$6,ABS(E656)+0.000000001&gt;=$D$6),1,0),"n.a.")</x:f>
        <x:v>0</x:v>
      </x:c>
      <x:c r="H656" s="2" t="n">
        <x:f>IF(ISNUMBER(E656),SIGN(E656),"n.a.")</x:f>
        <x:v>1</x:v>
      </x:c>
      <x:c r="I656" s="2" t="n">
        <x:f>IF(NOT(ISNUMBER(G656)),"n.a.",IF(G656=0,0,IF(AND(B656=B642,A656=EDATE(A642,1),H656=H642,ISNUMBER(I642)),I642+1,1)))</x:f>
        <x:v>0</x:v>
      </x:c>
      <x:c r="J656" s="2" t="n">
        <x:f>IF(ISNUMBER(F656),IF(AND(ABS(F656)+0.00000000001&gt;=$B$7,ABS(E656)+0.000000001&gt;=$D$7),1,0),"n.a.")</x:f>
        <x:v>0</x:v>
      </x:c>
      <x:c r="K656" s="2" t="str">
        <x:f>IF(NOT(ISNUMBER(F656)),"No evaluable",IF(OR(J656=1,I656&gt;=$B$8),"Prioridad",IF(G656=1,"Observar","Sin umbral")))</x:f>
        <x:v>Sin umbral</x:v>
      </x:c>
      <x:c r="L656" s="2" t="str">
        <x:f>IF(K656="No evaluable","Faltan datos",IF(J656=1,"Magnitud",IF(I656&gt;=$B$8,"Persistencia",IF(G656=1,"Cambio del mes","Sin umbral"))))</x:f>
        <x:v>Sin umbral</x:v>
      </x:c>
      <x:c r="M656" s="2" t="n">
        <x:f>ROW()-40</x:f>
        <x:v>616</x:v>
      </x:c>
    </x:row>
  </x:sheetData>
  <x:conditionalFormatting sqref="E17:E30">
    <x:cfRule type="containsText" dxfId="2" priority="1" operator="containsText" text="Prioridad"/>
  </x:conditionalFormatting>
  <x:pageMargins left="0.7" right="0.7" top="0.75" bottom="0.75" header="0.3" footer="0.3"/>
  <x:tableParts count="1">
    <x:tablePart xmlns:r="http://schemas.openxmlformats.org/officeDocument/2006/relationships" r:id="Rebc0feb7ce854d2e"/>
  </x:tableParts>
</x:worksheet>
</file>

<file path=xl/worksheets/sheet8.xml><?xml version="1.0" encoding="utf-8"?>
<x:worksheet xmlns:x="http://schemas.openxmlformats.org/spreadsheetml/2006/main">
  <x:sheetPr>
    <x:tabColor rgb="FF175E4B"/>
  </x:sheetPr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19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19" hidden="0" customWidth="1"/>
    <x:col min="9" max="9" width="19" hidden="0" customWidth="1"/>
    <x:col min="10" max="10" width="18" hidden="0" customWidth="1"/>
    <x:col min="11" max="11" width="25" hidden="0" customWidth="1"/>
    <x:col min="12" max="12" width="25" hidden="0" customWidth="1"/>
    <x:col min="13" max="13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Producción y electricidad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43 meses comunes. Enero 2023–julio 2026. Tasas interanuales de series originales, sin ajuste estacional.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 t="str">
        <x:v>Captura revisada al 26/09/2026. Categorías relacionadas, no establecimientos equivalentes ni consumo de IA.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2" t="str">
        <x:v>Cemento es parcial: incluye solo un componente de cemento y canteras. IPI no mide toneladas en todas las ramas.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42" customHeight="1">
      <x:c r="A7" s="70" t="str">
        <x:v>Indicador INDEC</x:v>
      </x:c>
      <x:c r="B7" s="70" t="str">
        <x:v>Meses comparables</x:v>
      </x:c>
      <x:c r="C7" s="70" t="str">
        <x:v>Igual dirección</x:v>
      </x:c>
      <x:c r="D7" s="70" t="str">
        <x:v>Proporción</x:v>
      </x:c>
      <x:c r="E7" s="2"/>
      <x:c r="F7" s="2"/>
      <x:c r="G7" s="2"/>
      <x:c r="H7" s="2"/>
      <x:c r="I7" s="2"/>
      <x:c r="J7" s="2"/>
      <x:c r="K7" s="2"/>
      <x:c r="L7" s="2"/>
      <x:c r="M7" s="2"/>
    </x:row>
    <x:row r="8" ht="40" customHeight="1">
      <x:c r="A8" s="32" t="str">
        <x:v>IPI Cemento</x:v>
      </x:c>
      <x:c r="B8" s="2" t="n">
        <x:f>COUNTIFS($B$17:$B$145,A8)</x:f>
        <x:v>43</x:v>
      </x:c>
      <x:c r="C8" s="2" t="n">
        <x:f>SUMIFS($J$17:$J$145,$B$17:$B$145,A8)</x:f>
        <x:v>37</x:v>
      </x:c>
      <x:c r="D8" s="12" t="n">
        <x:f>IF(B8&gt;0,C8/B8,"n.a.")</x:f>
        <x:v>0.8604651162790697</x:v>
      </x:c>
      <x:c r="E8" s="2"/>
      <x:c r="F8" s="2"/>
      <x:c r="G8" s="2"/>
      <x:c r="H8" s="2"/>
      <x:c r="I8" s="2"/>
      <x:c r="J8" s="2"/>
      <x:c r="K8" s="2"/>
      <x:c r="L8" s="2"/>
      <x:c r="M8" s="2"/>
    </x:row>
    <x:row r="9" ht="40" customHeight="1">
      <x:c r="A9" s="32" t="str">
        <x:v>IPI Productos de metal</x:v>
      </x:c>
      <x:c r="B9" s="2" t="n">
        <x:f>COUNTIFS($B$17:$B$145,A9)</x:f>
        <x:v>43</x:v>
      </x:c>
      <x:c r="C9" s="2" t="n">
        <x:f>SUMIFS($J$17:$J$145,$B$17:$B$145,A9)</x:f>
        <x:v>28</x:v>
      </x:c>
      <x:c r="D9" s="12" t="n">
        <x:f>IF(B9&gt;0,C9/B9,"n.a.")</x:f>
        <x:v>0.6511627906976745</x:v>
      </x:c>
      <x:c r="E9" s="2"/>
      <x:c r="F9" s="2"/>
      <x:c r="G9" s="2"/>
      <x:c r="H9" s="2"/>
      <x:c r="I9" s="2"/>
      <x:c r="J9" s="2"/>
      <x:c r="K9" s="2"/>
      <x:c r="L9" s="2"/>
      <x:c r="M9" s="2"/>
    </x:row>
    <x:row r="10" ht="40" customHeight="1">
      <x:c r="A10" s="32" t="str">
        <x:v>IPI Productos textiles</x:v>
      </x:c>
      <x:c r="B10" s="2" t="n">
        <x:f>COUNTIFS($B$17:$B$145,A10)</x:f>
        <x:v>43</x:v>
      </x:c>
      <x:c r="C10" s="2" t="n">
        <x:f>SUMIFS($J$17:$J$145,$B$17:$B$145,A10)</x:f>
        <x:v>36</x:v>
      </x:c>
      <x:c r="D10" s="12" t="n">
        <x:f>IF(B10&gt;0,C10/B10,"n.a.")</x:f>
        <x:v>0.8372093023255814</x:v>
      </x:c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4" customHeight="1">
      <x:c r="A11" s="2" t="str">
        <x:v>Igual dirección es descriptivo, no acierto prospectivo. No se calculan elasticidades o eficiencia.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4" customHeight="1">
      <x:c r="A12" s="2" t="str">
        <x:v>https://www.indec.gob.ar/ftp/cuadros/economia/sh_ipi_manufacturero_2026.xls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4" customHeight="1">
      <x:c r="A13" s="2" t="str">
        <x:v>INDEC cuadros 2 y 3. Captura 26/09/2026. SHA-256: aec17aa46fced8d9ca905a56c0a24b2552539f143e498313aa13714264bfc48b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4" customHeight="1">
      <x:c r="A14" s="2" t="str">
        <x:v>Electricidad: fuente CAMMESA de Actividades. Agosto IPI permanece ausente, no cero.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4" customHeight="1">
      <x:c r="A15" s="2" t="str">
        <x:v>Índices base 2004=100. La tasa publicada conserva precisión; se contrasta con el índice del mismo mes anterior.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42" customHeight="1">
      <x:c r="A16" s="70" t="str">
        <x:v>Mes</x:v>
      </x:c>
      <x:c r="B16" s="70" t="str">
        <x:v>Indicador</x:v>
      </x:c>
      <x:c r="C16" s="70" t="str">
        <x:v>MW actual</x:v>
      </x:c>
      <x:c r="D16" s="70" t="str">
        <x:v>MW año anterior</x:v>
      </x:c>
      <x:c r="E16" s="70" t="str">
        <x:v>Electricidad %</x:v>
      </x:c>
      <x:c r="F16" s="70" t="str">
        <x:v>Índice IPI</x:v>
      </x:c>
      <x:c r="G16" s="70" t="str">
        <x:v>Índice año anterior</x:v>
      </x:c>
      <x:c r="H16" s="70" t="str">
        <x:v>IPI publicado %</x:v>
      </x:c>
      <x:c r="I16" s="70" t="str">
        <x:v>IPI calculado %</x:v>
      </x:c>
      <x:c r="J16" s="70" t="str">
        <x:v>Igual signo 1/0</x:v>
      </x:c>
      <x:c r="K16" s="70" t="str">
        <x:v>Celda índice</x:v>
      </x:c>
      <x:c r="L16" s="70" t="str">
        <x:v>Celda tasa</x:v>
      </x:c>
      <x:c r="M16" s="2"/>
    </x:row>
    <x:row r="17" ht="36" customHeight="1">
      <x:c r="A17" s="4" t="n">
        <x:v>44927</x:v>
      </x:c>
      <x:c r="B17" s="32" t="str">
        <x:v>IPI Cemento</x:v>
      </x:c>
      <x:c r="C17" s="10" t="n">
        <x:v>155.53374059139784</x:v>
      </x:c>
      <x:c r="D17" s="10" t="n">
        <x:v>169.1680806451613</x:v>
      </x:c>
      <x:c r="E17" s="12" t="n">
        <x:f>IF(AND(ISNUMBER(C17),ISNUMBER(D17),D17&gt;0),C17/D17-1,"n.a.")</x:f>
        <x:v>-0.08059641039707821</x:v>
      </x:c>
      <x:c r="F17" s="10" t="n">
        <x:v>179.57082313663196</x:v>
      </x:c>
      <x:c r="G17" s="10" t="n">
        <x:v>174.66073665687838</x:v>
      </x:c>
      <x:c r="H17" s="12" t="n">
        <x:v>0.028112136555334927</x:v>
      </x:c>
      <x:c r="I17" s="12" t="n">
        <x:f>IF(AND(ISNUMBER(F17),ISNUMBER(G17),G17&gt;0),F17/G17-1,"n.a.")</x:f>
        <x:v>0.028112136555334954</x:v>
      </x:c>
      <x:c r="J17" s="2" t="n">
        <x:f>IF(AND(ISNUMBER(E17),ISNUMBER(H17)),IF(SIGN(E17)=SIGN(H17),1,0),"n.a.")</x:f>
        <x:v>0</x:v>
      </x:c>
      <x:c r="K17" s="2" t="str">
        <x:v>Cuadro 2!BE91</x:v>
      </x:c>
      <x:c r="L17" s="2" t="str">
        <x:v>Cuadro 3!BE90</x:v>
      </x:c>
      <x:c r="M17" s="2"/>
    </x:row>
    <x:row r="18" ht="36" customHeight="1">
      <x:c r="A18" s="4" t="n">
        <x:v>44927</x:v>
      </x:c>
      <x:c r="B18" s="32" t="str">
        <x:v>IPI Productos de metal</x:v>
      </x:c>
      <x:c r="C18" s="10" t="n">
        <x:v>44.24393548387097</x:v>
      </x:c>
      <x:c r="D18" s="10" t="n">
        <x:v>54.45709274193548</x:v>
      </x:c>
      <x:c r="E18" s="12" t="n">
        <x:f>IF(AND(ISNUMBER(C18),ISNUMBER(D18),D18&gt;0),C18/D18-1,"n.a.")</x:f>
        <x:v>-0.18754503304947312</x:v>
      </x:c>
      <x:c r="F18" s="10" t="n">
        <x:v>106.46457982877315</x:v>
      </x:c>
      <x:c r="G18" s="10" t="n">
        <x:v>88.95689681648902</x:v>
      </x:c>
      <x:c r="H18" s="12" t="n">
        <x:v>0.1968108560306581</x:v>
      </x:c>
      <x:c r="I18" s="12" t="n">
        <x:f>IF(AND(ISNUMBER(F18),ISNUMBER(G18),G18&gt;0),F18/G18-1,"n.a.")</x:f>
        <x:v>0.19681085603065807</x:v>
      </x:c>
      <x:c r="J18" s="2" t="n">
        <x:f>IF(AND(ISNUMBER(E18),ISNUMBER(H18)),IF(SIGN(E18)=SIGN(H18),1,0),"n.a.")</x:f>
        <x:v>0</x:v>
      </x:c>
      <x:c r="K18" s="2" t="str">
        <x:v>Cuadro 2!BM91</x:v>
      </x:c>
      <x:c r="L18" s="2" t="str">
        <x:v>Cuadro 3!BM90</x:v>
      </x:c>
      <x:c r="M18" s="2"/>
    </x:row>
    <x:row r="19" ht="36" customHeight="1">
      <x:c r="A19" s="4" t="n">
        <x:v>44927</x:v>
      </x:c>
      <x:c r="B19" s="32" t="str">
        <x:v>IPI Productos textiles</x:v>
      </x:c>
      <x:c r="C19" s="10" t="n">
        <x:v>43.68027688172043</x:v>
      </x:c>
      <x:c r="D19" s="10" t="n">
        <x:v>47.675805107526884</x:v>
      </x:c>
      <x:c r="E19" s="12" t="n">
        <x:f>IF(AND(ISNUMBER(C19),ISNUMBER(D19),D19&gt;0),C19/D19-1,"n.a.")</x:f>
        <x:v>-0.08380620351968959</x:v>
      </x:c>
      <x:c r="F19" s="10" t="n">
        <x:v>53.91517122158786</x:v>
      </x:c>
      <x:c r="G19" s="10" t="n">
        <x:v>53.1258957305509</x:v>
      </x:c>
      <x:c r="H19" s="12" t="n">
        <x:v>0.014856699923519158</x:v>
      </x:c>
      <x:c r="I19" s="12" t="n">
        <x:f>IF(AND(ISNUMBER(F19),ISNUMBER(G19),G19&gt;0),F19/G19-1,"n.a.")</x:f>
        <x:v>0.014856699923519123</x:v>
      </x:c>
      <x:c r="J19" s="2" t="n">
        <x:f>IF(AND(ISNUMBER(E19),ISNUMBER(H19)),IF(SIGN(E19)=SIGN(H19),1,0),"n.a.")</x:f>
        <x:v>0</x:v>
      </x:c>
      <x:c r="K19" s="2" t="str">
        <x:v>Cuadro 2!V91</x:v>
      </x:c>
      <x:c r="L19" s="2" t="str">
        <x:v>Cuadro 3!V90</x:v>
      </x:c>
      <x:c r="M19" s="2"/>
    </x:row>
    <x:row r="20" ht="36" customHeight="1">
      <x:c r="A20" s="4" t="n">
        <x:v>44958</x:v>
      </x:c>
      <x:c r="B20" s="32" t="str">
        <x:v>IPI Cemento</x:v>
      </x:c>
      <x:c r="C20" s="10" t="n">
        <x:v>173.6812857142857</x:v>
      </x:c>
      <x:c r="D20" s="10" t="n">
        <x:v>177.95991220238096</x:v>
      </x:c>
      <x:c r="E20" s="12" t="n">
        <x:f>IF(AND(ISNUMBER(C20),ISNUMBER(D20),D20&gt;0),C20/D20-1,"n.a.")</x:f>
        <x:v>-0.02404264216105867</x:v>
      </x:c>
      <x:c r="F20" s="10" t="n">
        <x:v>173.85754705139777</x:v>
      </x:c>
      <x:c r="G20" s="10" t="n">
        <x:v>182.9388085988873</x:v>
      </x:c>
      <x:c r="H20" s="12" t="n">
        <x:v>-0.0496409789537941</x:v>
      </x:c>
      <x:c r="I20" s="12" t="n">
        <x:f>IF(AND(ISNUMBER(F20),ISNUMBER(G20),G20&gt;0),F20/G20-1,"n.a.")</x:f>
        <x:v>-0.04964097895379416</x:v>
      </x:c>
      <x:c r="J20" s="2" t="n">
        <x:f>IF(AND(ISNUMBER(E20),ISNUMBER(H20)),IF(SIGN(E20)=SIGN(H20),1,0),"n.a.")</x:f>
        <x:v>1</x:v>
      </x:c>
      <x:c r="K20" s="2" t="str">
        <x:v>Cuadro 2!BE92</x:v>
      </x:c>
      <x:c r="L20" s="2" t="str">
        <x:v>Cuadro 3!BE91</x:v>
      </x:c>
      <x:c r="M20" s="2"/>
    </x:row>
    <x:row r="21" ht="36" customHeight="1">
      <x:c r="A21" s="4" t="n">
        <x:v>44958</x:v>
      </x:c>
      <x:c r="B21" s="32" t="str">
        <x:v>IPI Productos de metal</x:v>
      </x:c>
      <x:c r="C21" s="10" t="n">
        <x:v>43.812755952380954</x:v>
      </x:c>
      <x:c r="D21" s="10" t="n">
        <x:v>64.37421875</x:v>
      </x:c>
      <x:c r="E21" s="12" t="n">
        <x:f>IF(AND(ISNUMBER(C21),ISNUMBER(D21),D21&gt;0),C21/D21-1,"n.a.")</x:f>
        <x:v>-0.3194052401236954</x:v>
      </x:c>
      <x:c r="F21" s="10" t="n">
        <x:v>99.1696869425319</x:v>
      </x:c>
      <x:c r="G21" s="10" t="n">
        <x:v>95.48676644066154</x:v>
      </x:c>
      <x:c r="H21" s="12" t="n">
        <x:v>0.03856995727422643</x:v>
      </x:c>
      <x:c r="I21" s="12" t="n">
        <x:f>IF(AND(ISNUMBER(F21),ISNUMBER(G21),G21&gt;0),F21/G21-1,"n.a.")</x:f>
        <x:v>0.03856995727422641</x:v>
      </x:c>
      <x:c r="J21" s="2" t="n">
        <x:f>IF(AND(ISNUMBER(E21),ISNUMBER(H21)),IF(SIGN(E21)=SIGN(H21),1,0),"n.a.")</x:f>
        <x:v>0</x:v>
      </x:c>
      <x:c r="K21" s="2" t="str">
        <x:v>Cuadro 2!BM92</x:v>
      </x:c>
      <x:c r="L21" s="2" t="str">
        <x:v>Cuadro 3!BM91</x:v>
      </x:c>
      <x:c r="M21" s="2"/>
    </x:row>
    <x:row r="22" ht="36" customHeight="1">
      <x:c r="A22" s="4" t="n">
        <x:v>44958</x:v>
      </x:c>
      <x:c r="B22" s="32" t="str">
        <x:v>IPI Productos textiles</x:v>
      </x:c>
      <x:c r="C22" s="10" t="n">
        <x:v>64.85231398809523</x:v>
      </x:c>
      <x:c r="D22" s="10" t="n">
        <x:v>64.0452261904762</x:v>
      </x:c>
      <x:c r="E22" s="12" t="n">
        <x:f>IF(AND(ISNUMBER(C22),ISNUMBER(D22),D22&gt;0),C22/D22-1,"n.a.")</x:f>
        <x:v>0.012601841630142552</x:v>
      </x:c>
      <x:c r="F22" s="10" t="n">
        <x:v>68.60858001823475</x:v>
      </x:c>
      <x:c r="G22" s="10" t="n">
        <x:v>70.60042597926979</x:v>
      </x:c>
      <x:c r="H22" s="12" t="n">
        <x:v>-0.02821294536692875</x:v>
      </x:c>
      <x:c r="I22" s="12" t="n">
        <x:f>IF(AND(ISNUMBER(F22),ISNUMBER(G22),G22&gt;0),F22/G22-1,"n.a.")</x:f>
        <x:v>-0.028212945366928754</x:v>
      </x:c>
      <x:c r="J22" s="2" t="n">
        <x:f>IF(AND(ISNUMBER(E22),ISNUMBER(H22)),IF(SIGN(E22)=SIGN(H22),1,0),"n.a.")</x:f>
        <x:v>0</x:v>
      </x:c>
      <x:c r="K22" s="2" t="str">
        <x:v>Cuadro 2!V92</x:v>
      </x:c>
      <x:c r="L22" s="2" t="str">
        <x:v>Cuadro 3!V91</x:v>
      </x:c>
      <x:c r="M22" s="2"/>
    </x:row>
    <x:row r="23" ht="36" customHeight="1">
      <x:c r="A23" s="4" t="n">
        <x:v>44986</x:v>
      </x:c>
      <x:c r="B23" s="32" t="str">
        <x:v>IPI Cemento</x:v>
      </x:c>
      <x:c r="C23" s="10" t="n">
        <x:v>180.8219072580645</x:v>
      </x:c>
      <x:c r="D23" s="10" t="n">
        <x:v>173.1340806451613</x:v>
      </x:c>
      <x:c r="E23" s="12" t="n">
        <x:f>IF(AND(ISNUMBER(C23),ISNUMBER(D23),D23&gt;0),C23/D23-1,"n.a.")</x:f>
        <x:v>0.044403889657400386</x:v>
      </x:c>
      <x:c r="F23" s="10" t="n">
        <x:v>209.1645034069841</x:v>
      </x:c>
      <x:c r="G23" s="10" t="n">
        <x:v>195.78331852962833</x:v>
      </x:c>
      <x:c r="H23" s="12" t="n">
        <x:v>0.06834691013438274</x:v>
      </x:c>
      <x:c r="I23" s="12" t="n">
        <x:f>IF(AND(ISNUMBER(F23),ISNUMBER(G23),G23&gt;0),F23/G23-1,"n.a.")</x:f>
        <x:v>0.06834691013438277</x:v>
      </x:c>
      <x:c r="J23" s="2" t="n">
        <x:f>IF(AND(ISNUMBER(E23),ISNUMBER(H23)),IF(SIGN(E23)=SIGN(H23),1,0),"n.a.")</x:f>
        <x:v>1</x:v>
      </x:c>
      <x:c r="K23" s="2" t="str">
        <x:v>Cuadro 2!BE93</x:v>
      </x:c>
      <x:c r="L23" s="2" t="str">
        <x:v>Cuadro 3!BE92</x:v>
      </x:c>
      <x:c r="M23" s="2"/>
    </x:row>
    <x:row r="24" ht="36" customHeight="1">
      <x:c r="A24" s="4" t="n">
        <x:v>44986</x:v>
      </x:c>
      <x:c r="B24" s="32" t="str">
        <x:v>IPI Productos de metal</x:v>
      </x:c>
      <x:c r="C24" s="10" t="n">
        <x:v>49.636471774193545</x:v>
      </x:c>
      <x:c r="D24" s="10" t="n">
        <x:v>62.94465725806452</x:v>
      </x:c>
      <x:c r="E24" s="12" t="n">
        <x:f>IF(AND(ISNUMBER(C24),ISNUMBER(D24),D24&gt;0),C24/D24-1,"n.a.")</x:f>
        <x:v>-0.21142676858671616</x:v>
      </x:c>
      <x:c r="F24" s="10" t="n">
        <x:v>119.15760107493597</x:v>
      </x:c>
      <x:c r="G24" s="10" t="n">
        <x:v>111.50091221436641</x:v>
      </x:c>
      <x:c r="H24" s="12" t="n">
        <x:v>0.06866929344801377</x:v>
      </x:c>
      <x:c r="I24" s="12" t="n">
        <x:f>IF(AND(ISNUMBER(F24),ISNUMBER(G24),G24&gt;0),F24/G24-1,"n.a.")</x:f>
        <x:v>0.06866929344801376</x:v>
      </x:c>
      <x:c r="J24" s="2" t="n">
        <x:f>IF(AND(ISNUMBER(E24),ISNUMBER(H24)),IF(SIGN(E24)=SIGN(H24),1,0),"n.a.")</x:f>
        <x:v>0</x:v>
      </x:c>
      <x:c r="K24" s="2" t="str">
        <x:v>Cuadro 2!BM93</x:v>
      </x:c>
      <x:c r="L24" s="2" t="str">
        <x:v>Cuadro 3!BM92</x:v>
      </x:c>
      <x:c r="M24" s="2"/>
    </x:row>
    <x:row r="25" ht="36" customHeight="1">
      <x:c r="A25" s="4" t="n">
        <x:v>44986</x:v>
      </x:c>
      <x:c r="B25" s="32" t="str">
        <x:v>IPI Productos textiles</x:v>
      </x:c>
      <x:c r="C25" s="10" t="n">
        <x:v>68.00813709677419</x:v>
      </x:c>
      <x:c r="D25" s="10" t="n">
        <x:v>63.16328225806452</x:v>
      </x:c>
      <x:c r="E25" s="12" t="n">
        <x:f>IF(AND(ISNUMBER(C25),ISNUMBER(D25),D25&gt;0),C25/D25-1,"n.a.")</x:f>
        <x:v>0.07670365860525075</x:v>
      </x:c>
      <x:c r="F25" s="10" t="n">
        <x:v>84.65470766183019</x:v>
      </x:c>
      <x:c r="G25" s="10" t="n">
        <x:v>86.47987094148945</x:v>
      </x:c>
      <x:c r="H25" s="12" t="n">
        <x:v>-0.021105064794721216</x:v>
      </x:c>
      <x:c r="I25" s="12" t="n">
        <x:f>IF(AND(ISNUMBER(F25),ISNUMBER(G25),G25&gt;0),F25/G25-1,"n.a.")</x:f>
        <x:v>-0.021105064794721184</x:v>
      </x:c>
      <x:c r="J25" s="2" t="n">
        <x:f>IF(AND(ISNUMBER(E25),ISNUMBER(H25)),IF(SIGN(E25)=SIGN(H25),1,0),"n.a.")</x:f>
        <x:v>0</x:v>
      </x:c>
      <x:c r="K25" s="2" t="str">
        <x:v>Cuadro 2!V93</x:v>
      </x:c>
      <x:c r="L25" s="2" t="str">
        <x:v>Cuadro 3!V92</x:v>
      </x:c>
      <x:c r="M25" s="2"/>
    </x:row>
    <x:row r="26" ht="36" customHeight="1">
      <x:c r="A26" s="4" t="n">
        <x:v>45017</x:v>
      </x:c>
      <x:c r="B26" s="32" t="str">
        <x:v>IPI Cemento</x:v>
      </x:c>
      <x:c r="C26" s="10" t="n">
        <x:v>178.35109305555554</x:v>
      </x:c>
      <x:c r="D26" s="10" t="n">
        <x:v>174.80569027777776</x:v>
      </x:c>
      <x:c r="E26" s="12" t="n">
        <x:f>IF(AND(ISNUMBER(C26),ISNUMBER(D26),D26&gt;0),C26/D26-1,"n.a.")</x:f>
        <x:v>0.020281964346491765</x:v>
      </x:c>
      <x:c r="F26" s="10" t="n">
        <x:v>201.9580544813653</x:v>
      </x:c>
      <x:c r="G26" s="10" t="n">
        <x:v>203.47329297025217</x:v>
      </x:c>
      <x:c r="H26" s="12" t="n">
        <x:v>-0.007446866695711236</x:v>
      </x:c>
      <x:c r="I26" s="12" t="n">
        <x:f>IF(AND(ISNUMBER(F26),ISNUMBER(G26),G26&gt;0),F26/G26-1,"n.a.")</x:f>
        <x:v>-0.007446866695711263</x:v>
      </x:c>
      <x:c r="J26" s="2" t="n">
        <x:f>IF(AND(ISNUMBER(E26),ISNUMBER(H26)),IF(SIGN(E26)=SIGN(H26),1,0),"n.a.")</x:f>
        <x:v>0</x:v>
      </x:c>
      <x:c r="K26" s="2" t="str">
        <x:v>Cuadro 2!BE94</x:v>
      </x:c>
      <x:c r="L26" s="2" t="str">
        <x:v>Cuadro 3!BE93</x:v>
      </x:c>
      <x:c r="M26" s="2"/>
    </x:row>
    <x:row r="27" ht="36" customHeight="1">
      <x:c r="A27" s="4" t="n">
        <x:v>45017</x:v>
      </x:c>
      <x:c r="B27" s="32" t="str">
        <x:v>IPI Productos de metal</x:v>
      </x:c>
      <x:c r="C27" s="10" t="n">
        <x:v>48.040640277777776</x:v>
      </x:c>
      <x:c r="D27" s="10" t="n">
        <x:v>56.47754722222223</x:v>
      </x:c>
      <x:c r="E27" s="12" t="n">
        <x:f>IF(AND(ISNUMBER(C27),ISNUMBER(D27),D27&gt;0),C27/D27-1,"n.a.")</x:f>
        <x:v>-0.14938515143456477</x:v>
      </x:c>
      <x:c r="F27" s="10" t="n">
        <x:v>111.16009491859768</x:v>
      </x:c>
      <x:c r="G27" s="10" t="n">
        <x:v>109.24669639453225</x:v>
      </x:c>
      <x:c r="H27" s="12" t="n">
        <x:v>0.01751447491973025</x:v>
      </x:c>
      <x:c r="I27" s="12" t="n">
        <x:f>IF(AND(ISNUMBER(F27),ISNUMBER(G27),G27&gt;0),F27/G27-1,"n.a.")</x:f>
        <x:v>0.01751447491973024</x:v>
      </x:c>
      <x:c r="J27" s="2" t="n">
        <x:f>IF(AND(ISNUMBER(E27),ISNUMBER(H27)),IF(SIGN(E27)=SIGN(H27),1,0),"n.a.")</x:f>
        <x:v>0</x:v>
      </x:c>
      <x:c r="K27" s="2" t="str">
        <x:v>Cuadro 2!BM94</x:v>
      </x:c>
      <x:c r="L27" s="2" t="str">
        <x:v>Cuadro 3!BM93</x:v>
      </x:c>
      <x:c r="M27" s="2"/>
    </x:row>
    <x:row r="28" ht="36" customHeight="1">
      <x:c r="A28" s="4" t="n">
        <x:v>45017</x:v>
      </x:c>
      <x:c r="B28" s="32" t="str">
        <x:v>IPI Productos textiles</x:v>
      </x:c>
      <x:c r="C28" s="10" t="n">
        <x:v>63.00198472222222</x:v>
      </x:c>
      <x:c r="D28" s="10" t="n">
        <x:v>61.509987499999994</x:v>
      </x:c>
      <x:c r="E28" s="12" t="n">
        <x:f>IF(AND(ISNUMBER(C28),ISNUMBER(D28),D28&gt;0),C28/D28-1,"n.a.")</x:f>
        <x:v>0.02425617827059745</x:v>
      </x:c>
      <x:c r="F28" s="10" t="n">
        <x:v>87.05151996985751</x:v>
      </x:c>
      <x:c r="G28" s="10" t="n">
        <x:v>87.62532934492134</x:v>
      </x:c>
      <x:c r="H28" s="12" t="n">
        <x:v>-0.00654844186439675</x:v>
      </x:c>
      <x:c r="I28" s="12" t="n">
        <x:f>IF(AND(ISNUMBER(F28),ISNUMBER(G28),G28&gt;0),F28/G28-1,"n.a.")</x:f>
        <x:v>-0.006548441864396737</x:v>
      </x:c>
      <x:c r="J28" s="2" t="n">
        <x:f>IF(AND(ISNUMBER(E28),ISNUMBER(H28)),IF(SIGN(E28)=SIGN(H28),1,0),"n.a.")</x:f>
        <x:v>0</x:v>
      </x:c>
      <x:c r="K28" s="2" t="str">
        <x:v>Cuadro 2!V94</x:v>
      </x:c>
      <x:c r="L28" s="2" t="str">
        <x:v>Cuadro 3!V93</x:v>
      </x:c>
      <x:c r="M28" s="2"/>
    </x:row>
    <x:row r="29" ht="36" customHeight="1">
      <x:c r="A29" s="4" t="n">
        <x:v>45047</x:v>
      </x:c>
      <x:c r="B29" s="32" t="str">
        <x:v>IPI Cemento</x:v>
      </x:c>
      <x:c r="C29" s="10" t="n">
        <x:v>175.4919677419355</x:v>
      </x:c>
      <x:c r="D29" s="10" t="n">
        <x:v>175.85155241935482</x:v>
      </x:c>
      <x:c r="E29" s="12" t="n">
        <x:f>IF(AND(ISNUMBER(C29),ISNUMBER(D29),D29&gt;0),C29/D29-1,"n.a.")</x:f>
        <x:v>-0.0020448194654648644</x:v>
      </x:c>
      <x:c r="F29" s="10" t="n">
        <x:v>204.88702947602883</x:v>
      </x:c>
      <x:c r="G29" s="10" t="n">
        <x:v>211.53627280816556</x:v>
      </x:c>
      <x:c r="H29" s="12" t="n">
        <x:v>-0.03143311189077579</x:v>
      </x:c>
      <x:c r="I29" s="12" t="n">
        <x:f>IF(AND(ISNUMBER(F29),ISNUMBER(G29),G29&gt;0),F29/G29-1,"n.a.")</x:f>
        <x:v>-0.0314331118907758</x:v>
      </x:c>
      <x:c r="J29" s="2" t="n">
        <x:f>IF(AND(ISNUMBER(E29),ISNUMBER(H29)),IF(SIGN(E29)=SIGN(H29),1,0),"n.a.")</x:f>
        <x:v>1</x:v>
      </x:c>
      <x:c r="K29" s="2" t="str">
        <x:v>Cuadro 2!BE95</x:v>
      </x:c>
      <x:c r="L29" s="2" t="str">
        <x:v>Cuadro 3!BE94</x:v>
      </x:c>
      <x:c r="M29" s="2"/>
    </x:row>
    <x:row r="30" ht="36" customHeight="1">
      <x:c r="A30" s="4" t="n">
        <x:v>45047</x:v>
      </x:c>
      <x:c r="B30" s="32" t="str">
        <x:v>IPI Productos de metal</x:v>
      </x:c>
      <x:c r="C30" s="10" t="n">
        <x:v>47.84571370967742</x:v>
      </x:c>
      <x:c r="D30" s="10" t="n">
        <x:v>56.59469758064516</x:v>
      </x:c>
      <x:c r="E30" s="12" t="n">
        <x:f>IF(AND(ISNUMBER(C30),ISNUMBER(D30),D30&gt;0),C30/D30-1,"n.a.")</x:f>
        <x:v>-0.15459016913202495</x:v>
      </x:c>
      <x:c r="F30" s="10" t="n">
        <x:v>110.39911618835379</x:v>
      </x:c>
      <x:c r="G30" s="10" t="n">
        <x:v>111.22955495241814</x:v>
      </x:c>
      <x:c r="H30" s="12" t="n">
        <x:v>-0.007465990171583456</x:v>
      </x:c>
      <x:c r="I30" s="12" t="n">
        <x:f>IF(AND(ISNUMBER(F30),ISNUMBER(G30),G30&gt;0),F30/G30-1,"n.a.")</x:f>
        <x:v>-0.007465990171583448</x:v>
      </x:c>
      <x:c r="J30" s="2" t="n">
        <x:f>IF(AND(ISNUMBER(E30),ISNUMBER(H30)),IF(SIGN(E30)=SIGN(H30),1,0),"n.a.")</x:f>
        <x:v>1</x:v>
      </x:c>
      <x:c r="K30" s="2" t="str">
        <x:v>Cuadro 2!BM95</x:v>
      </x:c>
      <x:c r="L30" s="2" t="str">
        <x:v>Cuadro 3!BM94</x:v>
      </x:c>
      <x:c r="M30" s="2"/>
    </x:row>
    <x:row r="31" ht="36" customHeight="1">
      <x:c r="A31" s="4" t="n">
        <x:v>45047</x:v>
      </x:c>
      <x:c r="B31" s="32" t="str">
        <x:v>IPI Productos textiles</x:v>
      </x:c>
      <x:c r="C31" s="10" t="n">
        <x:v>60.61020833333333</x:v>
      </x:c>
      <x:c r="D31" s="10" t="n">
        <x:v>59.93705107526882</x:v>
      </x:c>
      <x:c r="E31" s="12" t="n">
        <x:f>IF(AND(ISNUMBER(C31),ISNUMBER(D31),D31&gt;0),C31/D31-1,"n.a.")</x:f>
        <x:v>0.011231070698142442</x:v>
      </x:c>
      <x:c r="F31" s="10" t="n">
        <x:v>97.10378166659221</x:v>
      </x:c>
      <x:c r="G31" s="10" t="n">
        <x:v>96.43956355995194</x:v>
      </x:c>
      <x:c r="H31" s="12" t="n">
        <x:v>0.006887402660500186</x:v>
      </x:c>
      <x:c r="I31" s="12" t="n">
        <x:f>IF(AND(ISNUMBER(F31),ISNUMBER(G31),G31&gt;0),F31/G31-1,"n.a.")</x:f>
        <x:v>0.0068874026605001415</x:v>
      </x:c>
      <x:c r="J31" s="2" t="n">
        <x:f>IF(AND(ISNUMBER(E31),ISNUMBER(H31)),IF(SIGN(E31)=SIGN(H31),1,0),"n.a.")</x:f>
        <x:v>1</x:v>
      </x:c>
      <x:c r="K31" s="2" t="str">
        <x:v>Cuadro 2!V95</x:v>
      </x:c>
      <x:c r="L31" s="2" t="str">
        <x:v>Cuadro 3!V94</x:v>
      </x:c>
      <x:c r="M31" s="2"/>
    </x:row>
    <x:row r="32" ht="36" customHeight="1">
      <x:c r="A32" s="4" t="n">
        <x:v>45078</x:v>
      </x:c>
      <x:c r="B32" s="32" t="str">
        <x:v>IPI Cemento</x:v>
      </x:c>
      <x:c r="C32" s="10" t="n">
        <x:v>162.46503194444446</x:v>
      </x:c>
      <x:c r="D32" s="10" t="n">
        <x:v>168.804925</x:v>
      </x:c>
      <x:c r="E32" s="12" t="n">
        <x:f>IF(AND(ISNUMBER(C32),ISNUMBER(D32),D32&gt;0),C32/D32-1,"n.a.")</x:f>
        <x:v>-0.03755751235075355</x:v>
      </x:c>
      <x:c r="F32" s="10" t="n">
        <x:v>206.44985301559865</x:v>
      </x:c>
      <x:c r="G32" s="10" t="n">
        <x:v>213.9164847183392</x:v>
      </x:c>
      <x:c r="H32" s="12" t="n">
        <x:v>-0.034904424091353976</x:v>
      </x:c>
      <x:c r="I32" s="12" t="n">
        <x:f>IF(AND(ISNUMBER(F32),ISNUMBER(G32),G32&gt;0),F32/G32-1,"n.a.")</x:f>
        <x:v>-0.03490442409135397</x:v>
      </x:c>
      <x:c r="J32" s="2" t="n">
        <x:f>IF(AND(ISNUMBER(E32),ISNUMBER(H32)),IF(SIGN(E32)=SIGN(H32),1,0),"n.a.")</x:f>
        <x:v>1</x:v>
      </x:c>
      <x:c r="K32" s="2" t="str">
        <x:v>Cuadro 2!BE96</x:v>
      </x:c>
      <x:c r="L32" s="2" t="str">
        <x:v>Cuadro 3!BE95</x:v>
      </x:c>
      <x:c r="M32" s="2"/>
    </x:row>
    <x:row r="33" ht="36" customHeight="1">
      <x:c r="A33" s="4" t="n">
        <x:v>45078</x:v>
      </x:c>
      <x:c r="B33" s="32" t="str">
        <x:v>IPI Productos de metal</x:v>
      </x:c>
      <x:c r="C33" s="10" t="n">
        <x:v>51.01157777777778</x:v>
      </x:c>
      <x:c r="D33" s="10" t="n">
        <x:v>57.894641666666665</x:v>
      </x:c>
      <x:c r="E33" s="12" t="n">
        <x:f>IF(AND(ISNUMBER(C33),ISNUMBER(D33),D33&gt;0),C33/D33-1,"n.a.")</x:f>
        <x:v>-0.11888948080063633</x:v>
      </x:c>
      <x:c r="F33" s="10" t="n">
        <x:v>109.76965840954276</x:v>
      </x:c>
      <x:c r="G33" s="10" t="n">
        <x:v>107.69796037698598</x:v>
      </x:c>
      <x:c r="H33" s="12" t="n">
        <x:v>0.019236186324281306</x:v>
      </x:c>
      <x:c r="I33" s="12" t="n">
        <x:f>IF(AND(ISNUMBER(F33),ISNUMBER(G33),G33&gt;0),F33/G33-1,"n.a.")</x:f>
        <x:v>0.019236186324281368</x:v>
      </x:c>
      <x:c r="J33" s="2" t="n">
        <x:f>IF(AND(ISNUMBER(E33),ISNUMBER(H33)),IF(SIGN(E33)=SIGN(H33),1,0),"n.a.")</x:f>
        <x:v>0</x:v>
      </x:c>
      <x:c r="K33" s="2" t="str">
        <x:v>Cuadro 2!BM96</x:v>
      </x:c>
      <x:c r="L33" s="2" t="str">
        <x:v>Cuadro 3!BM95</x:v>
      </x:c>
      <x:c r="M33" s="2"/>
    </x:row>
    <x:row r="34" ht="36" customHeight="1">
      <x:c r="A34" s="4" t="n">
        <x:v>45078</x:v>
      </x:c>
      <x:c r="B34" s="32" t="str">
        <x:v>IPI Productos textiles</x:v>
      </x:c>
      <x:c r="C34" s="10" t="n">
        <x:v>61.439101388888886</x:v>
      </x:c>
      <x:c r="D34" s="10" t="n">
        <x:v>61.996325</x:v>
      </x:c>
      <x:c r="E34" s="12" t="n">
        <x:f>IF(AND(ISNUMBER(C34),ISNUMBER(D34),D34&gt;0),C34/D34-1,"n.a.")</x:f>
        <x:v>-0.008988010355631793</x:v>
      </x:c>
      <x:c r="F34" s="10" t="n">
        <x:v>103.40035400416072</x:v>
      </x:c>
      <x:c r="G34" s="10" t="n">
        <x:v>106.47017643866842</x:v>
      </x:c>
      <x:c r="H34" s="12" t="n">
        <x:v>-0.02883269791776911</x:v>
      </x:c>
      <x:c r="I34" s="12" t="n">
        <x:f>IF(AND(ISNUMBER(F34),ISNUMBER(G34),G34&gt;0),F34/G34-1,"n.a.")</x:f>
        <x:v>-0.0288326979177691</x:v>
      </x:c>
      <x:c r="J34" s="2" t="n">
        <x:f>IF(AND(ISNUMBER(E34),ISNUMBER(H34)),IF(SIGN(E34)=SIGN(H34),1,0),"n.a.")</x:f>
        <x:v>1</x:v>
      </x:c>
      <x:c r="K34" s="2" t="str">
        <x:v>Cuadro 2!V96</x:v>
      </x:c>
      <x:c r="L34" s="2" t="str">
        <x:v>Cuadro 3!V95</x:v>
      </x:c>
      <x:c r="M34" s="2"/>
    </x:row>
    <x:row r="35" ht="36" customHeight="1">
      <x:c r="A35" s="4" t="n">
        <x:v>45108</x:v>
      </x:c>
      <x:c r="B35" s="32" t="str">
        <x:v>IPI Cemento</x:v>
      </x:c>
      <x:c r="C35" s="10" t="n">
        <x:v>154.11805913978495</x:v>
      </x:c>
      <x:c r="D35" s="10" t="n">
        <x:v>173.9611061827957</x:v>
      </x:c>
      <x:c r="E35" s="12" t="n">
        <x:f>IF(AND(ISNUMBER(C35),ISNUMBER(D35),D35&gt;0),C35/D35-1,"n.a.")</x:f>
        <x:v>-0.11406599715547905</x:v>
      </x:c>
      <x:c r="F35" s="10" t="n">
        <x:v>208.1349010603504</x:v>
      </x:c>
      <x:c r="G35" s="10" t="n">
        <x:v>225.580578391814</x:v>
      </x:c>
      <x:c r="H35" s="12" t="n">
        <x:v>-0.07733678783801139</x:v>
      </x:c>
      <x:c r="I35" s="12" t="n">
        <x:f>IF(AND(ISNUMBER(F35),ISNUMBER(G35),G35&gt;0),F35/G35-1,"n.a.")</x:f>
        <x:v>-0.07733678783801134</x:v>
      </x:c>
      <x:c r="J35" s="2" t="n">
        <x:f>IF(AND(ISNUMBER(E35),ISNUMBER(H35)),IF(SIGN(E35)=SIGN(H35),1,0),"n.a.")</x:f>
        <x:v>1</x:v>
      </x:c>
      <x:c r="K35" s="2" t="str">
        <x:v>Cuadro 2!BE97</x:v>
      </x:c>
      <x:c r="L35" s="2" t="str">
        <x:v>Cuadro 3!BE96</x:v>
      </x:c>
      <x:c r="M35" s="2"/>
    </x:row>
    <x:row r="36" ht="36" customHeight="1">
      <x:c r="A36" s="4" t="n">
        <x:v>45108</x:v>
      </x:c>
      <x:c r="B36" s="32" t="str">
        <x:v>IPI Productos de metal</x:v>
      </x:c>
      <x:c r="C36" s="10" t="n">
        <x:v>45.64464516129032</x:v>
      </x:c>
      <x:c r="D36" s="10" t="n">
        <x:v>61.267581989247304</x:v>
      </x:c>
      <x:c r="E36" s="12" t="n">
        <x:f>IF(AND(ISNUMBER(C36),ISNUMBER(D36),D36&gt;0),C36/D36-1,"n.a.")</x:f>
        <x:v>-0.254995159278505</x:v>
      </x:c>
      <x:c r="F36" s="10" t="n">
        <x:v>110.7719501345878</x:v>
      </x:c>
      <x:c r="G36" s="10" t="n">
        <x:v>116.03191667259463</x:v>
      </x:c>
      <x:c r="H36" s="12" t="n">
        <x:v>-0.045332066286975135</x:v>
      </x:c>
      <x:c r="I36" s="12" t="n">
        <x:f>IF(AND(ISNUMBER(F36),ISNUMBER(G36),G36&gt;0),F36/G36-1,"n.a.")</x:f>
        <x:v>-0.04533206628697517</x:v>
      </x:c>
      <x:c r="J36" s="2" t="n">
        <x:f>IF(AND(ISNUMBER(E36),ISNUMBER(H36)),IF(SIGN(E36)=SIGN(H36),1,0),"n.a.")</x:f>
        <x:v>1</x:v>
      </x:c>
      <x:c r="K36" s="2" t="str">
        <x:v>Cuadro 2!BM97</x:v>
      </x:c>
      <x:c r="L36" s="2" t="str">
        <x:v>Cuadro 3!BM96</x:v>
      </x:c>
      <x:c r="M36" s="2"/>
    </x:row>
    <x:row r="37" ht="36" customHeight="1">
      <x:c r="A37" s="4" t="n">
        <x:v>45108</x:v>
      </x:c>
      <x:c r="B37" s="32" t="str">
        <x:v>IPI Productos textiles</x:v>
      </x:c>
      <x:c r="C37" s="10" t="n">
        <x:v>63.15044892473118</x:v>
      </x:c>
      <x:c r="D37" s="10" t="n">
        <x:v>62.80558064516129</x:v>
      </x:c>
      <x:c r="E37" s="12" t="n">
        <x:f>IF(AND(ISNUMBER(C37),ISNUMBER(D37),D37&gt;0),C37/D37-1,"n.a.")</x:f>
        <x:v>0.005491045159160768</x:v>
      </x:c>
      <x:c r="F37" s="10" t="n">
        <x:v>110.73726097182463</x:v>
      </x:c>
      <x:c r="G37" s="10" t="n">
        <x:v>106.36791478147643</x:v>
      </x:c>
      <x:c r="H37" s="12" t="n">
        <x:v>0.04107767083076368</x:v>
      </x:c>
      <x:c r="I37" s="12" t="n">
        <x:f>IF(AND(ISNUMBER(F37),ISNUMBER(G37),G37&gt;0),F37/G37-1,"n.a.")</x:f>
        <x:v>0.041077670830763635</x:v>
      </x:c>
      <x:c r="J37" s="2" t="n">
        <x:f>IF(AND(ISNUMBER(E37),ISNUMBER(H37)),IF(SIGN(E37)=SIGN(H37),1,0),"n.a.")</x:f>
        <x:v>1</x:v>
      </x:c>
      <x:c r="K37" s="2" t="str">
        <x:v>Cuadro 2!V97</x:v>
      </x:c>
      <x:c r="L37" s="2" t="str">
        <x:v>Cuadro 3!V96</x:v>
      </x:c>
      <x:c r="M37" s="2"/>
    </x:row>
    <x:row r="38" ht="36" customHeight="1">
      <x:c r="A38" s="4" t="n">
        <x:v>45139</x:v>
      </x:c>
      <x:c r="B38" s="32" t="str">
        <x:v>IPI Cemento</x:v>
      </x:c>
      <x:c r="C38" s="10" t="n">
        <x:v>171.2518185483871</x:v>
      </x:c>
      <x:c r="D38" s="10" t="n">
        <x:v>199.46865725806452</x:v>
      </x:c>
      <x:c r="E38" s="12" t="n">
        <x:f>IF(AND(ISNUMBER(C38),ISNUMBER(D38),D38&gt;0),C38/D38-1,"n.a.")</x:f>
        <x:v>-0.1414600123024422</x:v>
      </x:c>
      <x:c r="F38" s="10" t="n">
        <x:v>229.03509957123887</x:v>
      </x:c>
      <x:c r="G38" s="10" t="n">
        <x:v>230.5580130683004</x:v>
      </x:c>
      <x:c r="H38" s="12" t="n">
        <x:v>-0.006605337532165407</x:v>
      </x:c>
      <x:c r="I38" s="12" t="n">
        <x:f>IF(AND(ISNUMBER(F38),ISNUMBER(G38),G38&gt;0),F38/G38-1,"n.a.")</x:f>
        <x:v>-0.006605337532165412</x:v>
      </x:c>
      <x:c r="J38" s="2" t="n">
        <x:f>IF(AND(ISNUMBER(E38),ISNUMBER(H38)),IF(SIGN(E38)=SIGN(H38),1,0),"n.a.")</x:f>
        <x:v>1</x:v>
      </x:c>
      <x:c r="K38" s="2" t="str">
        <x:v>Cuadro 2!BE98</x:v>
      </x:c>
      <x:c r="L38" s="2" t="str">
        <x:v>Cuadro 3!BE97</x:v>
      </x:c>
      <x:c r="M38" s="2"/>
    </x:row>
    <x:row r="39" ht="36" customHeight="1">
      <x:c r="A39" s="4" t="n">
        <x:v>45139</x:v>
      </x:c>
      <x:c r="B39" s="32" t="str">
        <x:v>IPI Productos de metal</x:v>
      </x:c>
      <x:c r="C39" s="10" t="n">
        <x:v>50.94696774193548</x:v>
      </x:c>
      <x:c r="D39" s="10" t="n">
        <x:v>66.19231317204301</x:v>
      </x:c>
      <x:c r="E39" s="12" t="n">
        <x:f>IF(AND(ISNUMBER(C39),ISNUMBER(D39),D39&gt;0),C39/D39-1,"n.a.")</x:f>
        <x:v>-0.23031897058020567</x:v>
      </x:c>
      <x:c r="F39" s="10" t="n">
        <x:v>122.65979746008826</x:v>
      </x:c>
      <x:c r="G39" s="10" t="n">
        <x:v>122.40248370085261</x:v>
      </x:c>
      <x:c r="H39" s="12" t="n">
        <x:v>0.002102193938029302</x:v>
      </x:c>
      <x:c r="I39" s="12" t="n">
        <x:f>IF(AND(ISNUMBER(F39),ISNUMBER(G39),G39&gt;0),F39/G39-1,"n.a.")</x:f>
        <x:v>0.00210219393802924</x:v>
      </x:c>
      <x:c r="J39" s="2" t="n">
        <x:f>IF(AND(ISNUMBER(E39),ISNUMBER(H39)),IF(SIGN(E39)=SIGN(H39),1,0),"n.a.")</x:f>
        <x:v>0</x:v>
      </x:c>
      <x:c r="K39" s="2" t="str">
        <x:v>Cuadro 2!BM98</x:v>
      </x:c>
      <x:c r="L39" s="2" t="str">
        <x:v>Cuadro 3!BM97</x:v>
      </x:c>
      <x:c r="M39" s="2"/>
    </x:row>
    <x:row r="40" ht="36" customHeight="1">
      <x:c r="A40" s="4" t="n">
        <x:v>45139</x:v>
      </x:c>
      <x:c r="B40" s="32" t="str">
        <x:v>IPI Productos textiles</x:v>
      </x:c>
      <x:c r="C40" s="10" t="n">
        <x:v>64.08151747311827</x:v>
      </x:c>
      <x:c r="D40" s="10" t="n">
        <x:v>64.61975268817204</x:v>
      </x:c>
      <x:c r="E40" s="12" t="n">
        <x:f>IF(AND(ISNUMBER(C40),ISNUMBER(D40),D40&gt;0),C40/D40-1,"n.a.")</x:f>
        <x:v>-0.008329267641290272</x:v>
      </x:c>
      <x:c r="F40" s="10" t="n">
        <x:v>104.98999963216949</x:v>
      </x:c>
      <x:c r="G40" s="10" t="n">
        <x:v>110.65754545207405</x:v>
      </x:c>
      <x:c r="H40" s="12" t="n">
        <x:v>-0.05121698476819361</x:v>
      </x:c>
      <x:c r="I40" s="12" t="n">
        <x:f>IF(AND(ISNUMBER(F40),ISNUMBER(G40),G40&gt;0),F40/G40-1,"n.a.")</x:f>
        <x:v>-0.051216984768193585</x:v>
      </x:c>
      <x:c r="J40" s="2" t="n">
        <x:f>IF(AND(ISNUMBER(E40),ISNUMBER(H40)),IF(SIGN(E40)=SIGN(H40),1,0),"n.a.")</x:f>
        <x:v>1</x:v>
      </x:c>
      <x:c r="K40" s="2" t="str">
        <x:v>Cuadro 2!V98</x:v>
      </x:c>
      <x:c r="L40" s="2" t="str">
        <x:v>Cuadro 3!V97</x:v>
      </x:c>
      <x:c r="M40" s="2"/>
    </x:row>
    <x:row r="41" ht="36" customHeight="1">
      <x:c r="A41" s="4" t="n">
        <x:v>45170</x:v>
      </x:c>
      <x:c r="B41" s="32" t="str">
        <x:v>IPI Cemento</x:v>
      </x:c>
      <x:c r="C41" s="10" t="n">
        <x:v>186.83173472222222</x:v>
      </x:c>
      <x:c r="D41" s="10" t="n">
        <x:v>185.78671944444443</x:v>
      </x:c>
      <x:c r="E41" s="12" t="n">
        <x:f>IF(AND(ISNUMBER(C41),ISNUMBER(D41),D41&gt;0),C41/D41-1,"n.a.")</x:f>
        <x:v>0.005624811509147065</x:v>
      </x:c>
      <x:c r="F41" s="10" t="n">
        <x:v>217.43240596316156</x:v>
      </x:c>
      <x:c r="G41" s="10" t="n">
        <x:v>232.97755939536927</x:v>
      </x:c>
      <x:c r="H41" s="12" t="n">
        <x:v>-0.0667238229834281</x:v>
      </x:c>
      <x:c r="I41" s="12" t="n">
        <x:f>IF(AND(ISNUMBER(F41),ISNUMBER(G41),G41&gt;0),F41/G41-1,"n.a.")</x:f>
        <x:v>-0.06672382298342805</x:v>
      </x:c>
      <x:c r="J41" s="2" t="n">
        <x:f>IF(AND(ISNUMBER(E41),ISNUMBER(H41)),IF(SIGN(E41)=SIGN(H41),1,0),"n.a.")</x:f>
        <x:v>0</x:v>
      </x:c>
      <x:c r="K41" s="2" t="str">
        <x:v>Cuadro 2!BE99</x:v>
      </x:c>
      <x:c r="L41" s="2" t="str">
        <x:v>Cuadro 3!BE98</x:v>
      </x:c>
      <x:c r="M41" s="2"/>
    </x:row>
    <x:row r="42" ht="36" customHeight="1">
      <x:c r="A42" s="4" t="n">
        <x:v>45170</x:v>
      </x:c>
      <x:c r="B42" s="32" t="str">
        <x:v>IPI Productos de metal</x:v>
      </x:c>
      <x:c r="C42" s="10" t="n">
        <x:v>51.78169305555556</x:v>
      </x:c>
      <x:c r="D42" s="10" t="n">
        <x:v>64.4261625</x:v>
      </x:c>
      <x:c r="E42" s="12" t="n">
        <x:f>IF(AND(ISNUMBER(C42),ISNUMBER(D42),D42&gt;0),C42/D42-1,"n.a.")</x:f>
        <x:v>-0.19626296140864274</x:v>
      </x:c>
      <x:c r="F42" s="10" t="n">
        <x:v>116.64554475400425</x:v>
      </x:c>
      <x:c r="G42" s="10" t="n">
        <x:v>120.78961589728965</x:v>
      </x:c>
      <x:c r="H42" s="12" t="n">
        <x:v>-0.03430817386495548</x:v>
      </x:c>
      <x:c r="I42" s="12" t="n">
        <x:f>IF(AND(ISNUMBER(F42),ISNUMBER(G42),G42&gt;0),F42/G42-1,"n.a.")</x:f>
        <x:v>-0.03430817386495544</x:v>
      </x:c>
      <x:c r="J42" s="2" t="n">
        <x:f>IF(AND(ISNUMBER(E42),ISNUMBER(H42)),IF(SIGN(E42)=SIGN(H42),1,0),"n.a.")</x:f>
        <x:v>1</x:v>
      </x:c>
      <x:c r="K42" s="2" t="str">
        <x:v>Cuadro 2!BM99</x:v>
      </x:c>
      <x:c r="L42" s="2" t="str">
        <x:v>Cuadro 3!BM98</x:v>
      </x:c>
      <x:c r="M42" s="2"/>
    </x:row>
    <x:row r="43" ht="36" customHeight="1">
      <x:c r="A43" s="4" t="n">
        <x:v>45170</x:v>
      </x:c>
      <x:c r="B43" s="32" t="str">
        <x:v>IPI Productos textiles</x:v>
      </x:c>
      <x:c r="C43" s="10" t="n">
        <x:v>65.2964375</x:v>
      </x:c>
      <x:c r="D43" s="10" t="n">
        <x:v>64.808925</x:v>
      </x:c>
      <x:c r="E43" s="12" t="n">
        <x:f>IF(AND(ISNUMBER(C43),ISNUMBER(D43),D43&gt;0),C43/D43-1,"n.a.")</x:f>
        <x:v>0.007522304991172124</x:v>
      </x:c>
      <x:c r="F43" s="10" t="n">
        <x:v>100.87145461323864</x:v>
      </x:c>
      <x:c r="G43" s="10" t="n">
        <x:v>99.03624441959795</x:v>
      </x:c>
      <x:c r="H43" s="12" t="n">
        <x:v>0.018530692519652236</x:v>
      </x:c>
      <x:c r="I43" s="12" t="n">
        <x:f>IF(AND(ISNUMBER(F43),ISNUMBER(G43),G43&gt;0),F43/G43-1,"n.a.")</x:f>
        <x:v>0.018530692519652225</x:v>
      </x:c>
      <x:c r="J43" s="2" t="n">
        <x:f>IF(AND(ISNUMBER(E43),ISNUMBER(H43)),IF(SIGN(E43)=SIGN(H43),1,0),"n.a.")</x:f>
        <x:v>1</x:v>
      </x:c>
      <x:c r="K43" s="2" t="str">
        <x:v>Cuadro 2!V99</x:v>
      </x:c>
      <x:c r="L43" s="2" t="str">
        <x:v>Cuadro 3!V98</x:v>
      </x:c>
      <x:c r="M43" s="2"/>
    </x:row>
    <x:row r="44" ht="36" customHeight="1">
      <x:c r="A44" s="4" t="n">
        <x:v>45200</x:v>
      </x:c>
      <x:c r="B44" s="32" t="str">
        <x:v>IPI Cemento</x:v>
      </x:c>
      <x:c r="C44" s="10" t="n">
        <x:v>188.02799731182796</x:v>
      </x:c>
      <x:c r="D44" s="10" t="n">
        <x:v>195.07546908602149</x:v>
      </x:c>
      <x:c r="E44" s="12" t="n">
        <x:f>IF(AND(ISNUMBER(C44),ISNUMBER(D44),D44&gt;0),C44/D44-1,"n.a.")</x:f>
        <x:v>-0.03612689902637545</x:v>
      </x:c>
      <x:c r="F44" s="10" t="n">
        <x:v>218.22120492831462</x:v>
      </x:c>
      <x:c r="G44" s="10" t="n">
        <x:v>223.04820944457725</x:v>
      </x:c>
      <x:c r="H44" s="12" t="n">
        <x:v>-0.021641081666975027</x:v>
      </x:c>
      <x:c r="I44" s="12" t="n">
        <x:f>IF(AND(ISNUMBER(F44),ISNUMBER(G44),G44&gt;0),F44/G44-1,"n.a.")</x:f>
        <x:v>-0.02164108166697498</x:v>
      </x:c>
      <x:c r="J44" s="2" t="n">
        <x:f>IF(AND(ISNUMBER(E44),ISNUMBER(H44)),IF(SIGN(E44)=SIGN(H44),1,0),"n.a.")</x:f>
        <x:v>1</x:v>
      </x:c>
      <x:c r="K44" s="2" t="str">
        <x:v>Cuadro 2!BE100</x:v>
      </x:c>
      <x:c r="L44" s="2" t="str">
        <x:v>Cuadro 3!BE99</x:v>
      </x:c>
      <x:c r="M44" s="2"/>
    </x:row>
    <x:row r="45" ht="36" customHeight="1">
      <x:c r="A45" s="4" t="n">
        <x:v>45200</x:v>
      </x:c>
      <x:c r="B45" s="32" t="str">
        <x:v>IPI Productos de metal</x:v>
      </x:c>
      <x:c r="C45" s="10" t="n">
        <x:v>50.29255510752688</x:v>
      </x:c>
      <x:c r="D45" s="10" t="n">
        <x:v>63.52213440860215</x:v>
      </x:c>
      <x:c r="E45" s="12" t="n">
        <x:f>IF(AND(ISNUMBER(C45),ISNUMBER(D45),D45&gt;0),C45/D45-1,"n.a.")</x:f>
        <x:v>-0.20826723510228462</x:v>
      </x:c>
      <x:c r="F45" s="10" t="n">
        <x:v>113.62500776658162</x:v>
      </x:c>
      <x:c r="G45" s="10" t="n">
        <x:v>114.18017665385335</x:v>
      </x:c>
      <x:c r="H45" s="12" t="n">
        <x:v>-0.0048622177994589325</x:v>
      </x:c>
      <x:c r="I45" s="12" t="n">
        <x:f>IF(AND(ISNUMBER(F45),ISNUMBER(G45),G45&gt;0),F45/G45-1,"n.a.")</x:f>
        <x:v>-0.0048622177994589455</x:v>
      </x:c>
      <x:c r="J45" s="2" t="n">
        <x:f>IF(AND(ISNUMBER(E45),ISNUMBER(H45)),IF(SIGN(E45)=SIGN(H45),1,0),"n.a.")</x:f>
        <x:v>1</x:v>
      </x:c>
      <x:c r="K45" s="2" t="str">
        <x:v>Cuadro 2!BM100</x:v>
      </x:c>
      <x:c r="L45" s="2" t="str">
        <x:v>Cuadro 3!BM99</x:v>
      </x:c>
      <x:c r="M45" s="2"/>
    </x:row>
    <x:row r="46" ht="36" customHeight="1">
      <x:c r="A46" s="4" t="n">
        <x:v>45200</x:v>
      </x:c>
      <x:c r="B46" s="32" t="str">
        <x:v>IPI Productos textiles</x:v>
      </x:c>
      <x:c r="C46" s="10" t="n">
        <x:v>62.87235080645161</x:v>
      </x:c>
      <x:c r="D46" s="10" t="n">
        <x:v>62.25362768817204</x:v>
      </x:c>
      <x:c r="E46" s="12" t="n">
        <x:f>IF(AND(ISNUMBER(C46),ISNUMBER(D46),D46&gt;0),C46/D46-1,"n.a.")</x:f>
        <x:v>0.009938748009654219</x:v>
      </x:c>
      <x:c r="F46" s="10" t="n">
        <x:v>96.50738637579265</x:v>
      </x:c>
      <x:c r="G46" s="10" t="n">
        <x:v>82.24620330085716</x:v>
      </x:c>
      <x:c r="H46" s="12" t="n">
        <x:v>0.17339624812549687</x:v>
      </x:c>
      <x:c r="I46" s="12" t="n">
        <x:f>IF(AND(ISNUMBER(F46),ISNUMBER(G46),G46&gt;0),F46/G46-1,"n.a.")</x:f>
        <x:v>0.17339624812549692</x:v>
      </x:c>
      <x:c r="J46" s="2" t="n">
        <x:f>IF(AND(ISNUMBER(E46),ISNUMBER(H46)),IF(SIGN(E46)=SIGN(H46),1,0),"n.a.")</x:f>
        <x:v>1</x:v>
      </x:c>
      <x:c r="K46" s="2" t="str">
        <x:v>Cuadro 2!V100</x:v>
      </x:c>
      <x:c r="L46" s="2" t="str">
        <x:v>Cuadro 3!V99</x:v>
      </x:c>
      <x:c r="M46" s="2"/>
    </x:row>
    <x:row r="47" ht="36" customHeight="1">
      <x:c r="A47" s="4" t="n">
        <x:v>45231</x:v>
      </x:c>
      <x:c r="B47" s="32" t="str">
        <x:v>IPI Cemento</x:v>
      </x:c>
      <x:c r="C47" s="10" t="n">
        <x:v>181.767525</x:v>
      </x:c>
      <x:c r="D47" s="10" t="n">
        <x:v>184.2408125</x:v>
      </x:c>
      <x:c r="E47" s="12" t="n">
        <x:f>IF(AND(ISNUMBER(C47),ISNUMBER(D47),D47&gt;0),C47/D47-1,"n.a.")</x:f>
        <x:v>-0.013424210773060885</x:v>
      </x:c>
      <x:c r="F47" s="10" t="n">
        <x:v>198.67890723873194</x:v>
      </x:c>
      <x:c r="G47" s="10" t="n">
        <x:v>217.06841870047722</x:v>
      </x:c>
      <x:c r="H47" s="12" t="n">
        <x:v>-0.08471758154335716</x:v>
      </x:c>
      <x:c r="I47" s="12" t="n">
        <x:f>IF(AND(ISNUMBER(F47),ISNUMBER(G47),G47&gt;0),F47/G47-1,"n.a.")</x:f>
        <x:v>-0.08471758154335718</x:v>
      </x:c>
      <x:c r="J47" s="2" t="n">
        <x:f>IF(AND(ISNUMBER(E47),ISNUMBER(H47)),IF(SIGN(E47)=SIGN(H47),1,0),"n.a.")</x:f>
        <x:v>1</x:v>
      </x:c>
      <x:c r="K47" s="2" t="str">
        <x:v>Cuadro 2!BE101</x:v>
      </x:c>
      <x:c r="L47" s="2" t="str">
        <x:v>Cuadro 3!BE100</x:v>
      </x:c>
      <x:c r="M47" s="2"/>
    </x:row>
    <x:row r="48" ht="36" customHeight="1">
      <x:c r="A48" s="4" t="n">
        <x:v>45231</x:v>
      </x:c>
      <x:c r="B48" s="32" t="str">
        <x:v>IPI Productos de metal</x:v>
      </x:c>
      <x:c r="C48" s="10" t="n">
        <x:v>49.571956944444445</x:v>
      </x:c>
      <x:c r="D48" s="10" t="n">
        <x:v>54.11564722222222</x:v>
      </x:c>
      <x:c r="E48" s="12" t="n">
        <x:f>IF(AND(ISNUMBER(C48),ISNUMBER(D48),D48&gt;0),C48/D48-1,"n.a.")</x:f>
        <x:v>-0.08396259697531516</x:v>
      </x:c>
      <x:c r="F48" s="10" t="n">
        <x:v>111.9173466017872</x:v>
      </x:c>
      <x:c r="G48" s="10" t="n">
        <x:v>119.0984866493247</x:v>
      </x:c>
      <x:c r="H48" s="12" t="n">
        <x:v>-0.06029581273086819</x:v>
      </x:c>
      <x:c r="I48" s="12" t="n">
        <x:f>IF(AND(ISNUMBER(F48),ISNUMBER(G48),G48&gt;0),F48/G48-1,"n.a.")</x:f>
        <x:v>-0.06029581273086826</x:v>
      </x:c>
      <x:c r="J48" s="2" t="n">
        <x:f>IF(AND(ISNUMBER(E48),ISNUMBER(H48)),IF(SIGN(E48)=SIGN(H48),1,0),"n.a.")</x:f>
        <x:v>1</x:v>
      </x:c>
      <x:c r="K48" s="2" t="str">
        <x:v>Cuadro 2!BM101</x:v>
      </x:c>
      <x:c r="L48" s="2" t="str">
        <x:v>Cuadro 3!BM100</x:v>
      </x:c>
      <x:c r="M48" s="2"/>
    </x:row>
    <x:row r="49" ht="36" customHeight="1">
      <x:c r="A49" s="4" t="n">
        <x:v>45231</x:v>
      </x:c>
      <x:c r="B49" s="32" t="str">
        <x:v>IPI Productos textiles</x:v>
      </x:c>
      <x:c r="C49" s="10" t="n">
        <x:v>66.27253750000001</x:v>
      </x:c>
      <x:c r="D49" s="10" t="n">
        <x:v>65.30156111111111</x:v>
      </x:c>
      <x:c r="E49" s="12" t="n">
        <x:f>IF(AND(ISNUMBER(C49),ISNUMBER(D49),D49&gt;0),C49/D49-1,"n.a.")</x:f>
        <x:v>0.014869114495391189</x:v>
      </x:c>
      <x:c r="F49" s="10" t="n">
        <x:v>88.58874874157614</x:v>
      </x:c>
      <x:c r="G49" s="10" t="n">
        <x:v>83.02781894482924</x:v>
      </x:c>
      <x:c r="H49" s="12" t="n">
        <x:v>0.06697670572849887</x:v>
      </x:c>
      <x:c r="I49" s="12" t="n">
        <x:f>IF(AND(ISNUMBER(F49),ISNUMBER(G49),G49&gt;0),F49/G49-1,"n.a.")</x:f>
        <x:v>0.0669767057284989</x:v>
      </x:c>
      <x:c r="J49" s="2" t="n">
        <x:f>IF(AND(ISNUMBER(E49),ISNUMBER(H49)),IF(SIGN(E49)=SIGN(H49),1,0),"n.a.")</x:f>
        <x:v>1</x:v>
      </x:c>
      <x:c r="K49" s="2" t="str">
        <x:v>Cuadro 2!V101</x:v>
      </x:c>
      <x:c r="L49" s="2" t="str">
        <x:v>Cuadro 3!V100</x:v>
      </x:c>
      <x:c r="M49" s="2"/>
    </x:row>
    <x:row r="50" ht="36" customHeight="1">
      <x:c r="A50" s="4" t="n">
        <x:v>45261</x:v>
      </x:c>
      <x:c r="B50" s="32" t="str">
        <x:v>IPI Cemento</x:v>
      </x:c>
      <x:c r="C50" s="10" t="n">
        <x:v>170.31919086021506</x:v>
      </x:c>
      <x:c r="D50" s="10" t="n">
        <x:v>177.185125</x:v>
      </x:c>
      <x:c r="E50" s="12" t="n">
        <x:f>IF(AND(ISNUMBER(C50),ISNUMBER(D50),D50&gt;0),C50/D50-1,"n.a.")</x:f>
        <x:v>-0.03875005951986621</x:v>
      </x:c>
      <x:c r="F50" s="10" t="n">
        <x:v>164.42304325266846</x:v>
      </x:c>
      <x:c r="G50" s="10" t="n">
        <x:v>188.48649638275265</x:v>
      </x:c>
      <x:c r="H50" s="12" t="n">
        <x:v>-0.12766672197683276</x:v>
      </x:c>
      <x:c r="I50" s="12" t="n">
        <x:f>IF(AND(ISNUMBER(F50),ISNUMBER(G50),G50&gt;0),F50/G50-1,"n.a.")</x:f>
        <x:v>-0.12766672197683282</x:v>
      </x:c>
      <x:c r="J50" s="2" t="n">
        <x:f>IF(AND(ISNUMBER(E50),ISNUMBER(H50)),IF(SIGN(E50)=SIGN(H50),1,0),"n.a.")</x:f>
        <x:v>1</x:v>
      </x:c>
      <x:c r="K50" s="2" t="str">
        <x:v>Cuadro 2!BE102</x:v>
      </x:c>
      <x:c r="L50" s="2" t="str">
        <x:v>Cuadro 3!BE101</x:v>
      </x:c>
      <x:c r="M50" s="2"/>
    </x:row>
    <x:row r="51" ht="36" customHeight="1">
      <x:c r="A51" s="4" t="n">
        <x:v>45261</x:v>
      </x:c>
      <x:c r="B51" s="32" t="str">
        <x:v>IPI Productos de metal</x:v>
      </x:c>
      <x:c r="C51" s="10" t="n">
        <x:v>40.546857526881716</x:v>
      </x:c>
      <x:c r="D51" s="10" t="n">
        <x:v>45.46657795698925</x:v>
      </x:c>
      <x:c r="E51" s="12" t="n">
        <x:f>IF(AND(ISNUMBER(C51),ISNUMBER(D51),D51&gt;0),C51/D51-1,"n.a.")</x:f>
        <x:v>-0.10820520591546434</x:v>
      </x:c>
      <x:c r="F51" s="10" t="n">
        <x:v>85.10840697693219</x:v>
      </x:c>
      <x:c r="G51" s="10" t="n">
        <x:v>102.41559330169545</x:v>
      </x:c>
      <x:c r="H51" s="12" t="n">
        <x:v>-0.16898975797347404</x:v>
      </x:c>
      <x:c r="I51" s="12" t="n">
        <x:f>IF(AND(ISNUMBER(F51),ISNUMBER(G51),G51&gt;0),F51/G51-1,"n.a.")</x:f>
        <x:v>-0.16898975797347404</x:v>
      </x:c>
      <x:c r="J51" s="2" t="n">
        <x:f>IF(AND(ISNUMBER(E51),ISNUMBER(H51)),IF(SIGN(E51)=SIGN(H51),1,0),"n.a.")</x:f>
        <x:v>1</x:v>
      </x:c>
      <x:c r="K51" s="2" t="str">
        <x:v>Cuadro 2!BM102</x:v>
      </x:c>
      <x:c r="L51" s="2" t="str">
        <x:v>Cuadro 3!BM101</x:v>
      </x:c>
      <x:c r="M51" s="2"/>
    </x:row>
    <x:row r="52" ht="36" customHeight="1">
      <x:c r="A52" s="4" t="n">
        <x:v>45261</x:v>
      </x:c>
      <x:c r="B52" s="32" t="str">
        <x:v>IPI Productos textiles</x:v>
      </x:c>
      <x:c r="C52" s="10" t="n">
        <x:v>50.00543951612903</x:v>
      </x:c>
      <x:c r="D52" s="10" t="n">
        <x:v>48.548680107526884</x:v>
      </x:c>
      <x:c r="E52" s="12" t="n">
        <x:f>IF(AND(ISNUMBER(C52),ISNUMBER(D52),D52&gt;0),C52/D52-1,"n.a.")</x:f>
        <x:v>0.030006158877557088</x:v>
      </x:c>
      <x:c r="F52" s="10" t="n">
        <x:v>61.7874851576548</x:v>
      </x:c>
      <x:c r="G52" s="10" t="n">
        <x:v>61.450160789147475</x:v>
      </x:c>
      <x:c r="H52" s="12" t="n">
        <x:v>0.00548939765454449</x:v>
      </x:c>
      <x:c r="I52" s="12" t="n">
        <x:f>IF(AND(ISNUMBER(F52),ISNUMBER(G52),G52&gt;0),F52/G52-1,"n.a.")</x:f>
        <x:v>0.005489397654544481</x:v>
      </x:c>
      <x:c r="J52" s="2" t="n">
        <x:f>IF(AND(ISNUMBER(E52),ISNUMBER(H52)),IF(SIGN(E52)=SIGN(H52),1,0),"n.a.")</x:f>
        <x:v>1</x:v>
      </x:c>
      <x:c r="K52" s="2" t="str">
        <x:v>Cuadro 2!V102</x:v>
      </x:c>
      <x:c r="L52" s="2" t="str">
        <x:v>Cuadro 3!V101</x:v>
      </x:c>
      <x:c r="M52" s="2"/>
    </x:row>
    <x:row r="53" ht="36" customHeight="1">
      <x:c r="A53" s="4" t="n">
        <x:v>45292</x:v>
      </x:c>
      <x:c r="B53" s="32" t="str">
        <x:v>IPI Cemento</x:v>
      </x:c>
      <x:c r="C53" s="10" t="n">
        <x:v>133.46189112903227</x:v>
      </x:c>
      <x:c r="D53" s="10" t="n">
        <x:v>155.53374059139784</x:v>
      </x:c>
      <x:c r="E53" s="12" t="n">
        <x:f>IF(AND(ISNUMBER(C53),ISNUMBER(D53),D53&gt;0),C53/D53-1,"n.a.")</x:f>
        <x:v>-0.14191036220462583</x:v>
      </x:c>
      <x:c r="F53" s="10" t="n">
        <x:v>138.03559764729022</x:v>
      </x:c>
      <x:c r="G53" s="10" t="n">
        <x:v>179.57082313663196</x:v>
      </x:c>
      <x:c r="H53" s="12" t="n">
        <x:v>-0.23130275154855412</x:v>
      </x:c>
      <x:c r="I53" s="12" t="n">
        <x:f>IF(AND(ISNUMBER(F53),ISNUMBER(G53),G53&gt;0),F53/G53-1,"n.a.")</x:f>
        <x:v>-0.23130275154855418</x:v>
      </x:c>
      <x:c r="J53" s="2" t="n">
        <x:f>IF(AND(ISNUMBER(E53),ISNUMBER(H53)),IF(SIGN(E53)=SIGN(H53),1,0),"n.a.")</x:f>
        <x:v>1</x:v>
      </x:c>
      <x:c r="K53" s="2" t="str">
        <x:v>Cuadro 2!BE103</x:v>
      </x:c>
      <x:c r="L53" s="2" t="str">
        <x:v>Cuadro 3!BE102</x:v>
      </x:c>
      <x:c r="M53" s="2"/>
    </x:row>
    <x:row r="54" ht="36" customHeight="1">
      <x:c r="A54" s="4" t="n">
        <x:v>45292</x:v>
      </x:c>
      <x:c r="B54" s="32" t="str">
        <x:v>IPI Productos de metal</x:v>
      </x:c>
      <x:c r="C54" s="10" t="n">
        <x:v>39.070408602150536</x:v>
      </x:c>
      <x:c r="D54" s="10" t="n">
        <x:v>44.24393548387097</x:v>
      </x:c>
      <x:c r="E54" s="12" t="n">
        <x:f>IF(AND(ISNUMBER(C54),ISNUMBER(D54),D54&gt;0),C54/D54-1,"n.a.")</x:f>
        <x:v>-0.11693188739067828</x:v>
      </x:c>
      <x:c r="F54" s="10" t="n">
        <x:v>90.14673554278392</x:v>
      </x:c>
      <x:c r="G54" s="10" t="n">
        <x:v>106.46457982877315</x:v>
      </x:c>
      <x:c r="H54" s="12" t="n">
        <x:v>-0.1532701703442892</x:v>
      </x:c>
      <x:c r="I54" s="12" t="n">
        <x:f>IF(AND(ISNUMBER(F54),ISNUMBER(G54),G54&gt;0),F54/G54-1,"n.a.")</x:f>
        <x:v>-0.15327017034428925</x:v>
      </x:c>
      <x:c r="J54" s="2" t="n">
        <x:f>IF(AND(ISNUMBER(E54),ISNUMBER(H54)),IF(SIGN(E54)=SIGN(H54),1,0),"n.a.")</x:f>
        <x:v>1</x:v>
      </x:c>
      <x:c r="K54" s="2" t="str">
        <x:v>Cuadro 2!BM103</x:v>
      </x:c>
      <x:c r="L54" s="2" t="str">
        <x:v>Cuadro 3!BM102</x:v>
      </x:c>
      <x:c r="M54" s="2"/>
    </x:row>
    <x:row r="55" ht="36" customHeight="1">
      <x:c r="A55" s="4" t="n">
        <x:v>45292</x:v>
      </x:c>
      <x:c r="B55" s="32" t="str">
        <x:v>IPI Productos textiles</x:v>
      </x:c>
      <x:c r="C55" s="10" t="n">
        <x:v>36.94760752688172</x:v>
      </x:c>
      <x:c r="D55" s="10" t="n">
        <x:v>43.68027688172043</x:v>
      </x:c>
      <x:c r="E55" s="12" t="n">
        <x:f>IF(AND(ISNUMBER(C55),ISNUMBER(D55),D55&gt;0),C55/D55-1,"n.a.")</x:f>
        <x:v>-0.15413522613580866</x:v>
      </x:c>
      <x:c r="F55" s="10" t="n">
        <x:v>50.774231607703555</x:v>
      </x:c>
      <x:c r="G55" s="10" t="n">
        <x:v>53.91517122158786</x:v>
      </x:c>
      <x:c r="H55" s="12" t="n">
        <x:v>-0.05825706462055465</x:v>
      </x:c>
      <x:c r="I55" s="12" t="n">
        <x:f>IF(AND(ISNUMBER(F55),ISNUMBER(G55),G55&gt;0),F55/G55-1,"n.a.")</x:f>
        <x:v>-0.05825706462055458</x:v>
      </x:c>
      <x:c r="J55" s="2" t="n">
        <x:f>IF(AND(ISNUMBER(E55),ISNUMBER(H55)),IF(SIGN(E55)=SIGN(H55),1,0),"n.a.")</x:f>
        <x:v>1</x:v>
      </x:c>
      <x:c r="K55" s="2" t="str">
        <x:v>Cuadro 2!V103</x:v>
      </x:c>
      <x:c r="L55" s="2" t="str">
        <x:v>Cuadro 3!V102</x:v>
      </x:c>
      <x:c r="M55" s="2"/>
    </x:row>
    <x:row r="56" ht="36" customHeight="1">
      <x:c r="A56" s="4" t="n">
        <x:v>45323</x:v>
      </x:c>
      <x:c r="B56" s="32" t="str">
        <x:v>IPI Cemento</x:v>
      </x:c>
      <x:c r="C56" s="10" t="n">
        <x:v>151.32458333333335</x:v>
      </x:c>
      <x:c r="D56" s="10" t="n">
        <x:v>173.6812857142857</x:v>
      </x:c>
      <x:c r="E56" s="12" t="n">
        <x:f>IF(AND(ISNUMBER(C56),ISNUMBER(D56),D56&gt;0),C56/D56-1,"n.a.")</x:f>
        <x:v>-0.12872257531378617</x:v>
      </x:c>
      <x:c r="F56" s="10" t="n">
        <x:v>134.5473064318967</x:v>
      </x:c>
      <x:c r="G56" s="10" t="n">
        <x:v>173.85754705139777</x:v>
      </x:c>
      <x:c r="H56" s="12" t="n">
        <x:v>-0.22610603500508233</x:v>
      </x:c>
      <x:c r="I56" s="12" t="n">
        <x:f>IF(AND(ISNUMBER(F56),ISNUMBER(G56),G56&gt;0),F56/G56-1,"n.a.")</x:f>
        <x:v>-0.2261060350050823</x:v>
      </x:c>
      <x:c r="J56" s="2" t="n">
        <x:f>IF(AND(ISNUMBER(E56),ISNUMBER(H56)),IF(SIGN(E56)=SIGN(H56),1,0),"n.a.")</x:f>
        <x:v>1</x:v>
      </x:c>
      <x:c r="K56" s="2" t="str">
        <x:v>Cuadro 2!BE104</x:v>
      </x:c>
      <x:c r="L56" s="2" t="str">
        <x:v>Cuadro 3!BE103</x:v>
      </x:c>
      <x:c r="M56" s="2"/>
    </x:row>
    <x:row r="57" ht="36" customHeight="1">
      <x:c r="A57" s="4" t="n">
        <x:v>45323</x:v>
      </x:c>
      <x:c r="B57" s="32" t="str">
        <x:v>IPI Productos de metal</x:v>
      </x:c>
      <x:c r="C57" s="10" t="n">
        <x:v>41.61290373563218</x:v>
      </x:c>
      <x:c r="D57" s="10" t="n">
        <x:v>43.812755952380954</x:v>
      </x:c>
      <x:c r="E57" s="12" t="n">
        <x:f>IF(AND(ISNUMBER(C57),ISNUMBER(D57),D57&gt;0),C57/D57-1,"n.a.")</x:f>
        <x:v>-0.05021031361596473</x:v>
      </x:c>
      <x:c r="F57" s="10" t="n">
        <x:v>92.03085009663761</x:v>
      </x:c>
      <x:c r="G57" s="10" t="n">
        <x:v>99.1696869425319</x:v>
      </x:c>
      <x:c r="H57" s="12" t="n">
        <x:v>-0.07198607826634756</x:v>
      </x:c>
      <x:c r="I57" s="12" t="n">
        <x:f>IF(AND(ISNUMBER(F57),ISNUMBER(G57),G57&gt;0),F57/G57-1,"n.a.")</x:f>
        <x:v>-0.07198607826634762</x:v>
      </x:c>
      <x:c r="J57" s="2" t="n">
        <x:f>IF(AND(ISNUMBER(E57),ISNUMBER(H57)),IF(SIGN(E57)=SIGN(H57),1,0),"n.a.")</x:f>
        <x:v>1</x:v>
      </x:c>
      <x:c r="K57" s="2" t="str">
        <x:v>Cuadro 2!BM104</x:v>
      </x:c>
      <x:c r="L57" s="2" t="str">
        <x:v>Cuadro 3!BM103</x:v>
      </x:c>
      <x:c r="M57" s="2"/>
    </x:row>
    <x:row r="58" ht="36" customHeight="1">
      <x:c r="A58" s="4" t="n">
        <x:v>45323</x:v>
      </x:c>
      <x:c r="B58" s="32" t="str">
        <x:v>IPI Productos textiles</x:v>
      </x:c>
      <x:c r="C58" s="10" t="n">
        <x:v>61.237347701149424</x:v>
      </x:c>
      <x:c r="D58" s="10" t="n">
        <x:v>64.85231398809523</x:v>
      </x:c>
      <x:c r="E58" s="12" t="n">
        <x:f>IF(AND(ISNUMBER(C58),ISNUMBER(D58),D58&gt;0),C58/D58-1,"n.a.")</x:f>
        <x:v>-0.055741515832563815</x:v>
      </x:c>
      <x:c r="F58" s="10" t="n">
        <x:v>62.671469895953</x:v>
      </x:c>
      <x:c r="G58" s="10" t="n">
        <x:v>68.60858001823475</x:v>
      </x:c>
      <x:c r="H58" s="12" t="n">
        <x:v>-0.08653597145872695</x:v>
      </x:c>
      <x:c r="I58" s="12" t="n">
        <x:f>IF(AND(ISNUMBER(F58),ISNUMBER(G58),G58&gt;0),F58/G58-1,"n.a.")</x:f>
        <x:v>-0.08653597145872693</x:v>
      </x:c>
      <x:c r="J58" s="2" t="n">
        <x:f>IF(AND(ISNUMBER(E58),ISNUMBER(H58)),IF(SIGN(E58)=SIGN(H58),1,0),"n.a.")</x:f>
        <x:v>1</x:v>
      </x:c>
      <x:c r="K58" s="2" t="str">
        <x:v>Cuadro 2!V104</x:v>
      </x:c>
      <x:c r="L58" s="2" t="str">
        <x:v>Cuadro 3!V103</x:v>
      </x:c>
      <x:c r="M58" s="2"/>
    </x:row>
    <x:row r="59" ht="36" customHeight="1">
      <x:c r="A59" s="4" t="n">
        <x:v>45352</x:v>
      </x:c>
      <x:c r="B59" s="32" t="str">
        <x:v>IPI Cemento</x:v>
      </x:c>
      <x:c r="C59" s="10" t="n">
        <x:v>131.9065887096774</x:v>
      </x:c>
      <x:c r="D59" s="10" t="n">
        <x:v>180.8219072580645</x:v>
      </x:c>
      <x:c r="E59" s="12" t="n">
        <x:f>IF(AND(ISNUMBER(C59),ISNUMBER(D59),D59&gt;0),C59/D59-1,"n.a.")</x:f>
        <x:v>-0.2705165501798207</x:v>
      </x:c>
      <x:c r="F59" s="10" t="n">
        <x:v>126.33351268335076</x:v>
      </x:c>
      <x:c r="G59" s="10" t="n">
        <x:v>209.1645034069841</x:v>
      </x:c>
      <x:c r="H59" s="12" t="n">
        <x:v>-0.39600883216051264</x:v>
      </x:c>
      <x:c r="I59" s="12" t="n">
        <x:f>IF(AND(ISNUMBER(F59),ISNUMBER(G59),G59&gt;0),F59/G59-1,"n.a.")</x:f>
        <x:v>-0.39600883216051264</x:v>
      </x:c>
      <x:c r="J59" s="2" t="n">
        <x:f>IF(AND(ISNUMBER(E59),ISNUMBER(H59)),IF(SIGN(E59)=SIGN(H59),1,0),"n.a.")</x:f>
        <x:v>1</x:v>
      </x:c>
      <x:c r="K59" s="2" t="str">
        <x:v>Cuadro 2!BE105</x:v>
      </x:c>
      <x:c r="L59" s="2" t="str">
        <x:v>Cuadro 3!BE104</x:v>
      </x:c>
      <x:c r="M59" s="2"/>
    </x:row>
    <x:row r="60" ht="36" customHeight="1">
      <x:c r="A60" s="4" t="n">
        <x:v>45352</x:v>
      </x:c>
      <x:c r="B60" s="32" t="str">
        <x:v>IPI Productos de metal</x:v>
      </x:c>
      <x:c r="C60" s="10" t="n">
        <x:v>43.05391666666667</x:v>
      </x:c>
      <x:c r="D60" s="10" t="n">
        <x:v>49.636471774193545</x:v>
      </x:c>
      <x:c r="E60" s="12" t="n">
        <x:f>IF(AND(ISNUMBER(C60),ISNUMBER(D60),D60&gt;0),C60/D60-1,"n.a.")</x:f>
        <x:v>-0.13261529017356954</x:v>
      </x:c>
      <x:c r="F60" s="10" t="n">
        <x:v>87.93599377101684</x:v>
      </x:c>
      <x:c r="G60" s="10" t="n">
        <x:v>119.15760107493597</x:v>
      </x:c>
      <x:c r="H60" s="12" t="n">
        <x:v>-0.2620194349522397</x:v>
      </x:c>
      <x:c r="I60" s="12" t="n">
        <x:f>IF(AND(ISNUMBER(F60),ISNUMBER(G60),G60&gt;0),F60/G60-1,"n.a.")</x:f>
        <x:v>-0.2620194349522398</x:v>
      </x:c>
      <x:c r="J60" s="2" t="n">
        <x:f>IF(AND(ISNUMBER(E60),ISNUMBER(H60)),IF(SIGN(E60)=SIGN(H60),1,0),"n.a.")</x:f>
        <x:v>1</x:v>
      </x:c>
      <x:c r="K60" s="2" t="str">
        <x:v>Cuadro 2!BM105</x:v>
      </x:c>
      <x:c r="L60" s="2" t="str">
        <x:v>Cuadro 3!BM104</x:v>
      </x:c>
      <x:c r="M60" s="2"/>
    </x:row>
    <x:row r="61" ht="36" customHeight="1">
      <x:c r="A61" s="4" t="n">
        <x:v>45352</x:v>
      </x:c>
      <x:c r="B61" s="32" t="str">
        <x:v>IPI Productos textiles</x:v>
      </x:c>
      <x:c r="C61" s="10" t="n">
        <x:v>55.346901881720434</x:v>
      </x:c>
      <x:c r="D61" s="10" t="n">
        <x:v>68.00813709677419</x:v>
      </x:c>
      <x:c r="E61" s="12" t="n">
        <x:f>IF(AND(ISNUMBER(C61),ISNUMBER(D61),D61&gt;0),C61/D61-1,"n.a.")</x:f>
        <x:v>-0.1861723575377029</x:v>
      </x:c>
      <x:c r="F61" s="10" t="n">
        <x:v>63.05520593305151</x:v>
      </x:c>
      <x:c r="G61" s="10" t="n">
        <x:v>84.65470766183019</x:v>
      </x:c>
      <x:c r="H61" s="12" t="n">
        <x:v>-0.255148264347709</x:v>
      </x:c>
      <x:c r="I61" s="12" t="n">
        <x:f>IF(AND(ISNUMBER(F61),ISNUMBER(G61),G61&gt;0),F61/G61-1,"n.a.")</x:f>
        <x:v>-0.255148264347709</x:v>
      </x:c>
      <x:c r="J61" s="2" t="n">
        <x:f>IF(AND(ISNUMBER(E61),ISNUMBER(H61)),IF(SIGN(E61)=SIGN(H61),1,0),"n.a.")</x:f>
        <x:v>1</x:v>
      </x:c>
      <x:c r="K61" s="2" t="str">
        <x:v>Cuadro 2!V105</x:v>
      </x:c>
      <x:c r="L61" s="2" t="str">
        <x:v>Cuadro 3!V104</x:v>
      </x:c>
      <x:c r="M61" s="2"/>
    </x:row>
    <x:row r="62" ht="36" customHeight="1">
      <x:c r="A62" s="4" t="n">
        <x:v>45383</x:v>
      </x:c>
      <x:c r="B62" s="32" t="str">
        <x:v>IPI Cemento</x:v>
      </x:c>
      <x:c r="C62" s="10" t="n">
        <x:v>141.21971805555555</x:v>
      </x:c>
      <x:c r="D62" s="10" t="n">
        <x:v>178.35109305555554</x:v>
      </x:c>
      <x:c r="E62" s="12" t="n">
        <x:f>IF(AND(ISNUMBER(C62),ISNUMBER(D62),D62&gt;0),C62/D62-1,"n.a.")</x:f>
        <x:v>-0.2081925844347572</x:v>
      </x:c>
      <x:c r="F62" s="10" t="n">
        <x:v>121.6302676739049</x:v>
      </x:c>
      <x:c r="G62" s="10" t="n">
        <x:v>201.9580544813653</x:v>
      </x:c>
      <x:c r="H62" s="12" t="n">
        <x:v>-0.3977449030876472</x:v>
      </x:c>
      <x:c r="I62" s="12" t="n">
        <x:f>IF(AND(ISNUMBER(F62),ISNUMBER(G62),G62&gt;0),F62/G62-1,"n.a.")</x:f>
        <x:v>-0.3977449030876472</x:v>
      </x:c>
      <x:c r="J62" s="2" t="n">
        <x:f>IF(AND(ISNUMBER(E62),ISNUMBER(H62)),IF(SIGN(E62)=SIGN(H62),1,0),"n.a.")</x:f>
        <x:v>1</x:v>
      </x:c>
      <x:c r="K62" s="2" t="str">
        <x:v>Cuadro 2!BE106</x:v>
      </x:c>
      <x:c r="L62" s="2" t="str">
        <x:v>Cuadro 3!BE105</x:v>
      </x:c>
      <x:c r="M62" s="2"/>
    </x:row>
    <x:row r="63" ht="36" customHeight="1">
      <x:c r="A63" s="4" t="n">
        <x:v>45383</x:v>
      </x:c>
      <x:c r="B63" s="32" t="str">
        <x:v>IPI Productos de metal</x:v>
      </x:c>
      <x:c r="C63" s="10" t="n">
        <x:v>41.50441111111111</x:v>
      </x:c>
      <x:c r="D63" s="10" t="n">
        <x:v>48.040640277777776</x:v>
      </x:c>
      <x:c r="E63" s="12" t="n">
        <x:f>IF(AND(ISNUMBER(C63),ISNUMBER(D63),D63&gt;0),C63/D63-1,"n.a.")</x:f>
        <x:v>-0.1360562458966671</x:v>
      </x:c>
      <x:c r="F63" s="10" t="n">
        <x:v>90.12273078059611</x:v>
      </x:c>
      <x:c r="G63" s="10" t="n">
        <x:v>111.16009491859768</x:v>
      </x:c>
      <x:c r="H63" s="12" t="n">
        <x:v>-0.1892528443179829</x:v>
      </x:c>
      <x:c r="I63" s="12" t="n">
        <x:f>IF(AND(ISNUMBER(F63),ISNUMBER(G63),G63&gt;0),F63/G63-1,"n.a.")</x:f>
        <x:v>-0.18925284431798284</x:v>
      </x:c>
      <x:c r="J63" s="2" t="n">
        <x:f>IF(AND(ISNUMBER(E63),ISNUMBER(H63)),IF(SIGN(E63)=SIGN(H63),1,0),"n.a.")</x:f>
        <x:v>1</x:v>
      </x:c>
      <x:c r="K63" s="2" t="str">
        <x:v>Cuadro 2!BM106</x:v>
      </x:c>
      <x:c r="L63" s="2" t="str">
        <x:v>Cuadro 3!BM105</x:v>
      </x:c>
      <x:c r="M63" s="2"/>
    </x:row>
    <x:row r="64" ht="36" customHeight="1">
      <x:c r="A64" s="4" t="n">
        <x:v>45383</x:v>
      </x:c>
      <x:c r="B64" s="32" t="str">
        <x:v>IPI Productos textiles</x:v>
      </x:c>
      <x:c r="C64" s="10" t="n">
        <x:v>49.75077361111111</x:v>
      </x:c>
      <x:c r="D64" s="10" t="n">
        <x:v>63.00198472222222</x:v>
      </x:c>
      <x:c r="E64" s="12" t="n">
        <x:f>IF(AND(ISNUMBER(C64),ISNUMBER(D64),D64&gt;0),C64/D64-1,"n.a.")</x:f>
        <x:v>-0.2103300581646138</x:v>
      </x:c>
      <x:c r="F64" s="10" t="n">
        <x:v>63.31409355054925</x:v>
      </x:c>
      <x:c r="G64" s="10" t="n">
        <x:v>87.05151996985751</x:v>
      </x:c>
      <x:c r="H64" s="12" t="n">
        <x:v>-0.272682503734887</x:v>
      </x:c>
      <x:c r="I64" s="12" t="n">
        <x:f>IF(AND(ISNUMBER(F64),ISNUMBER(G64),G64&gt;0),F64/G64-1,"n.a.")</x:f>
        <x:v>-0.272682503734887</x:v>
      </x:c>
      <x:c r="J64" s="2" t="n">
        <x:f>IF(AND(ISNUMBER(E64),ISNUMBER(H64)),IF(SIGN(E64)=SIGN(H64),1,0),"n.a.")</x:f>
        <x:v>1</x:v>
      </x:c>
      <x:c r="K64" s="2" t="str">
        <x:v>Cuadro 2!V106</x:v>
      </x:c>
      <x:c r="L64" s="2" t="str">
        <x:v>Cuadro 3!V105</x:v>
      </x:c>
      <x:c r="M64" s="2"/>
    </x:row>
    <x:row r="65" ht="36" customHeight="1">
      <x:c r="A65" s="4" t="n">
        <x:v>45413</x:v>
      </x:c>
      <x:c r="B65" s="32" t="str">
        <x:v>IPI Cemento</x:v>
      </x:c>
      <x:c r="C65" s="10" t="n">
        <x:v>105.73363978494623</x:v>
      </x:c>
      <x:c r="D65" s="10" t="n">
        <x:v>175.4919677419355</x:v>
      </x:c>
      <x:c r="E65" s="12" t="n">
        <x:f>IF(AND(ISNUMBER(C65),ISNUMBER(D65),D65&gt;0),C65/D65-1,"n.a.")</x:f>
        <x:v>-0.39750154297415086</x:v>
      </x:c>
      <x:c r="F65" s="10" t="n">
        <x:v>147.218936803503</x:v>
      </x:c>
      <x:c r="G65" s="10" t="n">
        <x:v>204.88702947602883</x:v>
      </x:c>
      <x:c r="H65" s="12" t="n">
        <x:v>-0.28146287649347185</x:v>
      </x:c>
      <x:c r="I65" s="12" t="n">
        <x:f>IF(AND(ISNUMBER(F65),ISNUMBER(G65),G65&gt;0),F65/G65-1,"n.a.")</x:f>
        <x:v>-0.2814628764934719</x:v>
      </x:c>
      <x:c r="J65" s="2" t="n">
        <x:f>IF(AND(ISNUMBER(E65),ISNUMBER(H65)),IF(SIGN(E65)=SIGN(H65),1,0),"n.a.")</x:f>
        <x:v>1</x:v>
      </x:c>
      <x:c r="K65" s="2" t="str">
        <x:v>Cuadro 2!BE107</x:v>
      </x:c>
      <x:c r="L65" s="2" t="str">
        <x:v>Cuadro 3!BE106</x:v>
      </x:c>
      <x:c r="M65" s="2"/>
    </x:row>
    <x:row r="66" ht="36" customHeight="1">
      <x:c r="A66" s="4" t="n">
        <x:v>45413</x:v>
      </x:c>
      <x:c r="B66" s="32" t="str">
        <x:v>IPI Productos de metal</x:v>
      </x:c>
      <x:c r="C66" s="10" t="n">
        <x:v>37.319522849462366</x:v>
      </x:c>
      <x:c r="D66" s="10" t="n">
        <x:v>47.84571370967742</x:v>
      </x:c>
      <x:c r="E66" s="12" t="n">
        <x:f>IF(AND(ISNUMBER(C66),ISNUMBER(D66),D66&gt;0),C66/D66-1,"n.a.")</x:f>
        <x:v>-0.22000279741016782</x:v>
      </x:c>
      <x:c r="F66" s="10" t="n">
        <x:v>98.93225695459509</x:v>
      </x:c>
      <x:c r="G66" s="10" t="n">
        <x:v>110.39911618835379</x:v>
      </x:c>
      <x:c r="H66" s="12" t="n">
        <x:v>-0.10386731008058873</x:v>
      </x:c>
      <x:c r="I66" s="12" t="n">
        <x:f>IF(AND(ISNUMBER(F66),ISNUMBER(G66),G66&gt;0),F66/G66-1,"n.a.")</x:f>
        <x:v>-0.1038673100805888</x:v>
      </x:c>
      <x:c r="J66" s="2" t="n">
        <x:f>IF(AND(ISNUMBER(E66),ISNUMBER(H66)),IF(SIGN(E66)=SIGN(H66),1,0),"n.a.")</x:f>
        <x:v>1</x:v>
      </x:c>
      <x:c r="K66" s="2" t="str">
        <x:v>Cuadro 2!BM107</x:v>
      </x:c>
      <x:c r="L66" s="2" t="str">
        <x:v>Cuadro 3!BM106</x:v>
      </x:c>
      <x:c r="M66" s="2"/>
    </x:row>
    <x:row r="67" ht="36" customHeight="1">
      <x:c r="A67" s="4" t="n">
        <x:v>45413</x:v>
      </x:c>
      <x:c r="B67" s="32" t="str">
        <x:v>IPI Productos textiles</x:v>
      </x:c>
      <x:c r="C67" s="10" t="n">
        <x:v>50.00282392473118</x:v>
      </x:c>
      <x:c r="D67" s="10" t="n">
        <x:v>60.61020833333333</x:v>
      </x:c>
      <x:c r="E67" s="12" t="n">
        <x:f>IF(AND(ISNUMBER(C67),ISNUMBER(D67),D67&gt;0),C67/D67-1,"n.a.")</x:f>
        <x:v>-0.175009865504265</x:v>
      </x:c>
      <x:c r="F67" s="10" t="n">
        <x:v>75.68820761401612</x:v>
      </x:c>
      <x:c r="G67" s="10" t="n">
        <x:v>97.10378166659221</x:v>
      </x:c>
      <x:c r="H67" s="12" t="n">
        <x:v>-0.22054315171891958</x:v>
      </x:c>
      <x:c r="I67" s="12" t="n">
        <x:f>IF(AND(ISNUMBER(F67),ISNUMBER(G67),G67&gt;0),F67/G67-1,"n.a.")</x:f>
        <x:v>-0.22054315171891958</x:v>
      </x:c>
      <x:c r="J67" s="2" t="n">
        <x:f>IF(AND(ISNUMBER(E67),ISNUMBER(H67)),IF(SIGN(E67)=SIGN(H67),1,0),"n.a.")</x:f>
        <x:v>1</x:v>
      </x:c>
      <x:c r="K67" s="2" t="str">
        <x:v>Cuadro 2!V107</x:v>
      </x:c>
      <x:c r="L67" s="2" t="str">
        <x:v>Cuadro 3!V106</x:v>
      </x:c>
      <x:c r="M67" s="2"/>
    </x:row>
    <x:row r="68" ht="36" customHeight="1">
      <x:c r="A68" s="4" t="n">
        <x:v>45444</x:v>
      </x:c>
      <x:c r="B68" s="32" t="str">
        <x:v>IPI Cemento</x:v>
      </x:c>
      <x:c r="C68" s="10" t="n">
        <x:v>98.02053055555555</x:v>
      </x:c>
      <x:c r="D68" s="10" t="n">
        <x:v>162.46503194444446</x:v>
      </x:c>
      <x:c r="E68" s="12" t="n">
        <x:f>IF(AND(ISNUMBER(C68),ISNUMBER(D68),D68&gt;0),C68/D68-1,"n.a.")</x:f>
        <x:v>-0.3966669049800572</x:v>
      </x:c>
      <x:c r="F68" s="10" t="n">
        <x:v>144.14816603281227</x:v>
      </x:c>
      <x:c r="G68" s="10" t="n">
        <x:v>206.44985301559865</x:v>
      </x:c>
      <x:c r="H68" s="12" t="n">
        <x:v>-0.30177636880215686</x:v>
      </x:c>
      <x:c r="I68" s="12" t="n">
        <x:f>IF(AND(ISNUMBER(F68),ISNUMBER(G68),G68&gt;0),F68/G68-1,"n.a.")</x:f>
        <x:v>-0.30177636880215686</x:v>
      </x:c>
      <x:c r="J68" s="2" t="n">
        <x:f>IF(AND(ISNUMBER(E68),ISNUMBER(H68)),IF(SIGN(E68)=SIGN(H68),1,0),"n.a.")</x:f>
        <x:v>1</x:v>
      </x:c>
      <x:c r="K68" s="2" t="str">
        <x:v>Cuadro 2!BE108</x:v>
      </x:c>
      <x:c r="L68" s="2" t="str">
        <x:v>Cuadro 3!BE107</x:v>
      </x:c>
      <x:c r="M68" s="2"/>
    </x:row>
    <x:row r="69" ht="36" customHeight="1">
      <x:c r="A69" s="4" t="n">
        <x:v>45444</x:v>
      </x:c>
      <x:c r="B69" s="32" t="str">
        <x:v>IPI Productos de metal</x:v>
      </x:c>
      <x:c r="C69" s="10" t="n">
        <x:v>37.63717777777777</x:v>
      </x:c>
      <x:c r="D69" s="10" t="n">
        <x:v>51.01157777777778</x:v>
      </x:c>
      <x:c r="E69" s="12" t="n">
        <x:f>IF(AND(ISNUMBER(C69),ISNUMBER(D69),D69&gt;0),C69/D69-1,"n.a.")</x:f>
        <x:v>-0.26218361757526953</x:v>
      </x:c>
      <x:c r="F69" s="10" t="n">
        <x:v>87.01137124190129</x:v>
      </x:c>
      <x:c r="G69" s="10" t="n">
        <x:v>109.76965840954276</x:v>
      </x:c>
      <x:c r="H69" s="12" t="n">
        <x:v>-0.207327666837879</x:v>
      </x:c>
      <x:c r="I69" s="12" t="n">
        <x:f>IF(AND(ISNUMBER(F69),ISNUMBER(G69),G69&gt;0),F69/G69-1,"n.a.")</x:f>
        <x:v>-0.20732766683787907</x:v>
      </x:c>
      <x:c r="J69" s="2" t="n">
        <x:f>IF(AND(ISNUMBER(E69),ISNUMBER(H69)),IF(SIGN(E69)=SIGN(H69),1,0),"n.a.")</x:f>
        <x:v>1</x:v>
      </x:c>
      <x:c r="K69" s="2" t="str">
        <x:v>Cuadro 2!BM108</x:v>
      </x:c>
      <x:c r="L69" s="2" t="str">
        <x:v>Cuadro 3!BM107</x:v>
      </x:c>
      <x:c r="M69" s="2"/>
    </x:row>
    <x:row r="70" ht="36" customHeight="1">
      <x:c r="A70" s="4" t="n">
        <x:v>45444</x:v>
      </x:c>
      <x:c r="B70" s="32" t="str">
        <x:v>IPI Productos textiles</x:v>
      </x:c>
      <x:c r="C70" s="10" t="n">
        <x:v>45.67310416666667</x:v>
      </x:c>
      <x:c r="D70" s="10" t="n">
        <x:v>61.439101388888886</x:v>
      </x:c>
      <x:c r="E70" s="12" t="n">
        <x:f>IF(AND(ISNUMBER(C70),ISNUMBER(D70),D70&gt;0),C70/D70-1,"n.a.")</x:f>
        <x:v>-0.25661178086620684</x:v>
      </x:c>
      <x:c r="F70" s="10" t="n">
        <x:v>78.67797660557494</x:v>
      </x:c>
      <x:c r="G70" s="10" t="n">
        <x:v>103.40035400416072</x:v>
      </x:c>
      <x:c r="H70" s="12" t="n">
        <x:v>-0.2390937404101244</x:v>
      </x:c>
      <x:c r="I70" s="12" t="n">
        <x:f>IF(AND(ISNUMBER(F70),ISNUMBER(G70),G70&gt;0),F70/G70-1,"n.a.")</x:f>
        <x:v>-0.23909374041012443</x:v>
      </x:c>
      <x:c r="J70" s="2" t="n">
        <x:f>IF(AND(ISNUMBER(E70),ISNUMBER(H70)),IF(SIGN(E70)=SIGN(H70),1,0),"n.a.")</x:f>
        <x:v>1</x:v>
      </x:c>
      <x:c r="K70" s="2" t="str">
        <x:v>Cuadro 2!V108</x:v>
      </x:c>
      <x:c r="L70" s="2" t="str">
        <x:v>Cuadro 3!V107</x:v>
      </x:c>
      <x:c r="M70" s="2"/>
    </x:row>
    <x:row r="71" ht="36" customHeight="1">
      <x:c r="A71" s="4" t="n">
        <x:v>45474</x:v>
      </x:c>
      <x:c r="B71" s="32" t="str">
        <x:v>IPI Cemento</x:v>
      </x:c>
      <x:c r="C71" s="10" t="n">
        <x:v>127.71007930107527</x:v>
      </x:c>
      <x:c r="D71" s="10" t="n">
        <x:v>154.11805913978495</x:v>
      </x:c>
      <x:c r="E71" s="12" t="n">
        <x:f>IF(AND(ISNUMBER(C71),ISNUMBER(D71),D71&gt;0),C71/D71-1,"n.a.")</x:f>
        <x:v>-0.17134902934871288</x:v>
      </x:c>
      <x:c r="F71" s="10" t="n">
        <x:v>174.4657914492414</x:v>
      </x:c>
      <x:c r="G71" s="10" t="n">
        <x:v>208.1349010603504</x:v>
      </x:c>
      <x:c r="H71" s="12" t="n">
        <x:v>-0.16176580400298335</x:v>
      </x:c>
      <x:c r="I71" s="12" t="n">
        <x:f>IF(AND(ISNUMBER(F71),ISNUMBER(G71),G71&gt;0),F71/G71-1,"n.a.")</x:f>
        <x:v>-0.16176580400298335</x:v>
      </x:c>
      <x:c r="J71" s="2" t="n">
        <x:f>IF(AND(ISNUMBER(E71),ISNUMBER(H71)),IF(SIGN(E71)=SIGN(H71),1,0),"n.a.")</x:f>
        <x:v>1</x:v>
      </x:c>
      <x:c r="K71" s="2" t="str">
        <x:v>Cuadro 2!BE109</x:v>
      </x:c>
      <x:c r="L71" s="2" t="str">
        <x:v>Cuadro 3!BE108</x:v>
      </x:c>
      <x:c r="M71" s="2"/>
    </x:row>
    <x:row r="72" ht="36" customHeight="1">
      <x:c r="A72" s="4" t="n">
        <x:v>45474</x:v>
      </x:c>
      <x:c r="B72" s="32" t="str">
        <x:v>IPI Productos de metal</x:v>
      </x:c>
      <x:c r="C72" s="10" t="n">
        <x:v>39.46702284946237</x:v>
      </x:c>
      <x:c r="D72" s="10" t="n">
        <x:v>45.64464516129032</x:v>
      </x:c>
      <x:c r="E72" s="12" t="n">
        <x:f>IF(AND(ISNUMBER(C72),ISNUMBER(D72),D72&gt;0),C72/D72-1,"n.a.")</x:f>
        <x:v>-0.1353416658186004</x:v>
      </x:c>
      <x:c r="F72" s="10" t="n">
        <x:v>101.27635985033315</x:v>
      </x:c>
      <x:c r="G72" s="10" t="n">
        <x:v>110.7719501345878</x:v>
      </x:c>
      <x:c r="H72" s="12" t="n">
        <x:v>-0.08572197449550643</x:v>
      </x:c>
      <x:c r="I72" s="12" t="n">
        <x:f>IF(AND(ISNUMBER(F72),ISNUMBER(G72),G72&gt;0),F72/G72-1,"n.a.")</x:f>
        <x:v>-0.08572197449550645</x:v>
      </x:c>
      <x:c r="J72" s="2" t="n">
        <x:f>IF(AND(ISNUMBER(E72),ISNUMBER(H72)),IF(SIGN(E72)=SIGN(H72),1,0),"n.a.")</x:f>
        <x:v>1</x:v>
      </x:c>
      <x:c r="K72" s="2" t="str">
        <x:v>Cuadro 2!BM109</x:v>
      </x:c>
      <x:c r="L72" s="2" t="str">
        <x:v>Cuadro 3!BM108</x:v>
      </x:c>
      <x:c r="M72" s="2"/>
    </x:row>
    <x:row r="73" ht="36" customHeight="1">
      <x:c r="A73" s="4" t="n">
        <x:v>45474</x:v>
      </x:c>
      <x:c r="B73" s="32" t="str">
        <x:v>IPI Productos textiles</x:v>
      </x:c>
      <x:c r="C73" s="10" t="n">
        <x:v>53.51257258064516</x:v>
      </x:c>
      <x:c r="D73" s="10" t="n">
        <x:v>63.15044892473118</x:v>
      </x:c>
      <x:c r="E73" s="12" t="n">
        <x:f>IF(AND(ISNUMBER(C73),ISNUMBER(D73),D73&gt;0),C73/D73-1,"n.a.")</x:f>
        <x:v>-0.15261770119121987</x:v>
      </x:c>
      <x:c r="F73" s="10" t="n">
        <x:v>93.98884652874774</x:v>
      </x:c>
      <x:c r="G73" s="10" t="n">
        <x:v>110.73726097182463</x:v>
      </x:c>
      <x:c r="H73" s="12" t="n">
        <x:v>-0.15124461537240166</x:v>
      </x:c>
      <x:c r="I73" s="12" t="n">
        <x:f>IF(AND(ISNUMBER(F73),ISNUMBER(G73),G73&gt;0),F73/G73-1,"n.a.")</x:f>
        <x:v>-0.15124461537240164</x:v>
      </x:c>
      <x:c r="J73" s="2" t="n">
        <x:f>IF(AND(ISNUMBER(E73),ISNUMBER(H73)),IF(SIGN(E73)=SIGN(H73),1,0),"n.a.")</x:f>
        <x:v>1</x:v>
      </x:c>
      <x:c r="K73" s="2" t="str">
        <x:v>Cuadro 2!V109</x:v>
      </x:c>
      <x:c r="L73" s="2" t="str">
        <x:v>Cuadro 3!V108</x:v>
      </x:c>
      <x:c r="M73" s="2"/>
    </x:row>
    <x:row r="74" ht="36" customHeight="1">
      <x:c r="A74" s="4" t="n">
        <x:v>45505</x:v>
      </x:c>
      <x:c r="B74" s="32" t="str">
        <x:v>IPI Cemento</x:v>
      </x:c>
      <x:c r="C74" s="10" t="n">
        <x:v>133.24863978494622</x:v>
      </x:c>
      <x:c r="D74" s="10" t="n">
        <x:v>171.2518185483871</x:v>
      </x:c>
      <x:c r="E74" s="12" t="n">
        <x:f>IF(AND(ISNUMBER(C74),ISNUMBER(D74),D74&gt;0),C74/D74-1,"n.a.")</x:f>
        <x:v>-0.22191401577848413</x:v>
      </x:c>
      <x:c r="F74" s="10" t="n">
        <x:v>175.1548153081236</x:v>
      </x:c>
      <x:c r="G74" s="10" t="n">
        <x:v>229.03509957123887</x:v>
      </x:c>
      <x:c r="H74" s="12" t="n">
        <x:v>-0.23524902673861306</x:v>
      </x:c>
      <x:c r="I74" s="12" t="n">
        <x:f>IF(AND(ISNUMBER(F74),ISNUMBER(G74),G74&gt;0),F74/G74-1,"n.a.")</x:f>
        <x:v>-0.23524902673861303</x:v>
      </x:c>
      <x:c r="J74" s="2" t="n">
        <x:f>IF(AND(ISNUMBER(E74),ISNUMBER(H74)),IF(SIGN(E74)=SIGN(H74),1,0),"n.a.")</x:f>
        <x:v>1</x:v>
      </x:c>
      <x:c r="K74" s="2" t="str">
        <x:v>Cuadro 2!BE110</x:v>
      </x:c>
      <x:c r="L74" s="2" t="str">
        <x:v>Cuadro 3!BE109</x:v>
      </x:c>
      <x:c r="M74" s="2"/>
    </x:row>
    <x:row r="75" ht="36" customHeight="1">
      <x:c r="A75" s="4" t="n">
        <x:v>45505</x:v>
      </x:c>
      <x:c r="B75" s="32" t="str">
        <x:v>IPI Productos de metal</x:v>
      </x:c>
      <x:c r="C75" s="10" t="n">
        <x:v>41.913873655913974</x:v>
      </x:c>
      <x:c r="D75" s="10" t="n">
        <x:v>50.94696774193548</x:v>
      </x:c>
      <x:c r="E75" s="12" t="n">
        <x:f>IF(AND(ISNUMBER(C75),ISNUMBER(D75),D75&gt;0),C75/D75-1,"n.a.")</x:f>
        <x:v>-0.17730386098299988</x:v>
      </x:c>
      <x:c r="F75" s="10" t="n">
        <x:v>109.58906302070793</x:v>
      </x:c>
      <x:c r="G75" s="10" t="n">
        <x:v>122.65979746008826</x:v>
      </x:c>
      <x:c r="H75" s="12" t="n">
        <x:v>-0.10656086761950974</x:v>
      </x:c>
      <x:c r="I75" s="12" t="n">
        <x:f>IF(AND(ISNUMBER(F75),ISNUMBER(G75),G75&gt;0),F75/G75-1,"n.a.")</x:f>
        <x:v>-0.10656086761950967</x:v>
      </x:c>
      <x:c r="J75" s="2" t="n">
        <x:f>IF(AND(ISNUMBER(E75),ISNUMBER(H75)),IF(SIGN(E75)=SIGN(H75),1,0),"n.a.")</x:f>
        <x:v>1</x:v>
      </x:c>
      <x:c r="K75" s="2" t="str">
        <x:v>Cuadro 2!BM110</x:v>
      </x:c>
      <x:c r="L75" s="2" t="str">
        <x:v>Cuadro 3!BM109</x:v>
      </x:c>
      <x:c r="M75" s="2"/>
    </x:row>
    <x:row r="76" ht="36" customHeight="1">
      <x:c r="A76" s="4" t="n">
        <x:v>45505</x:v>
      </x:c>
      <x:c r="B76" s="32" t="str">
        <x:v>IPI Productos textiles</x:v>
      </x:c>
      <x:c r="C76" s="10" t="n">
        <x:v>54.60349731182796</x:v>
      </x:c>
      <x:c r="D76" s="10" t="n">
        <x:v>64.08151747311827</x:v>
      </x:c>
      <x:c r="E76" s="12" t="n">
        <x:f>IF(AND(ISNUMBER(C76),ISNUMBER(D76),D76&gt;0),C76/D76-1,"n.a.")</x:f>
        <x:v>-0.14790567600503957</x:v>
      </x:c>
      <x:c r="F76" s="10" t="n">
        <x:v>94.7447004465239</x:v>
      </x:c>
      <x:c r="G76" s="10" t="n">
        <x:v>104.98999963216949</x:v>
      </x:c>
      <x:c r="H76" s="12" t="n">
        <x:v>-0.0975835719739004</x:v>
      </x:c>
      <x:c r="I76" s="12" t="n">
        <x:f>IF(AND(ISNUMBER(F76),ISNUMBER(G76),G76&gt;0),F76/G76-1,"n.a.")</x:f>
        <x:v>-0.09758357197390044</x:v>
      </x:c>
      <x:c r="J76" s="2" t="n">
        <x:f>IF(AND(ISNUMBER(E76),ISNUMBER(H76)),IF(SIGN(E76)=SIGN(H76),1,0),"n.a.")</x:f>
        <x:v>1</x:v>
      </x:c>
      <x:c r="K76" s="2" t="str">
        <x:v>Cuadro 2!V110</x:v>
      </x:c>
      <x:c r="L76" s="2" t="str">
        <x:v>Cuadro 3!V109</x:v>
      </x:c>
      <x:c r="M76" s="2"/>
    </x:row>
    <x:row r="77" ht="36" customHeight="1">
      <x:c r="A77" s="4" t="n">
        <x:v>45536</x:v>
      </x:c>
      <x:c r="B77" s="32" t="str">
        <x:v>IPI Cemento</x:v>
      </x:c>
      <x:c r="C77" s="10" t="n">
        <x:v>157.56987222222224</x:v>
      </x:c>
      <x:c r="D77" s="10" t="n">
        <x:v>186.83173472222222</x:v>
      </x:c>
      <x:c r="E77" s="12" t="n">
        <x:f>IF(AND(ISNUMBER(C77),ISNUMBER(D77),D77&gt;0),C77/D77-1,"n.a.")</x:f>
        <x:v>-0.15662147837735352</x:v>
      </x:c>
      <x:c r="F77" s="10" t="n">
        <x:v>176.25790585802994</x:v>
      </x:c>
      <x:c r="G77" s="10" t="n">
        <x:v>217.43240596316156</x:v>
      </x:c>
      <x:c r="H77" s="12" t="n">
        <x:v>-0.1893668973708897</x:v>
      </x:c>
      <x:c r="I77" s="12" t="n">
        <x:f>IF(AND(ISNUMBER(F77),ISNUMBER(G77),G77&gt;0),F77/G77-1,"n.a.")</x:f>
        <x:v>-0.18936689737088963</x:v>
      </x:c>
      <x:c r="J77" s="2" t="n">
        <x:f>IF(AND(ISNUMBER(E77),ISNUMBER(H77)),IF(SIGN(E77)=SIGN(H77),1,0),"n.a.")</x:f>
        <x:v>1</x:v>
      </x:c>
      <x:c r="K77" s="2" t="str">
        <x:v>Cuadro 2!BE111</x:v>
      </x:c>
      <x:c r="L77" s="2" t="str">
        <x:v>Cuadro 3!BE110</x:v>
      </x:c>
      <x:c r="M77" s="2"/>
    </x:row>
    <x:row r="78" ht="36" customHeight="1">
      <x:c r="A78" s="4" t="n">
        <x:v>45536</x:v>
      </x:c>
      <x:c r="B78" s="32" t="str">
        <x:v>IPI Productos de metal</x:v>
      </x:c>
      <x:c r="C78" s="10" t="n">
        <x:v>42.796524999999995</x:v>
      </x:c>
      <x:c r="D78" s="10" t="n">
        <x:v>51.78169305555556</x:v>
      </x:c>
      <x:c r="E78" s="12" t="n">
        <x:f>IF(AND(ISNUMBER(C78),ISNUMBER(D78),D78&gt;0),C78/D78-1,"n.a.")</x:f>
        <x:v>-0.1735201675602911</x:v>
      </x:c>
      <x:c r="F78" s="10" t="n">
        <x:v>103.06180518364513</x:v>
      </x:c>
      <x:c r="G78" s="10" t="n">
        <x:v>116.64554475400425</x:v>
      </x:c>
      <x:c r="H78" s="12" t="n">
        <x:v>-0.11645313671436057</x:v>
      </x:c>
      <x:c r="I78" s="12" t="n">
        <x:f>IF(AND(ISNUMBER(F78),ISNUMBER(G78),G78&gt;0),F78/G78-1,"n.a.")</x:f>
        <x:v>-0.11645313671436053</x:v>
      </x:c>
      <x:c r="J78" s="2" t="n">
        <x:f>IF(AND(ISNUMBER(E78),ISNUMBER(H78)),IF(SIGN(E78)=SIGN(H78),1,0),"n.a.")</x:f>
        <x:v>1</x:v>
      </x:c>
      <x:c r="K78" s="2" t="str">
        <x:v>Cuadro 2!BM111</x:v>
      </x:c>
      <x:c r="L78" s="2" t="str">
        <x:v>Cuadro 3!BM110</x:v>
      </x:c>
      <x:c r="M78" s="2"/>
    </x:row>
    <x:row r="79" ht="36" customHeight="1">
      <x:c r="A79" s="4" t="n">
        <x:v>45536</x:v>
      </x:c>
      <x:c r="B79" s="32" t="str">
        <x:v>IPI Productos textiles</x:v>
      </x:c>
      <x:c r="C79" s="10" t="n">
        <x:v>55.916716666666666</x:v>
      </x:c>
      <x:c r="D79" s="10" t="n">
        <x:v>65.2964375</x:v>
      </x:c>
      <x:c r="E79" s="12" t="n">
        <x:f>IF(AND(ISNUMBER(C79),ISNUMBER(D79),D79&gt;0),C79/D79-1,"n.a.")</x:f>
        <x:v>-0.1436482784123304</x:v>
      </x:c>
      <x:c r="F79" s="10" t="n">
        <x:v>82.27867857393515</x:v>
      </x:c>
      <x:c r="G79" s="10" t="n">
        <x:v>100.87145461323864</x:v>
      </x:c>
      <x:c r="H79" s="12" t="n">
        <x:v>-0.1843214823320622</x:v>
      </x:c>
      <x:c r="I79" s="12" t="n">
        <x:f>IF(AND(ISNUMBER(F79),ISNUMBER(G79),G79&gt;0),F79/G79-1,"n.a.")</x:f>
        <x:v>-0.18432148233206225</x:v>
      </x:c>
      <x:c r="J79" s="2" t="n">
        <x:f>IF(AND(ISNUMBER(E79),ISNUMBER(H79)),IF(SIGN(E79)=SIGN(H79),1,0),"n.a.")</x:f>
        <x:v>1</x:v>
      </x:c>
      <x:c r="K79" s="2" t="str">
        <x:v>Cuadro 2!V111</x:v>
      </x:c>
      <x:c r="L79" s="2" t="str">
        <x:v>Cuadro 3!V110</x:v>
      </x:c>
      <x:c r="M79" s="2"/>
    </x:row>
    <x:row r="80" ht="36" customHeight="1">
      <x:c r="A80" s="4" t="n">
        <x:v>45566</x:v>
      </x:c>
      <x:c r="B80" s="32" t="str">
        <x:v>IPI Cemento</x:v>
      </x:c>
      <x:c r="C80" s="10" t="n">
        <x:v>172.92159543010752</x:v>
      </x:c>
      <x:c r="D80" s="10" t="n">
        <x:v>188.02799731182796</x:v>
      </x:c>
      <x:c r="E80" s="12" t="n">
        <x:f>IF(AND(ISNUMBER(C80),ISNUMBER(D80),D80&gt;0),C80/D80-1,"n.a.")</x:f>
        <x:v>-0.08034123693115658</x:v>
      </x:c>
      <x:c r="F80" s="10" t="n">
        <x:v>172.97376986008302</x:v>
      </x:c>
      <x:c r="G80" s="10" t="n">
        <x:v>218.22120492831462</x:v>
      </x:c>
      <x:c r="H80" s="12" t="n">
        <x:v>-0.20734664664277389</x:v>
      </x:c>
      <x:c r="I80" s="12" t="n">
        <x:f>IF(AND(ISNUMBER(F80),ISNUMBER(G80),G80&gt;0),F80/G80-1,"n.a.")</x:f>
        <x:v>-0.2073466466427739</x:v>
      </x:c>
      <x:c r="J80" s="2" t="n">
        <x:f>IF(AND(ISNUMBER(E80),ISNUMBER(H80)),IF(SIGN(E80)=SIGN(H80),1,0),"n.a.")</x:f>
        <x:v>1</x:v>
      </x:c>
      <x:c r="K80" s="2" t="str">
        <x:v>Cuadro 2!BE112</x:v>
      </x:c>
      <x:c r="L80" s="2" t="str">
        <x:v>Cuadro 3!BE111</x:v>
      </x:c>
      <x:c r="M80" s="2"/>
    </x:row>
    <x:row r="81" ht="36" customHeight="1">
      <x:c r="A81" s="4" t="n">
        <x:v>45566</x:v>
      </x:c>
      <x:c r="B81" s="32" t="str">
        <x:v>IPI Productos de metal</x:v>
      </x:c>
      <x:c r="C81" s="10" t="n">
        <x:v>43.676311827956994</x:v>
      </x:c>
      <x:c r="D81" s="10" t="n">
        <x:v>50.29255510752688</x:v>
      </x:c>
      <x:c r="E81" s="12" t="n">
        <x:f>IF(AND(ISNUMBER(C81),ISNUMBER(D81),D81&gt;0),C81/D81-1,"n.a.")</x:f>
        <x:v>-0.1315551231275519</x:v>
      </x:c>
      <x:c r="F81" s="10" t="n">
        <x:v>99.79256690395611</x:v>
      </x:c>
      <x:c r="G81" s="10" t="n">
        <x:v>113.62500776658162</x:v>
      </x:c>
      <x:c r="H81" s="12" t="n">
        <x:v>-0.12173764503533675</x:v>
      </x:c>
      <x:c r="I81" s="12" t="n">
        <x:f>IF(AND(ISNUMBER(F81),ISNUMBER(G81),G81&gt;0),F81/G81-1,"n.a.")</x:f>
        <x:v>-0.1217376450353368</x:v>
      </x:c>
      <x:c r="J81" s="2" t="n">
        <x:f>IF(AND(ISNUMBER(E81),ISNUMBER(H81)),IF(SIGN(E81)=SIGN(H81),1,0),"n.a.")</x:f>
        <x:v>1</x:v>
      </x:c>
      <x:c r="K81" s="2" t="str">
        <x:v>Cuadro 2!BM112</x:v>
      </x:c>
      <x:c r="L81" s="2" t="str">
        <x:v>Cuadro 3!BM111</x:v>
      </x:c>
      <x:c r="M81" s="2"/>
    </x:row>
    <x:row r="82" ht="36" customHeight="1">
      <x:c r="A82" s="4" t="n">
        <x:v>45566</x:v>
      </x:c>
      <x:c r="B82" s="32" t="str">
        <x:v>IPI Productos textiles</x:v>
      </x:c>
      <x:c r="C82" s="10" t="n">
        <x:v>58.80636155913979</x:v>
      </x:c>
      <x:c r="D82" s="10" t="n">
        <x:v>62.87235080645161</x:v>
      </x:c>
      <x:c r="E82" s="12" t="n">
        <x:f>IF(AND(ISNUMBER(C82),ISNUMBER(D82),D82&gt;0),C82/D82-1,"n.a.")</x:f>
        <x:v>-0.06467054587840526</x:v>
      </x:c>
      <x:c r="F82" s="10" t="n">
        <x:v>76.24612819025289</x:v>
      </x:c>
      <x:c r="G82" s="10" t="n">
        <x:v>96.50738637579265</x:v>
      </x:c>
      <x:c r="H82" s="12" t="n">
        <x:v>-0.20994515494020236</x:v>
      </x:c>
      <x:c r="I82" s="12" t="n">
        <x:f>IF(AND(ISNUMBER(F82),ISNUMBER(G82),G82&gt;0),F82/G82-1,"n.a.")</x:f>
        <x:v>-0.20994515494020238</x:v>
      </x:c>
      <x:c r="J82" s="2" t="n">
        <x:f>IF(AND(ISNUMBER(E82),ISNUMBER(H82)),IF(SIGN(E82)=SIGN(H82),1,0),"n.a.")</x:f>
        <x:v>1</x:v>
      </x:c>
      <x:c r="K82" s="2" t="str">
        <x:v>Cuadro 2!V112</x:v>
      </x:c>
      <x:c r="L82" s="2" t="str">
        <x:v>Cuadro 3!V111</x:v>
      </x:c>
      <x:c r="M82" s="2"/>
    </x:row>
    <x:row r="83" ht="36" customHeight="1">
      <x:c r="A83" s="4" t="n">
        <x:v>45597</x:v>
      </x:c>
      <x:c r="B83" s="32" t="str">
        <x:v>IPI Cemento</x:v>
      </x:c>
      <x:c r="C83" s="10" t="n">
        <x:v>163.7979222222222</x:v>
      </x:c>
      <x:c r="D83" s="10" t="n">
        <x:v>181.767525</x:v>
      </x:c>
      <x:c r="E83" s="12" t="n">
        <x:f>IF(AND(ISNUMBER(C83),ISNUMBER(D83),D83&gt;0),C83/D83-1,"n.a.")</x:f>
        <x:v>-0.09886035900955237</x:v>
      </x:c>
      <x:c r="F83" s="10" t="n">
        <x:v>167.74305991383204</x:v>
      </x:c>
      <x:c r="G83" s="10" t="n">
        <x:v>198.67890723873194</x:v>
      </x:c>
      <x:c r="H83" s="12" t="n">
        <x:v>-0.15570775858822045</x:v>
      </x:c>
      <x:c r="I83" s="12" t="n">
        <x:f>IF(AND(ISNUMBER(F83),ISNUMBER(G83),G83&gt;0),F83/G83-1,"n.a.")</x:f>
        <x:v>-0.1557077585882204</x:v>
      </x:c>
      <x:c r="J83" s="2" t="n">
        <x:f>IF(AND(ISNUMBER(E83),ISNUMBER(H83)),IF(SIGN(E83)=SIGN(H83),1,0),"n.a.")</x:f>
        <x:v>1</x:v>
      </x:c>
      <x:c r="K83" s="2" t="str">
        <x:v>Cuadro 2!BE113</x:v>
      </x:c>
      <x:c r="L83" s="2" t="str">
        <x:v>Cuadro 3!BE112</x:v>
      </x:c>
      <x:c r="M83" s="2"/>
    </x:row>
    <x:row r="84" ht="36" customHeight="1">
      <x:c r="A84" s="4" t="n">
        <x:v>45597</x:v>
      </x:c>
      <x:c r="B84" s="32" t="str">
        <x:v>IPI Productos de metal</x:v>
      </x:c>
      <x:c r="C84" s="10" t="n">
        <x:v>44.630475000000004</x:v>
      </x:c>
      <x:c r="D84" s="10" t="n">
        <x:v>49.571956944444445</x:v>
      </x:c>
      <x:c r="E84" s="12" t="n">
        <x:f>IF(AND(ISNUMBER(C84),ISNUMBER(D84),D84&gt;0),C84/D84-1,"n.a.")</x:f>
        <x:v>-0.09968301130379797</x:v>
      </x:c>
      <x:c r="F84" s="10" t="n">
        <x:v>97.73863447099517</x:v>
      </x:c>
      <x:c r="G84" s="10" t="n">
        <x:v>111.9173466017872</x:v>
      </x:c>
      <x:c r="H84" s="12" t="n">
        <x:v>-0.1266891376655066</x:v>
      </x:c>
      <x:c r="I84" s="12" t="n">
        <x:f>IF(AND(ISNUMBER(F84),ISNUMBER(G84),G84&gt;0),F84/G84-1,"n.a.")</x:f>
        <x:v>-0.1266891376655066</x:v>
      </x:c>
      <x:c r="J84" s="2" t="n">
        <x:f>IF(AND(ISNUMBER(E84),ISNUMBER(H84)),IF(SIGN(E84)=SIGN(H84),1,0),"n.a.")</x:f>
        <x:v>1</x:v>
      </x:c>
      <x:c r="K84" s="2" t="str">
        <x:v>Cuadro 2!BM113</x:v>
      </x:c>
      <x:c r="L84" s="2" t="str">
        <x:v>Cuadro 3!BM112</x:v>
      </x:c>
      <x:c r="M84" s="2"/>
    </x:row>
    <x:row r="85" ht="36" customHeight="1">
      <x:c r="A85" s="4" t="n">
        <x:v>45597</x:v>
      </x:c>
      <x:c r="B85" s="32" t="str">
        <x:v>IPI Productos textiles</x:v>
      </x:c>
      <x:c r="C85" s="10" t="n">
        <x:v>60.52300138888889</x:v>
      </x:c>
      <x:c r="D85" s="10" t="n">
        <x:v>66.27253750000001</x:v>
      </x:c>
      <x:c r="E85" s="12" t="n">
        <x:f>IF(AND(ISNUMBER(C85),ISNUMBER(D85),D85&gt;0),C85/D85-1,"n.a.")</x:f>
        <x:v>-0.08675593734601028</x:v>
      </x:c>
      <x:c r="F85" s="10" t="n">
        <x:v>73.29485718816181</x:v>
      </x:c>
      <x:c r="G85" s="10" t="n">
        <x:v>88.58874874157614</x:v>
      </x:c>
      <x:c r="H85" s="12" t="n">
        <x:v>-0.172639209500841</x:v>
      </x:c>
      <x:c r="I85" s="12" t="n">
        <x:f>IF(AND(ISNUMBER(F85),ISNUMBER(G85),G85&gt;0),F85/G85-1,"n.a.")</x:f>
        <x:v>-0.172639209500841</x:v>
      </x:c>
      <x:c r="J85" s="2" t="n">
        <x:f>IF(AND(ISNUMBER(E85),ISNUMBER(H85)),IF(SIGN(E85)=SIGN(H85),1,0),"n.a.")</x:f>
        <x:v>1</x:v>
      </x:c>
      <x:c r="K85" s="2" t="str">
        <x:v>Cuadro 2!V113</x:v>
      </x:c>
      <x:c r="L85" s="2" t="str">
        <x:v>Cuadro 3!V112</x:v>
      </x:c>
      <x:c r="M85" s="2"/>
    </x:row>
    <x:row r="86" ht="36" customHeight="1">
      <x:c r="A86" s="4" t="n">
        <x:v>45627</x:v>
      </x:c>
      <x:c r="B86" s="32" t="str">
        <x:v>IPI Cemento</x:v>
      </x:c>
      <x:c r="C86" s="10" t="n">
        <x:v>145.2862392473118</x:v>
      </x:c>
      <x:c r="D86" s="10" t="n">
        <x:v>170.31919086021506</x:v>
      </x:c>
      <x:c r="E86" s="12" t="n">
        <x:f>IF(AND(ISNUMBER(C86),ISNUMBER(D86),D86&gt;0),C86/D86-1,"n.a.")</x:f>
        <x:v>-0.1469766940910867</x:v>
      </x:c>
      <x:c r="F86" s="10" t="n">
        <x:v>162.2034308885501</x:v>
      </x:c>
      <x:c r="G86" s="10" t="n">
        <x:v>164.42304325266846</x:v>
      </x:c>
      <x:c r="H86" s="12" t="n">
        <x:v>-0.013499399598799044</x:v>
      </x:c>
      <x:c r="I86" s="12" t="n">
        <x:f>IF(AND(ISNUMBER(F86),ISNUMBER(G86),G86&gt;0),F86/G86-1,"n.a.")</x:f>
        <x:v>-0.013499399598798978</x:v>
      </x:c>
      <x:c r="J86" s="2" t="n">
        <x:f>IF(AND(ISNUMBER(E86),ISNUMBER(H86)),IF(SIGN(E86)=SIGN(H86),1,0),"n.a.")</x:f>
        <x:v>1</x:v>
      </x:c>
      <x:c r="K86" s="2" t="str">
        <x:v>Cuadro 2!BE114</x:v>
      </x:c>
      <x:c r="L86" s="2" t="str">
        <x:v>Cuadro 3!BE113</x:v>
      </x:c>
      <x:c r="M86" s="2"/>
    </x:row>
    <x:row r="87" ht="36" customHeight="1">
      <x:c r="A87" s="4" t="n">
        <x:v>45627</x:v>
      </x:c>
      <x:c r="B87" s="32" t="str">
        <x:v>IPI Productos de metal</x:v>
      </x:c>
      <x:c r="C87" s="10" t="n">
        <x:v>40.96575268817204</x:v>
      </x:c>
      <x:c r="D87" s="10" t="n">
        <x:v>40.546857526881716</x:v>
      </x:c>
      <x:c r="E87" s="12" t="n">
        <x:f>IF(AND(ISNUMBER(C87),ISNUMBER(D87),D87&gt;0),C87/D87-1,"n.a.")</x:f>
        <x:v>0.010331137524347112</x:v>
      </x:c>
      <x:c r="F87" s="10" t="n">
        <x:v>86.03707693290058</x:v>
      </x:c>
      <x:c r="G87" s="10" t="n">
        <x:v>85.10840697693219</x:v>
      </x:c>
      <x:c r="H87" s="12" t="n">
        <x:v>0.010911612482890121</x:v>
      </x:c>
      <x:c r="I87" s="12" t="n">
        <x:f>IF(AND(ISNUMBER(F87),ISNUMBER(G87),G87&gt;0),F87/G87-1,"n.a.")</x:f>
        <x:v>0.010911612482890076</x:v>
      </x:c>
      <x:c r="J87" s="2" t="n">
        <x:f>IF(AND(ISNUMBER(E87),ISNUMBER(H87)),IF(SIGN(E87)=SIGN(H87),1,0),"n.a.")</x:f>
        <x:v>1</x:v>
      </x:c>
      <x:c r="K87" s="2" t="str">
        <x:v>Cuadro 2!BM114</x:v>
      </x:c>
      <x:c r="L87" s="2" t="str">
        <x:v>Cuadro 3!BM113</x:v>
      </x:c>
      <x:c r="M87" s="2"/>
    </x:row>
    <x:row r="88" ht="36" customHeight="1">
      <x:c r="A88" s="4" t="n">
        <x:v>45627</x:v>
      </x:c>
      <x:c r="B88" s="32" t="str">
        <x:v>IPI Productos textiles</x:v>
      </x:c>
      <x:c r="C88" s="10" t="n">
        <x:v>47.334602150537634</x:v>
      </x:c>
      <x:c r="D88" s="10" t="n">
        <x:v>50.00543951612903</x:v>
      </x:c>
      <x:c r="E88" s="12" t="n">
        <x:f>IF(AND(ISNUMBER(C88),ISNUMBER(D88),D88&gt;0),C88/D88-1,"n.a.")</x:f>
        <x:v>-0.053410936718792934</x:v>
      </x:c>
      <x:c r="F88" s="10" t="n">
        <x:v>62.362370187776705</x:v>
      </x:c>
      <x:c r="G88" s="10" t="n">
        <x:v>61.7874851576548</x:v>
      </x:c>
      <x:c r="H88" s="12" t="n">
        <x:v>0.009304230924030037</x:v>
      </x:c>
      <x:c r="I88" s="12" t="n">
        <x:f>IF(AND(ISNUMBER(F88),ISNUMBER(G88),G88&gt;0),F88/G88-1,"n.a.")</x:f>
        <x:v>0.009304230924030099</x:v>
      </x:c>
      <x:c r="J88" s="2" t="n">
        <x:f>IF(AND(ISNUMBER(E88),ISNUMBER(H88)),IF(SIGN(E88)=SIGN(H88),1,0),"n.a.")</x:f>
        <x:v>0</x:v>
      </x:c>
      <x:c r="K88" s="2" t="str">
        <x:v>Cuadro 2!V114</x:v>
      </x:c>
      <x:c r="L88" s="2" t="str">
        <x:v>Cuadro 3!V113</x:v>
      </x:c>
      <x:c r="M88" s="2"/>
    </x:row>
    <x:row r="89" ht="36" customHeight="1">
      <x:c r="A89" s="4" t="n">
        <x:v>45658</x:v>
      </x:c>
      <x:c r="B89" s="32" t="str">
        <x:v>IPI Cemento</x:v>
      </x:c>
      <x:c r="C89" s="10" t="n">
        <x:v>145.85207123655914</x:v>
      </x:c>
      <x:c r="D89" s="10" t="n">
        <x:v>133.46189112903227</x:v>
      </x:c>
      <x:c r="E89" s="12" t="n">
        <x:f>IF(AND(ISNUMBER(C89),ISNUMBER(D89),D89&gt;0),C89/D89-1,"n.a.")</x:f>
        <x:v>0.09283683906103146</x:v>
      </x:c>
      <x:c r="F89" s="10" t="n">
        <x:v>145.36925983340436</x:v>
      </x:c>
      <x:c r="G89" s="10" t="n">
        <x:v>138.03559764729022</x:v>
      </x:c>
      <x:c r="H89" s="12" t="n">
        <x:v>0.0531287748313531</x:v>
      </x:c>
      <x:c r="I89" s="12" t="n">
        <x:f>IF(AND(ISNUMBER(F89),ISNUMBER(G89),G89&gt;0),F89/G89-1,"n.a.")</x:f>
        <x:v>0.05312877483135314</x:v>
      </x:c>
      <x:c r="J89" s="2" t="n">
        <x:f>IF(AND(ISNUMBER(E89),ISNUMBER(H89)),IF(SIGN(E89)=SIGN(H89),1,0),"n.a.")</x:f>
        <x:v>1</x:v>
      </x:c>
      <x:c r="K89" s="2" t="str">
        <x:v>Cuadro 2!BE115</x:v>
      </x:c>
      <x:c r="L89" s="2" t="str">
        <x:v>Cuadro 3!BE114</x:v>
      </x:c>
      <x:c r="M89" s="2"/>
    </x:row>
    <x:row r="90" ht="36" customHeight="1">
      <x:c r="A90" s="4" t="n">
        <x:v>45658</x:v>
      </x:c>
      <x:c r="B90" s="32" t="str">
        <x:v>IPI Productos de metal</x:v>
      </x:c>
      <x:c r="C90" s="10" t="n">
        <x:v>40.152334677419354</x:v>
      </x:c>
      <x:c r="D90" s="10" t="n">
        <x:v>39.070408602150536</x:v>
      </x:c>
      <x:c r="E90" s="12" t="n">
        <x:f>IF(AND(ISNUMBER(C90),ISNUMBER(D90),D90&gt;0),C90/D90-1,"n.a.")</x:f>
        <x:v>0.027691701059130214</x:v>
      </x:c>
      <x:c r="F90" s="10" t="n">
        <x:v>86.11809454142956</x:v>
      </x:c>
      <x:c r="G90" s="10" t="n">
        <x:v>90.14673554278392</x:v>
      </x:c>
      <x:c r="H90" s="12" t="n">
        <x:v>-0.04468981574426906</x:v>
      </x:c>
      <x:c r="I90" s="12" t="n">
        <x:f>IF(AND(ISNUMBER(F90),ISNUMBER(G90),G90&gt;0),F90/G90-1,"n.a.")</x:f>
        <x:v>-0.044689815744269</x:v>
      </x:c>
      <x:c r="J90" s="2" t="n">
        <x:f>IF(AND(ISNUMBER(E90),ISNUMBER(H90)),IF(SIGN(E90)=SIGN(H90),1,0),"n.a.")</x:f>
        <x:v>0</x:v>
      </x:c>
      <x:c r="K90" s="2" t="str">
        <x:v>Cuadro 2!BM115</x:v>
      </x:c>
      <x:c r="L90" s="2" t="str">
        <x:v>Cuadro 3!BM114</x:v>
      </x:c>
      <x:c r="M90" s="2"/>
    </x:row>
    <x:row r="91" ht="36" customHeight="1">
      <x:c r="A91" s="4" t="n">
        <x:v>45658</x:v>
      </x:c>
      <x:c r="B91" s="32" t="str">
        <x:v>IPI Productos textiles</x:v>
      </x:c>
      <x:c r="C91" s="10" t="n">
        <x:v>33.99053494623656</x:v>
      </x:c>
      <x:c r="D91" s="10" t="n">
        <x:v>36.94760752688172</x:v>
      </x:c>
      <x:c r="E91" s="12" t="n">
        <x:f>IF(AND(ISNUMBER(C91),ISNUMBER(D91),D91&gt;0),C91/D91-1,"n.a.")</x:f>
        <x:v>-0.08003421002276545</x:v>
      </x:c>
      <x:c r="F91" s="10" t="n">
        <x:v>46.32468569634137</x:v>
      </x:c>
      <x:c r="G91" s="10" t="n">
        <x:v>50.774231607703555</x:v>
      </x:c>
      <x:c r="H91" s="12" t="n">
        <x:v>-0.08763393891887261</x:v>
      </x:c>
      <x:c r="I91" s="12" t="n">
        <x:f>IF(AND(ISNUMBER(F91),ISNUMBER(G91),G91&gt;0),F91/G91-1,"n.a.")</x:f>
        <x:v>-0.08763393891887261</x:v>
      </x:c>
      <x:c r="J91" s="2" t="n">
        <x:f>IF(AND(ISNUMBER(E91),ISNUMBER(H91)),IF(SIGN(E91)=SIGN(H91),1,0),"n.a.")</x:f>
        <x:v>1</x:v>
      </x:c>
      <x:c r="K91" s="2" t="str">
        <x:v>Cuadro 2!V115</x:v>
      </x:c>
      <x:c r="L91" s="2" t="str">
        <x:v>Cuadro 3!V114</x:v>
      </x:c>
      <x:c r="M91" s="2"/>
    </x:row>
    <x:row r="92" ht="36" customHeight="1">
      <x:c r="A92" s="4" t="n">
        <x:v>45689</x:v>
      </x:c>
      <x:c r="B92" s="32" t="str">
        <x:v>IPI Cemento</x:v>
      </x:c>
      <x:c r="C92" s="10" t="n">
        <x:v>160.91916964285716</x:v>
      </x:c>
      <x:c r="D92" s="10" t="n">
        <x:v>151.32458333333335</x:v>
      </x:c>
      <x:c r="E92" s="12" t="n">
        <x:f>IF(AND(ISNUMBER(C92),ISNUMBER(D92),D92&gt;0),C92/D92-1,"n.a.")</x:f>
        <x:v>0.06340401604403656</x:v>
      </x:c>
      <x:c r="F92" s="10" t="n">
        <x:v>149.67992817471517</x:v>
      </x:c>
      <x:c r="G92" s="10" t="n">
        <x:v>134.5473064318967</x:v>
      </x:c>
      <x:c r="H92" s="12" t="n">
        <x:v>0.11247064058081406</x:v>
      </x:c>
      <x:c r="I92" s="12" t="n">
        <x:f>IF(AND(ISNUMBER(F92),ISNUMBER(G92),G92&gt;0),F92/G92-1,"n.a.")</x:f>
        <x:v>0.11247064058081402</x:v>
      </x:c>
      <x:c r="J92" s="2" t="n">
        <x:f>IF(AND(ISNUMBER(E92),ISNUMBER(H92)),IF(SIGN(E92)=SIGN(H92),1,0),"n.a.")</x:f>
        <x:v>1</x:v>
      </x:c>
      <x:c r="K92" s="2" t="str">
        <x:v>Cuadro 2!BE116</x:v>
      </x:c>
      <x:c r="L92" s="2" t="str">
        <x:v>Cuadro 3!BE115</x:v>
      </x:c>
      <x:c r="M92" s="2"/>
    </x:row>
    <x:row r="93" ht="36" customHeight="1">
      <x:c r="A93" s="4" t="n">
        <x:v>45689</x:v>
      </x:c>
      <x:c r="B93" s="32" t="str">
        <x:v>IPI Productos de metal</x:v>
      </x:c>
      <x:c r="C93" s="10" t="n">
        <x:v>42.02423363095238</x:v>
      </x:c>
      <x:c r="D93" s="10" t="n">
        <x:v>41.61290373563218</x:v>
      </x:c>
      <x:c r="E93" s="12" t="n">
        <x:f>IF(AND(ISNUMBER(C93),ISNUMBER(D93),D93&gt;0),C93/D93-1,"n.a.")</x:f>
        <x:v>0.009884671781940302</x:v>
      </x:c>
      <x:c r="F93" s="10" t="n">
        <x:v>81.55688698404961</x:v>
      </x:c>
      <x:c r="G93" s="10" t="n">
        <x:v>92.03085009663761</x:v>
      </x:c>
      <x:c r="H93" s="12" t="n">
        <x:v>-0.11380926180285997</x:v>
      </x:c>
      <x:c r="I93" s="12" t="n">
        <x:f>IF(AND(ISNUMBER(F93),ISNUMBER(G93),G93&gt;0),F93/G93-1,"n.a.")</x:f>
        <x:v>-0.11380926180286</x:v>
      </x:c>
      <x:c r="J93" s="2" t="n">
        <x:f>IF(AND(ISNUMBER(E93),ISNUMBER(H93)),IF(SIGN(E93)=SIGN(H93),1,0),"n.a.")</x:f>
        <x:v>0</x:v>
      </x:c>
      <x:c r="K93" s="2" t="str">
        <x:v>Cuadro 2!BM116</x:v>
      </x:c>
      <x:c r="L93" s="2" t="str">
        <x:v>Cuadro 3!BM115</x:v>
      </x:c>
      <x:c r="M93" s="2"/>
    </x:row>
    <x:row r="94" ht="36" customHeight="1">
      <x:c r="A94" s="4" t="n">
        <x:v>45689</x:v>
      </x:c>
      <x:c r="B94" s="32" t="str">
        <x:v>IPI Productos textiles</x:v>
      </x:c>
      <x:c r="C94" s="10" t="n">
        <x:v>59.01992857142857</x:v>
      </x:c>
      <x:c r="D94" s="10" t="n">
        <x:v>61.237347701149424</x:v>
      </x:c>
      <x:c r="E94" s="12" t="n">
        <x:f>IF(AND(ISNUMBER(C94),ISNUMBER(D94),D94&gt;0),C94/D94-1,"n.a.")</x:f>
        <x:v>-0.03621024118389815</x:v>
      </x:c>
      <x:c r="F94" s="10" t="n">
        <x:v>65.89799253208027</x:v>
      </x:c>
      <x:c r="G94" s="10" t="n">
        <x:v>62.671469895953</x:v>
      </x:c>
      <x:c r="H94" s="12" t="n">
        <x:v>0.05148311730176317</x:v>
      </x:c>
      <x:c r="I94" s="12" t="n">
        <x:f>IF(AND(ISNUMBER(F94),ISNUMBER(G94),G94&gt;0),F94/G94-1,"n.a.")</x:f>
        <x:v>0.05148311730176314</x:v>
      </x:c>
      <x:c r="J94" s="2" t="n">
        <x:f>IF(AND(ISNUMBER(E94),ISNUMBER(H94)),IF(SIGN(E94)=SIGN(H94),1,0),"n.a.")</x:f>
        <x:v>0</x:v>
      </x:c>
      <x:c r="K94" s="2" t="str">
        <x:v>Cuadro 2!V116</x:v>
      </x:c>
      <x:c r="L94" s="2" t="str">
        <x:v>Cuadro 3!V115</x:v>
      </x:c>
      <x:c r="M94" s="2"/>
    </x:row>
    <x:row r="95" ht="36" customHeight="1">
      <x:c r="A95" s="4" t="n">
        <x:v>45717</x:v>
      </x:c>
      <x:c r="B95" s="32" t="str">
        <x:v>IPI Cemento</x:v>
      </x:c>
      <x:c r="C95" s="10" t="n">
        <x:v>142.41225403225806</x:v>
      </x:c>
      <x:c r="D95" s="10" t="n">
        <x:v>131.9065887096774</x:v>
      </x:c>
      <x:c r="E95" s="12" t="n">
        <x:f>IF(AND(ISNUMBER(C95),ISNUMBER(D95),D95&gt;0),C95/D95-1,"n.a.")</x:f>
        <x:v>0.07964473515195913</x:v>
      </x:c>
      <x:c r="F95" s="10" t="n">
        <x:v>141.17007098583082</x:v>
      </x:c>
      <x:c r="G95" s="10" t="n">
        <x:v>126.33351268335076</x:v>
      </x:c>
      <x:c r="H95" s="12" t="n">
        <x:v>0.1174396087573946</x:v>
      </x:c>
      <x:c r="I95" s="12" t="n">
        <x:f>IF(AND(ISNUMBER(F95),ISNUMBER(G95),G95&gt;0),F95/G95-1,"n.a.")</x:f>
        <x:v>0.11743960875739456</x:v>
      </x:c>
      <x:c r="J95" s="2" t="n">
        <x:f>IF(AND(ISNUMBER(E95),ISNUMBER(H95)),IF(SIGN(E95)=SIGN(H95),1,0),"n.a.")</x:f>
        <x:v>1</x:v>
      </x:c>
      <x:c r="K95" s="2" t="str">
        <x:v>Cuadro 2!BE117</x:v>
      </x:c>
      <x:c r="L95" s="2" t="str">
        <x:v>Cuadro 3!BE116</x:v>
      </x:c>
      <x:c r="M95" s="2"/>
    </x:row>
    <x:row r="96" ht="36" customHeight="1">
      <x:c r="A96" s="4" t="n">
        <x:v>45717</x:v>
      </x:c>
      <x:c r="B96" s="32" t="str">
        <x:v>IPI Productos de metal</x:v>
      </x:c>
      <x:c r="C96" s="10" t="n">
        <x:v>28.755403225806454</x:v>
      </x:c>
      <x:c r="D96" s="10" t="n">
        <x:v>43.05391666666667</x:v>
      </x:c>
      <x:c r="E96" s="12" t="n">
        <x:f>IF(AND(ISNUMBER(C96),ISNUMBER(D96),D96&gt;0),C96/D96-1,"n.a.")</x:f>
        <x:v>-0.33210714722106704</x:v>
      </x:c>
      <x:c r="F96" s="10" t="n">
        <x:v>81.45448634389388</x:v>
      </x:c>
      <x:c r="G96" s="10" t="n">
        <x:v>87.93599377101684</x:v>
      </x:c>
      <x:c r="H96" s="12" t="n">
        <x:v>-0.07370710387376363</x:v>
      </x:c>
      <x:c r="I96" s="12" t="n">
        <x:f>IF(AND(ISNUMBER(F96),ISNUMBER(G96),G96&gt;0),F96/G96-1,"n.a.")</x:f>
        <x:v>-0.07370710387376356</x:v>
      </x:c>
      <x:c r="J96" s="2" t="n">
        <x:f>IF(AND(ISNUMBER(E96),ISNUMBER(H96)),IF(SIGN(E96)=SIGN(H96),1,0),"n.a.")</x:f>
        <x:v>1</x:v>
      </x:c>
      <x:c r="K96" s="2" t="str">
        <x:v>Cuadro 2!BM117</x:v>
      </x:c>
      <x:c r="L96" s="2" t="str">
        <x:v>Cuadro 3!BM116</x:v>
      </x:c>
      <x:c r="M96" s="2"/>
    </x:row>
    <x:row r="97" ht="36" customHeight="1">
      <x:c r="A97" s="4" t="n">
        <x:v>45717</x:v>
      </x:c>
      <x:c r="B97" s="32" t="str">
        <x:v>IPI Productos textiles</x:v>
      </x:c>
      <x:c r="C97" s="10" t="n">
        <x:v>55.125762096774196</x:v>
      </x:c>
      <x:c r="D97" s="10" t="n">
        <x:v>55.346901881720434</x:v>
      </x:c>
      <x:c r="E97" s="12" t="n">
        <x:f>IF(AND(ISNUMBER(C97),ISNUMBER(D97),D97&gt;0),C97/D97-1,"n.a.")</x:f>
        <x:v>-0.0039955223766422465</x:v>
      </x:c>
      <x:c r="F97" s="10" t="n">
        <x:v>75.8666048272067</x:v>
      </x:c>
      <x:c r="G97" s="10" t="n">
        <x:v>63.05520593305151</x:v>
      </x:c>
      <x:c r="H97" s="12" t="n">
        <x:v>0.20317749668056934</x:v>
      </x:c>
      <x:c r="I97" s="12" t="n">
        <x:f>IF(AND(ISNUMBER(F97),ISNUMBER(G97),G97&gt;0),F97/G97-1,"n.a.")</x:f>
        <x:v>0.20317749668056928</x:v>
      </x:c>
      <x:c r="J97" s="2" t="n">
        <x:f>IF(AND(ISNUMBER(E97),ISNUMBER(H97)),IF(SIGN(E97)=SIGN(H97),1,0),"n.a.")</x:f>
        <x:v>0</x:v>
      </x:c>
      <x:c r="K97" s="2" t="str">
        <x:v>Cuadro 2!V117</x:v>
      </x:c>
      <x:c r="L97" s="2" t="str">
        <x:v>Cuadro 3!V116</x:v>
      </x:c>
      <x:c r="M97" s="2"/>
    </x:row>
    <x:row r="98" ht="36" customHeight="1">
      <x:c r="A98" s="4" t="n">
        <x:v>45748</x:v>
      </x:c>
      <x:c r="B98" s="32" t="str">
        <x:v>IPI Cemento</x:v>
      </x:c>
      <x:c r="C98" s="10" t="n">
        <x:v>149.36918888888889</x:v>
      </x:c>
      <x:c r="D98" s="10" t="n">
        <x:v>141.21971805555555</x:v>
      </x:c>
      <x:c r="E98" s="12" t="n">
        <x:f>IF(AND(ISNUMBER(C98),ISNUMBER(D98),D98&gt;0),C98/D98-1,"n.a.")</x:f>
        <x:v>0.05770774043131399</x:v>
      </x:c>
      <x:c r="F98" s="10" t="n">
        <x:v>159.4755411080633</x:v>
      </x:c>
      <x:c r="G98" s="10" t="n">
        <x:v>121.6302676739049</x:v>
      </x:c>
      <x:c r="H98" s="12" t="n">
        <x:v>0.31115012864744274</x:v>
      </x:c>
      <x:c r="I98" s="12" t="n">
        <x:f>IF(AND(ISNUMBER(F98),ISNUMBER(G98),G98&gt;0),F98/G98-1,"n.a.")</x:f>
        <x:v>0.31115012864744274</x:v>
      </x:c>
      <x:c r="J98" s="2" t="n">
        <x:f>IF(AND(ISNUMBER(E98),ISNUMBER(H98)),IF(SIGN(E98)=SIGN(H98),1,0),"n.a.")</x:f>
        <x:v>1</x:v>
      </x:c>
      <x:c r="K98" s="2" t="str">
        <x:v>Cuadro 2!BE118</x:v>
      </x:c>
      <x:c r="L98" s="2" t="str">
        <x:v>Cuadro 3!BE117</x:v>
      </x:c>
      <x:c r="M98" s="2"/>
    </x:row>
    <x:row r="99" ht="36" customHeight="1">
      <x:c r="A99" s="4" t="n">
        <x:v>45748</x:v>
      </x:c>
      <x:c r="B99" s="32" t="str">
        <x:v>IPI Productos de metal</x:v>
      </x:c>
      <x:c r="C99" s="10" t="n">
        <x:v>31.430494444444445</x:v>
      </x:c>
      <x:c r="D99" s="10" t="n">
        <x:v>41.50441111111111</x:v>
      </x:c>
      <x:c r="E99" s="12" t="n">
        <x:f>IF(AND(ISNUMBER(C99),ISNUMBER(D99),D99&gt;0),C99/D99-1,"n.a.")</x:f>
        <x:v>-0.2427191808527982</x:v>
      </x:c>
      <x:c r="F99" s="10" t="n">
        <x:v>84.96684347180825</x:v>
      </x:c>
      <x:c r="G99" s="10" t="n">
        <x:v>90.12273078059611</x:v>
      </x:c>
      <x:c r="H99" s="12" t="n">
        <x:v>-0.05720962141437852</x:v>
      </x:c>
      <x:c r="I99" s="12" t="n">
        <x:f>IF(AND(ISNUMBER(F99),ISNUMBER(G99),G99&gt;0),F99/G99-1,"n.a.")</x:f>
        <x:v>-0.057209621414378575</x:v>
      </x:c>
      <x:c r="J99" s="2" t="n">
        <x:f>IF(AND(ISNUMBER(E99),ISNUMBER(H99)),IF(SIGN(E99)=SIGN(H99),1,0),"n.a.")</x:f>
        <x:v>1</x:v>
      </x:c>
      <x:c r="K99" s="2" t="str">
        <x:v>Cuadro 2!BM118</x:v>
      </x:c>
      <x:c r="L99" s="2" t="str">
        <x:v>Cuadro 3!BM117</x:v>
      </x:c>
      <x:c r="M99" s="2"/>
    </x:row>
    <x:row r="100" ht="36" customHeight="1">
      <x:c r="A100" s="4" t="n">
        <x:v>45748</x:v>
      </x:c>
      <x:c r="B100" s="32" t="str">
        <x:v>IPI Productos textiles</x:v>
      </x:c>
      <x:c r="C100" s="10" t="n">
        <x:v>50.211259722222216</x:v>
      </x:c>
      <x:c r="D100" s="10" t="n">
        <x:v>49.75077361111111</x:v>
      </x:c>
      <x:c r="E100" s="12" t="n">
        <x:f>IF(AND(ISNUMBER(C100),ISNUMBER(D100),D100&gt;0),C100/D100-1,"n.a.")</x:f>
        <x:v>0.009255858305050824</x:v>
      </x:c>
      <x:c r="F100" s="10" t="n">
        <x:v>79.16644486254324</x:v>
      </x:c>
      <x:c r="G100" s="10" t="n">
        <x:v>63.31409355054925</x:v>
      </x:c>
      <x:c r="H100" s="12" t="n">
        <x:v>0.2503763447128506</x:v>
      </x:c>
      <x:c r="I100" s="12" t="n">
        <x:f>IF(AND(ISNUMBER(F100),ISNUMBER(G100),G100&gt;0),F100/G100-1,"n.a.")</x:f>
        <x:v>0.25037634471285064</x:v>
      </x:c>
      <x:c r="J100" s="2" t="n">
        <x:f>IF(AND(ISNUMBER(E100),ISNUMBER(H100)),IF(SIGN(E100)=SIGN(H100),1,0),"n.a.")</x:f>
        <x:v>1</x:v>
      </x:c>
      <x:c r="K100" s="2" t="str">
        <x:v>Cuadro 2!V118</x:v>
      </x:c>
      <x:c r="L100" s="2" t="str">
        <x:v>Cuadro 3!V117</x:v>
      </x:c>
      <x:c r="M100" s="2"/>
    </x:row>
    <x:row r="101" ht="36" customHeight="1">
      <x:c r="A101" s="4" t="n">
        <x:v>45778</x:v>
      </x:c>
      <x:c r="B101" s="32" t="str">
        <x:v>IPI Cemento</x:v>
      </x:c>
      <x:c r="C101" s="10" t="n">
        <x:v>109.74640591397849</x:v>
      </x:c>
      <x:c r="D101" s="10" t="n">
        <x:v>105.73363978494623</x:v>
      </x:c>
      <x:c r="E101" s="12" t="n">
        <x:f>IF(AND(ISNUMBER(C101),ISNUMBER(D101),D101&gt;0),C101/D101-1,"n.a.")</x:f>
        <x:v>0.03795165036589965</x:v>
      </x:c>
      <x:c r="F101" s="10" t="n">
        <x:v>158.66793837288228</x:v>
      </x:c>
      <x:c r="G101" s="10" t="n">
        <x:v>147.218936803503</x:v>
      </x:c>
      <x:c r="H101" s="12" t="n">
        <x:v>0.07776853859949127</x:v>
      </x:c>
      <x:c r="I101" s="12" t="n">
        <x:f>IF(AND(ISNUMBER(F101),ISNUMBER(G101),G101&gt;0),F101/G101-1,"n.a.")</x:f>
        <x:v>0.07776853859949129</x:v>
      </x:c>
      <x:c r="J101" s="2" t="n">
        <x:f>IF(AND(ISNUMBER(E101),ISNUMBER(H101)),IF(SIGN(E101)=SIGN(H101),1,0),"n.a.")</x:f>
        <x:v>1</x:v>
      </x:c>
      <x:c r="K101" s="2" t="str">
        <x:v>Cuadro 2!BE119</x:v>
      </x:c>
      <x:c r="L101" s="2" t="str">
        <x:v>Cuadro 3!BE118</x:v>
      </x:c>
      <x:c r="M101" s="2"/>
    </x:row>
    <x:row r="102" ht="36" customHeight="1">
      <x:c r="A102" s="4" t="n">
        <x:v>45778</x:v>
      </x:c>
      <x:c r="B102" s="32" t="str">
        <x:v>IPI Productos de metal</x:v>
      </x:c>
      <x:c r="C102" s="10" t="n">
        <x:v>30.53157258064516</x:v>
      </x:c>
      <x:c r="D102" s="10" t="n">
        <x:v>37.319522849462366</x:v>
      </x:c>
      <x:c r="E102" s="12" t="n">
        <x:f>IF(AND(ISNUMBER(C102),ISNUMBER(D102),D102&gt;0),C102/D102-1,"n.a.")</x:f>
        <x:v>-0.18188738093458756</x:v>
      </x:c>
      <x:c r="F102" s="10" t="n">
        <x:v>85.6563710371644</x:v>
      </x:c>
      <x:c r="G102" s="10" t="n">
        <x:v>98.93225695459509</x:v>
      </x:c>
      <x:c r="H102" s="12" t="n">
        <x:v>-0.13419168152126204</x:v>
      </x:c>
      <x:c r="I102" s="12" t="n">
        <x:f>IF(AND(ISNUMBER(F102),ISNUMBER(G102),G102&gt;0),F102/G102-1,"n.a.")</x:f>
        <x:v>-0.13419168152126204</x:v>
      </x:c>
      <x:c r="J102" s="2" t="n">
        <x:f>IF(AND(ISNUMBER(E102),ISNUMBER(H102)),IF(SIGN(E102)=SIGN(H102),1,0),"n.a.")</x:f>
        <x:v>1</x:v>
      </x:c>
      <x:c r="K102" s="2" t="str">
        <x:v>Cuadro 2!BM119</x:v>
      </x:c>
      <x:c r="L102" s="2" t="str">
        <x:v>Cuadro 3!BM118</x:v>
      </x:c>
      <x:c r="M102" s="2"/>
    </x:row>
    <x:row r="103" ht="36" customHeight="1">
      <x:c r="A103" s="4" t="n">
        <x:v>45778</x:v>
      </x:c>
      <x:c r="B103" s="32" t="str">
        <x:v>IPI Productos textiles</x:v>
      </x:c>
      <x:c r="C103" s="10" t="n">
        <x:v>55.273020161290326</x:v>
      </x:c>
      <x:c r="D103" s="10" t="n">
        <x:v>50.00282392473118</x:v>
      </x:c>
      <x:c r="E103" s="12" t="n">
        <x:f>IF(AND(ISNUMBER(C103),ISNUMBER(D103),D103&gt;0),C103/D103-1,"n.a.")</x:f>
        <x:v>0.10539797201238721</x:v>
      </x:c>
      <x:c r="F103" s="10" t="n">
        <x:v>82.26610080647576</x:v>
      </x:c>
      <x:c r="G103" s="10" t="n">
        <x:v>75.68820761401612</x:v>
      </x:c>
      <x:c r="H103" s="12" t="n">
        <x:v>0.08690776806348267</x:v>
      </x:c>
      <x:c r="I103" s="12" t="n">
        <x:f>IF(AND(ISNUMBER(F103),ISNUMBER(G103),G103&gt;0),F103/G103-1,"n.a.")</x:f>
        <x:v>0.08690776806348266</x:v>
      </x:c>
      <x:c r="J103" s="2" t="n">
        <x:f>IF(AND(ISNUMBER(E103),ISNUMBER(H103)),IF(SIGN(E103)=SIGN(H103),1,0),"n.a.")</x:f>
        <x:v>1</x:v>
      </x:c>
      <x:c r="K103" s="2" t="str">
        <x:v>Cuadro 2!V119</x:v>
      </x:c>
      <x:c r="L103" s="2" t="str">
        <x:v>Cuadro 3!V118</x:v>
      </x:c>
      <x:c r="M103" s="2"/>
    </x:row>
    <x:row r="104" ht="36" customHeight="1">
      <x:c r="A104" s="4" t="n">
        <x:v>45809</x:v>
      </x:c>
      <x:c r="B104" s="32" t="str">
        <x:v>IPI Cemento</x:v>
      </x:c>
      <x:c r="C104" s="10" t="n">
        <x:v>111.61258055555555</x:v>
      </x:c>
      <x:c r="D104" s="10" t="n">
        <x:v>98.02053055555555</x:v>
      </x:c>
      <x:c r="E104" s="12" t="n">
        <x:f>IF(AND(ISNUMBER(C104),ISNUMBER(D104),D104&gt;0),C104/D104-1,"n.a.")</x:f>
        <x:v>0.13866533799565972</x:v>
      </x:c>
      <x:c r="F104" s="10" t="n">
        <x:v>161.0867171991337</x:v>
      </x:c>
      <x:c r="G104" s="10" t="n">
        <x:v>144.14816603281227</x:v>
      </x:c>
      <x:c r="H104" s="12" t="n">
        <x:v>0.11750792002768677</x:v>
      </x:c>
      <x:c r="I104" s="12" t="n">
        <x:f>IF(AND(ISNUMBER(F104),ISNUMBER(G104),G104&gt;0),F104/G104-1,"n.a.")</x:f>
        <x:v>0.11750792002768673</x:v>
      </x:c>
      <x:c r="J104" s="2" t="n">
        <x:f>IF(AND(ISNUMBER(E104),ISNUMBER(H104)),IF(SIGN(E104)=SIGN(H104),1,0),"n.a.")</x:f>
        <x:v>1</x:v>
      </x:c>
      <x:c r="K104" s="2" t="str">
        <x:v>Cuadro 2!BE120</x:v>
      </x:c>
      <x:c r="L104" s="2" t="str">
        <x:v>Cuadro 3!BE119</x:v>
      </x:c>
      <x:c r="M104" s="2"/>
    </x:row>
    <x:row r="105" ht="36" customHeight="1">
      <x:c r="A105" s="4" t="n">
        <x:v>45809</x:v>
      </x:c>
      <x:c r="B105" s="32" t="str">
        <x:v>IPI Productos de metal</x:v>
      </x:c>
      <x:c r="C105" s="10" t="n">
        <x:v>38.19257777777777</x:v>
      </x:c>
      <x:c r="D105" s="10" t="n">
        <x:v>37.63717777777777</x:v>
      </x:c>
      <x:c r="E105" s="12" t="n">
        <x:f>IF(AND(ISNUMBER(C105),ISNUMBER(D105),D105&gt;0),C105/D105-1,"n.a.")</x:f>
        <x:v>0.014756685617589582</x:v>
      </x:c>
      <x:c r="F105" s="10" t="n">
        <x:v>83.53235521343177</x:v>
      </x:c>
      <x:c r="G105" s="10" t="n">
        <x:v>87.01137124190129</x:v>
      </x:c>
      <x:c r="H105" s="12" t="n">
        <x:v>-0.03998346398653425</x:v>
      </x:c>
      <x:c r="I105" s="12" t="n">
        <x:f>IF(AND(ISNUMBER(F105),ISNUMBER(G105),G105&gt;0),F105/G105-1,"n.a.")</x:f>
        <x:v>-0.039983463986534185</x:v>
      </x:c>
      <x:c r="J105" s="2" t="n">
        <x:f>IF(AND(ISNUMBER(E105),ISNUMBER(H105)),IF(SIGN(E105)=SIGN(H105),1,0),"n.a.")</x:f>
        <x:v>0</x:v>
      </x:c>
      <x:c r="K105" s="2" t="str">
        <x:v>Cuadro 2!BM120</x:v>
      </x:c>
      <x:c r="L105" s="2" t="str">
        <x:v>Cuadro 3!BM119</x:v>
      </x:c>
      <x:c r="M105" s="2"/>
    </x:row>
    <x:row r="106" ht="36" customHeight="1">
      <x:c r="A106" s="4" t="n">
        <x:v>45809</x:v>
      </x:c>
      <x:c r="B106" s="32" t="str">
        <x:v>IPI Productos textiles</x:v>
      </x:c>
      <x:c r="C106" s="10" t="n">
        <x:v>53.01022777777778</x:v>
      </x:c>
      <x:c r="D106" s="10" t="n">
        <x:v>45.67310416666667</x:v>
      </x:c>
      <x:c r="E106" s="12" t="n">
        <x:f>IF(AND(ISNUMBER(C106),ISNUMBER(D106),D106&gt;0),C106/D106-1,"n.a.")</x:f>
        <x:v>0.16064429482036213</x:v>
      </x:c>
      <x:c r="F106" s="10" t="n">
        <x:v>82.81280205210852</x:v>
      </x:c>
      <x:c r="G106" s="10" t="n">
        <x:v>78.67797660557494</x:v>
      </x:c>
      <x:c r="H106" s="12" t="n">
        <x:v>0.05255378474286545</x:v>
      </x:c>
      <x:c r="I106" s="12" t="n">
        <x:f>IF(AND(ISNUMBER(F106),ISNUMBER(G106),G106&gt;0),F106/G106-1,"n.a.")</x:f>
        <x:v>0.05255378474286543</x:v>
      </x:c>
      <x:c r="J106" s="2" t="n">
        <x:f>IF(AND(ISNUMBER(E106),ISNUMBER(H106)),IF(SIGN(E106)=SIGN(H106),1,0),"n.a.")</x:f>
        <x:v>1</x:v>
      </x:c>
      <x:c r="K106" s="2" t="str">
        <x:v>Cuadro 2!V120</x:v>
      </x:c>
      <x:c r="L106" s="2" t="str">
        <x:v>Cuadro 3!V119</x:v>
      </x:c>
      <x:c r="M106" s="2"/>
    </x:row>
    <x:row r="107" ht="36" customHeight="1">
      <x:c r="A107" s="4" t="n">
        <x:v>45839</x:v>
      </x:c>
      <x:c r="B107" s="32" t="str">
        <x:v>IPI Cemento</x:v>
      </x:c>
      <x:c r="C107" s="10" t="n">
        <x:v>122.29569086021505</x:v>
      </x:c>
      <x:c r="D107" s="10" t="n">
        <x:v>127.71007930107527</x:v>
      </x:c>
      <x:c r="E107" s="12" t="n">
        <x:f>IF(AND(ISNUMBER(C107),ISNUMBER(D107),D107&gt;0),C107/D107-1,"n.a.")</x:f>
        <x:v>-0.04239593672239328</x:v>
      </x:c>
      <x:c r="F107" s="10" t="n">
        <x:v>167.49112777049808</x:v>
      </x:c>
      <x:c r="G107" s="10" t="n">
        <x:v>174.4657914492414</x:v>
      </x:c>
      <x:c r="H107" s="12" t="n">
        <x:v>-0.03997725640543422</x:v>
      </x:c>
      <x:c r="I107" s="12" t="n">
        <x:f>IF(AND(ISNUMBER(F107),ISNUMBER(G107),G107&gt;0),F107/G107-1,"n.a.")</x:f>
        <x:v>-0.03997725640543415</x:v>
      </x:c>
      <x:c r="J107" s="2" t="n">
        <x:f>IF(AND(ISNUMBER(E107),ISNUMBER(H107)),IF(SIGN(E107)=SIGN(H107),1,0),"n.a.")</x:f>
        <x:v>1</x:v>
      </x:c>
      <x:c r="K107" s="2" t="str">
        <x:v>Cuadro 2!BE121</x:v>
      </x:c>
      <x:c r="L107" s="2" t="str">
        <x:v>Cuadro 3!BE120</x:v>
      </x:c>
      <x:c r="M107" s="2"/>
    </x:row>
    <x:row r="108" ht="36" customHeight="1">
      <x:c r="A108" s="4" t="n">
        <x:v>45839</x:v>
      </x:c>
      <x:c r="B108" s="32" t="str">
        <x:v>IPI Productos de metal</x:v>
      </x:c>
      <x:c r="C108" s="10" t="n">
        <x:v>43.541455645161285</x:v>
      </x:c>
      <x:c r="D108" s="10" t="n">
        <x:v>39.46702284946237</x:v>
      </x:c>
      <x:c r="E108" s="12" t="n">
        <x:f>IF(AND(ISNUMBER(C108),ISNUMBER(D108),D108&gt;0),C108/D108-1,"n.a.")</x:f>
        <x:v>0.10323638576033156</x:v>
      </x:c>
      <x:c r="F108" s="10" t="n">
        <x:v>92.54436380203461</x:v>
      </x:c>
      <x:c r="G108" s="10" t="n">
        <x:v>101.27635985033315</x:v>
      </x:c>
      <x:c r="H108" s="12" t="n">
        <x:v>-0.08621948953539345</x:v>
      </x:c>
      <x:c r="I108" s="12" t="n">
        <x:f>IF(AND(ISNUMBER(F108),ISNUMBER(G108),G108&gt;0),F108/G108-1,"n.a.")</x:f>
        <x:v>-0.08621948953539349</x:v>
      </x:c>
      <x:c r="J108" s="2" t="n">
        <x:f>IF(AND(ISNUMBER(E108),ISNUMBER(H108)),IF(SIGN(E108)=SIGN(H108),1,0),"n.a.")</x:f>
        <x:v>0</x:v>
      </x:c>
      <x:c r="K108" s="2" t="str">
        <x:v>Cuadro 2!BM121</x:v>
      </x:c>
      <x:c r="L108" s="2" t="str">
        <x:v>Cuadro 3!BM120</x:v>
      </x:c>
      <x:c r="M108" s="2"/>
    </x:row>
    <x:row r="109" ht="36" customHeight="1">
      <x:c r="A109" s="4" t="n">
        <x:v>45839</x:v>
      </x:c>
      <x:c r="B109" s="32" t="str">
        <x:v>IPI Productos textiles</x:v>
      </x:c>
      <x:c r="C109" s="10" t="n">
        <x:v>49.99107795698925</x:v>
      </x:c>
      <x:c r="D109" s="10" t="n">
        <x:v>53.51257258064516</x:v>
      </x:c>
      <x:c r="E109" s="12" t="n">
        <x:f>IF(AND(ISNUMBER(C109),ISNUMBER(D109),D109&gt;0),C109/D109-1,"n.a.")</x:f>
        <x:v>-0.06580686470172792</x:v>
      </x:c>
      <x:c r="F109" s="10" t="n">
        <x:v>84.22031768199192</x:v>
      </x:c>
      <x:c r="G109" s="10" t="n">
        <x:v>93.98884652874774</x:v>
      </x:c>
      <x:c r="H109" s="12" t="n">
        <x:v>-0.10393285168967353</x:v>
      </x:c>
      <x:c r="I109" s="12" t="n">
        <x:f>IF(AND(ISNUMBER(F109),ISNUMBER(G109),G109&gt;0),F109/G109-1,"n.a.")</x:f>
        <x:v>-0.10393285168967359</x:v>
      </x:c>
      <x:c r="J109" s="2" t="n">
        <x:f>IF(AND(ISNUMBER(E109),ISNUMBER(H109)),IF(SIGN(E109)=SIGN(H109),1,0),"n.a.")</x:f>
        <x:v>1</x:v>
      </x:c>
      <x:c r="K109" s="2" t="str">
        <x:v>Cuadro 2!V121</x:v>
      </x:c>
      <x:c r="L109" s="2" t="str">
        <x:v>Cuadro 3!V120</x:v>
      </x:c>
      <x:c r="M109" s="2"/>
    </x:row>
    <x:row r="110" ht="36" customHeight="1">
      <x:c r="A110" s="4" t="n">
        <x:v>45870</x:v>
      </x:c>
      <x:c r="B110" s="32" t="str">
        <x:v>IPI Cemento</x:v>
      </x:c>
      <x:c r="C110" s="10" t="n">
        <x:v>122.58155241935485</x:v>
      </x:c>
      <x:c r="D110" s="10" t="n">
        <x:v>133.24863978494622</x:v>
      </x:c>
      <x:c r="E110" s="12" t="n">
        <x:f>IF(AND(ISNUMBER(C110),ISNUMBER(D110),D110&gt;0),C110/D110-1,"n.a.")</x:f>
        <x:v>-0.08005400567545973</x:v>
      </x:c>
      <x:c r="F110" s="10" t="n">
        <x:v>172.59999696197593</x:v>
      </x:c>
      <x:c r="G110" s="10" t="n">
        <x:v>175.1548153081236</x:v>
      </x:c>
      <x:c r="H110" s="12" t="n">
        <x:v>-0.014586058291651084</x:v>
      </x:c>
      <x:c r="I110" s="12" t="n">
        <x:f>IF(AND(ISNUMBER(F110),ISNUMBER(G110),G110&gt;0),F110/G110-1,"n.a.")</x:f>
        <x:v>-0.01458605829165105</x:v>
      </x:c>
      <x:c r="J110" s="2" t="n">
        <x:f>IF(AND(ISNUMBER(E110),ISNUMBER(H110)),IF(SIGN(E110)=SIGN(H110),1,0),"n.a.")</x:f>
        <x:v>1</x:v>
      </x:c>
      <x:c r="K110" s="2" t="str">
        <x:v>Cuadro 2!BE122</x:v>
      </x:c>
      <x:c r="L110" s="2" t="str">
        <x:v>Cuadro 3!BE121</x:v>
      </x:c>
      <x:c r="M110" s="2"/>
    </x:row>
    <x:row r="111" ht="36" customHeight="1">
      <x:c r="A111" s="4" t="n">
        <x:v>45870</x:v>
      </x:c>
      <x:c r="B111" s="32" t="str">
        <x:v>IPI Productos de metal</x:v>
      </x:c>
      <x:c r="C111" s="10" t="n">
        <x:v>47.62105241935484</x:v>
      </x:c>
      <x:c r="D111" s="10" t="n">
        <x:v>41.913873655913974</x:v>
      </x:c>
      <x:c r="E111" s="12" t="n">
        <x:f>IF(AND(ISNUMBER(C111),ISNUMBER(D111),D111&gt;0),C111/D111-1,"n.a.")</x:f>
        <x:v>0.13616443114499854</x:v>
      </x:c>
      <x:c r="F111" s="10" t="n">
        <x:v>90.13387647201753</x:v>
      </x:c>
      <x:c r="G111" s="10" t="n">
        <x:v>109.58906302070793</x:v>
      </x:c>
      <x:c r="H111" s="12" t="n">
        <x:v>-0.17752854173973673</x:v>
      </x:c>
      <x:c r="I111" s="12" t="n">
        <x:f>IF(AND(ISNUMBER(F111),ISNUMBER(G111),G111&gt;0),F111/G111-1,"n.a.")</x:f>
        <x:v>-0.17752854173973676</x:v>
      </x:c>
      <x:c r="J111" s="2" t="n">
        <x:f>IF(AND(ISNUMBER(E111),ISNUMBER(H111)),IF(SIGN(E111)=SIGN(H111),1,0),"n.a.")</x:f>
        <x:v>0</x:v>
      </x:c>
      <x:c r="K111" s="2" t="str">
        <x:v>Cuadro 2!BM122</x:v>
      </x:c>
      <x:c r="L111" s="2" t="str">
        <x:v>Cuadro 3!BM121</x:v>
      </x:c>
      <x:c r="M111" s="2"/>
    </x:row>
    <x:row r="112" ht="36" customHeight="1">
      <x:c r="A112" s="4" t="n">
        <x:v>45870</x:v>
      </x:c>
      <x:c r="B112" s="32" t="str">
        <x:v>IPI Productos textiles</x:v>
      </x:c>
      <x:c r="C112" s="10" t="n">
        <x:v>50.04054166666667</x:v>
      </x:c>
      <x:c r="D112" s="10" t="n">
        <x:v>54.60349731182796</x:v>
      </x:c>
      <x:c r="E112" s="12" t="n">
        <x:f>IF(AND(ISNUMBER(C112),ISNUMBER(D112),D112&gt;0),C112/D112-1,"n.a.")</x:f>
        <x:v>-0.0835652635783255</x:v>
      </x:c>
      <x:c r="F112" s="10" t="n">
        <x:v>76.75517027903567</x:v>
      </x:c>
      <x:c r="G112" s="10" t="n">
        <x:v>94.7447004465239</x:v>
      </x:c>
      <x:c r="H112" s="12" t="n">
        <x:v>-0.18987373523484763</x:v>
      </x:c>
      <x:c r="I112" s="12" t="n">
        <x:f>IF(AND(ISNUMBER(F112),ISNUMBER(G112),G112&gt;0),F112/G112-1,"n.a.")</x:f>
        <x:v>-0.18987373523484763</x:v>
      </x:c>
      <x:c r="J112" s="2" t="n">
        <x:f>IF(AND(ISNUMBER(E112),ISNUMBER(H112)),IF(SIGN(E112)=SIGN(H112),1,0),"n.a.")</x:f>
        <x:v>1</x:v>
      </x:c>
      <x:c r="K112" s="2" t="str">
        <x:v>Cuadro 2!V122</x:v>
      </x:c>
      <x:c r="L112" s="2" t="str">
        <x:v>Cuadro 3!V121</x:v>
      </x:c>
      <x:c r="M112" s="2"/>
    </x:row>
    <x:row r="113" ht="36" customHeight="1">
      <x:c r="A113" s="4" t="n">
        <x:v>45901</x:v>
      </x:c>
      <x:c r="B113" s="32" t="str">
        <x:v>IPI Cemento</x:v>
      </x:c>
      <x:c r="C113" s="10" t="n">
        <x:v>147.98140833333335</x:v>
      </x:c>
      <x:c r="D113" s="10" t="n">
        <x:v>157.56987222222224</x:v>
      </x:c>
      <x:c r="E113" s="12" t="n">
        <x:f>IF(AND(ISNUMBER(C113),ISNUMBER(D113),D113&gt;0),C113/D113-1,"n.a.")</x:f>
        <x:v>-0.06085213977559234</x:v>
      </x:c>
      <x:c r="F113" s="10" t="n">
        <x:v>174.8535712372673</x:v>
      </x:c>
      <x:c r="G113" s="10" t="n">
        <x:v>176.25790585802994</x:v>
      </x:c>
      <x:c r="H113" s="12" t="n">
        <x:v>-0.007967498614750355</x:v>
      </x:c>
      <x:c r="I113" s="12" t="n">
        <x:f>IF(AND(ISNUMBER(F113),ISNUMBER(G113),G113&gt;0),F113/G113-1,"n.a.")</x:f>
        <x:v>-0.007967498614750324</x:v>
      </x:c>
      <x:c r="J113" s="2" t="n">
        <x:f>IF(AND(ISNUMBER(E113),ISNUMBER(H113)),IF(SIGN(E113)=SIGN(H113),1,0),"n.a.")</x:f>
        <x:v>1</x:v>
      </x:c>
      <x:c r="K113" s="2" t="str">
        <x:v>Cuadro 2!BE123</x:v>
      </x:c>
      <x:c r="L113" s="2" t="str">
        <x:v>Cuadro 3!BE122</x:v>
      </x:c>
      <x:c r="M113" s="2"/>
    </x:row>
    <x:row r="114" ht="36" customHeight="1">
      <x:c r="A114" s="4" t="n">
        <x:v>45901</x:v>
      </x:c>
      <x:c r="B114" s="32" t="str">
        <x:v>IPI Productos de metal</x:v>
      </x:c>
      <x:c r="C114" s="10" t="n">
        <x:v>48.4106111111111</x:v>
      </x:c>
      <x:c r="D114" s="10" t="n">
        <x:v>42.796524999999995</x:v>
      </x:c>
      <x:c r="E114" s="12" t="n">
        <x:f>IF(AND(ISNUMBER(C114),ISNUMBER(D114),D114&gt;0),C114/D114-1,"n.a.")</x:f>
        <x:v>0.13118088702554953</x:v>
      </x:c>
      <x:c r="F114" s="10" t="n">
        <x:v>90.40721728127484</x:v>
      </x:c>
      <x:c r="G114" s="10" t="n">
        <x:v>103.06180518364513</x:v>
      </x:c>
      <x:c r="H114" s="12" t="n">
        <x:v>-0.12278639870339134</x:v>
      </x:c>
      <x:c r="I114" s="12" t="n">
        <x:f>IF(AND(ISNUMBER(F114),ISNUMBER(G114),G114&gt;0),F114/G114-1,"n.a.")</x:f>
        <x:v>-0.12278639870339136</x:v>
      </x:c>
      <x:c r="J114" s="2" t="n">
        <x:f>IF(AND(ISNUMBER(E114),ISNUMBER(H114)),IF(SIGN(E114)=SIGN(H114),1,0),"n.a.")</x:f>
        <x:v>0</x:v>
      </x:c>
      <x:c r="K114" s="2" t="str">
        <x:v>Cuadro 2!BM123</x:v>
      </x:c>
      <x:c r="L114" s="2" t="str">
        <x:v>Cuadro 3!BM122</x:v>
      </x:c>
      <x:c r="M114" s="2"/>
    </x:row>
    <x:row r="115" ht="36" customHeight="1">
      <x:c r="A115" s="4" t="n">
        <x:v>45901</x:v>
      </x:c>
      <x:c r="B115" s="32" t="str">
        <x:v>IPI Productos textiles</x:v>
      </x:c>
      <x:c r="C115" s="10" t="n">
        <x:v>48.661901388888886</x:v>
      </x:c>
      <x:c r="D115" s="10" t="n">
        <x:v>55.916716666666666</x:v>
      </x:c>
      <x:c r="E115" s="12" t="n">
        <x:f>IF(AND(ISNUMBER(C115),ISNUMBER(D115),D115&gt;0),C115/D115-1,"n.a.")</x:f>
        <x:v>-0.12974322725394483</x:v>
      </x:c>
      <x:c r="F115" s="10" t="n">
        <x:v>65.22538410443126</x:v>
      </x:c>
      <x:c r="G115" s="10" t="n">
        <x:v>82.27867857393515</x:v>
      </x:c>
      <x:c r="H115" s="12" t="n">
        <x:v>-0.2072626197342231</x:v>
      </x:c>
      <x:c r="I115" s="12" t="n">
        <x:f>IF(AND(ISNUMBER(F115),ISNUMBER(G115),G115&gt;0),F115/G115-1,"n.a.")</x:f>
        <x:v>-0.2072626197342231</x:v>
      </x:c>
      <x:c r="J115" s="2" t="n">
        <x:f>IF(AND(ISNUMBER(E115),ISNUMBER(H115)),IF(SIGN(E115)=SIGN(H115),1,0),"n.a.")</x:f>
        <x:v>1</x:v>
      </x:c>
      <x:c r="K115" s="2" t="str">
        <x:v>Cuadro 2!V123</x:v>
      </x:c>
      <x:c r="L115" s="2" t="str">
        <x:v>Cuadro 3!V122</x:v>
      </x:c>
      <x:c r="M115" s="2"/>
    </x:row>
    <x:row r="116" ht="36" customHeight="1">
      <x:c r="A116" s="4" t="n">
        <x:v>45931</x:v>
      </x:c>
      <x:c r="B116" s="32" t="str">
        <x:v>IPI Cemento</x:v>
      </x:c>
      <x:c r="C116" s="10" t="n">
        <x:v>148.12838978494622</x:v>
      </x:c>
      <x:c r="D116" s="10" t="n">
        <x:v>172.92159543010752</x:v>
      </x:c>
      <x:c r="E116" s="12" t="n">
        <x:f>IF(AND(ISNUMBER(C116),ISNUMBER(D116),D116&gt;0),C116/D116-1,"n.a.")</x:f>
        <x:v>-0.1433783072813618</x:v>
      </x:c>
      <x:c r="F116" s="10" t="n">
        <x:v>187.19364125572727</x:v>
      </x:c>
      <x:c r="G116" s="10" t="n">
        <x:v>172.97376986008302</x:v>
      </x:c>
      <x:c r="H116" s="12" t="n">
        <x:v>0.08220825277235136</x:v>
      </x:c>
      <x:c r="I116" s="12" t="n">
        <x:f>IF(AND(ISNUMBER(F116),ISNUMBER(G116),G116&gt;0),F116/G116-1,"n.a.")</x:f>
        <x:v>0.08220825277235133</x:v>
      </x:c>
      <x:c r="J116" s="2" t="n">
        <x:f>IF(AND(ISNUMBER(E116),ISNUMBER(H116)),IF(SIGN(E116)=SIGN(H116),1,0),"n.a.")</x:f>
        <x:v>0</x:v>
      </x:c>
      <x:c r="K116" s="2" t="str">
        <x:v>Cuadro 2!BE124</x:v>
      </x:c>
      <x:c r="L116" s="2" t="str">
        <x:v>Cuadro 3!BE123</x:v>
      </x:c>
      <x:c r="M116" s="2"/>
    </x:row>
    <x:row r="117" ht="36" customHeight="1">
      <x:c r="A117" s="4" t="n">
        <x:v>45931</x:v>
      </x:c>
      <x:c r="B117" s="32" t="str">
        <x:v>IPI Productos de metal</x:v>
      </x:c>
      <x:c r="C117" s="10" t="n">
        <x:v>44.82654301075269</x:v>
      </x:c>
      <x:c r="D117" s="10" t="n">
        <x:v>43.676311827956994</x:v>
      </x:c>
      <x:c r="E117" s="12" t="n">
        <x:f>IF(AND(ISNUMBER(C117),ISNUMBER(D117),D117&gt;0),C117/D117-1,"n.a.")</x:f>
        <x:v>0.026335355130866045</x:v>
      </x:c>
      <x:c r="F117" s="10" t="n">
        <x:v>90.39244714094299</x:v>
      </x:c>
      <x:c r="G117" s="10" t="n">
        <x:v>99.79256690395611</x:v>
      </x:c>
      <x:c r="H117" s="12" t="n">
        <x:v>-0.09419659253840151</x:v>
      </x:c>
      <x:c r="I117" s="12" t="n">
        <x:f>IF(AND(ISNUMBER(F117),ISNUMBER(G117),G117&gt;0),F117/G117-1,"n.a.")</x:f>
        <x:v>-0.09419659253840151</x:v>
      </x:c>
      <x:c r="J117" s="2" t="n">
        <x:f>IF(AND(ISNUMBER(E117),ISNUMBER(H117)),IF(SIGN(E117)=SIGN(H117),1,0),"n.a.")</x:f>
        <x:v>0</x:v>
      </x:c>
      <x:c r="K117" s="2" t="str">
        <x:v>Cuadro 2!BM124</x:v>
      </x:c>
      <x:c r="L117" s="2" t="str">
        <x:v>Cuadro 3!BM123</x:v>
      </x:c>
      <x:c r="M117" s="2"/>
    </x:row>
    <x:row r="118" ht="36" customHeight="1">
      <x:c r="A118" s="4" t="n">
        <x:v>45931</x:v>
      </x:c>
      <x:c r="B118" s="32" t="str">
        <x:v>IPI Productos textiles</x:v>
      </x:c>
      <x:c r="C118" s="10" t="n">
        <x:v>43.08152419354839</x:v>
      </x:c>
      <x:c r="D118" s="10" t="n">
        <x:v>58.80636155913979</x:v>
      </x:c>
      <x:c r="E118" s="12" t="n">
        <x:f>IF(AND(ISNUMBER(C118),ISNUMBER(D118),D118&gt;0),C118/D118-1,"n.a.")</x:f>
        <x:v>-0.2674002769203363</x:v>
      </x:c>
      <x:c r="F118" s="10" t="n">
        <x:v>57.636167073717395</x:v>
      </x:c>
      <x:c r="G118" s="10" t="n">
        <x:v>76.24612819025289</x:v>
      </x:c>
      <x:c r="H118" s="12" t="n">
        <x:v>-0.24407745754773344</x:v>
      </x:c>
      <x:c r="I118" s="12" t="n">
        <x:f>IF(AND(ISNUMBER(F118),ISNUMBER(G118),G118&gt;0),F118/G118-1,"n.a.")</x:f>
        <x:v>-0.24407745754773347</x:v>
      </x:c>
      <x:c r="J118" s="2" t="n">
        <x:f>IF(AND(ISNUMBER(E118),ISNUMBER(H118)),IF(SIGN(E118)=SIGN(H118),1,0),"n.a.")</x:f>
        <x:v>1</x:v>
      </x:c>
      <x:c r="K118" s="2" t="str">
        <x:v>Cuadro 2!V124</x:v>
      </x:c>
      <x:c r="L118" s="2" t="str">
        <x:v>Cuadro 3!V123</x:v>
      </x:c>
      <x:c r="M118" s="2"/>
    </x:row>
    <x:row r="119" ht="36" customHeight="1">
      <x:c r="A119" s="4" t="n">
        <x:v>45962</x:v>
      </x:c>
      <x:c r="B119" s="32" t="str">
        <x:v>IPI Cemento</x:v>
      </x:c>
      <x:c r="C119" s="10" t="n">
        <x:v>157.78632083333335</x:v>
      </x:c>
      <x:c r="D119" s="10" t="n">
        <x:v>163.7979222222222</x:v>
      </x:c>
      <x:c r="E119" s="12" t="n">
        <x:f>IF(AND(ISNUMBER(C119),ISNUMBER(D119),D119&gt;0),C119/D119-1,"n.a.")</x:f>
        <x:v>-0.036701328730733285</x:v>
      </x:c>
      <x:c r="F119" s="10" t="n">
        <x:v>162.58430316921874</x:v>
      </x:c>
      <x:c r="G119" s="10" t="n">
        <x:v>167.74305991383204</x:v>
      </x:c>
      <x:c r="H119" s="12" t="n">
        <x:v>-0.030753920592978972</x:v>
      </x:c>
      <x:c r="I119" s="12" t="n">
        <x:f>IF(AND(ISNUMBER(F119),ISNUMBER(G119),G119&gt;0),F119/G119-1,"n.a.")</x:f>
        <x:v>-0.03075392059297899</x:v>
      </x:c>
      <x:c r="J119" s="2" t="n">
        <x:f>IF(AND(ISNUMBER(E119),ISNUMBER(H119)),IF(SIGN(E119)=SIGN(H119),1,0),"n.a.")</x:f>
        <x:v>1</x:v>
      </x:c>
      <x:c r="K119" s="2" t="str">
        <x:v>Cuadro 2!BE125</x:v>
      </x:c>
      <x:c r="L119" s="2" t="str">
        <x:v>Cuadro 3!BE124</x:v>
      </x:c>
      <x:c r="M119" s="2"/>
    </x:row>
    <x:row r="120" ht="36" customHeight="1">
      <x:c r="A120" s="4" t="n">
        <x:v>45962</x:v>
      </x:c>
      <x:c r="B120" s="32" t="str">
        <x:v>IPI Productos de metal</x:v>
      </x:c>
      <x:c r="C120" s="10" t="n">
        <x:v>41.39710138888889</x:v>
      </x:c>
      <x:c r="D120" s="10" t="n">
        <x:v>44.630475000000004</x:v>
      </x:c>
      <x:c r="E120" s="12" t="n">
        <x:f>IF(AND(ISNUMBER(C120),ISNUMBER(D120),D120&gt;0),C120/D120-1,"n.a.")</x:f>
        <x:v>-0.07244766297269101</x:v>
      </x:c>
      <x:c r="F120" s="10" t="n">
        <x:v>81.49528788956908</x:v>
      </x:c>
      <x:c r="G120" s="10" t="n">
        <x:v>97.73863447099517</x:v>
      </x:c>
      <x:c r="H120" s="12" t="n">
        <x:v>-0.16619166688119053</x:v>
      </x:c>
      <x:c r="I120" s="12" t="n">
        <x:f>IF(AND(ISNUMBER(F120),ISNUMBER(G120),G120&gt;0),F120/G120-1,"n.a.")</x:f>
        <x:v>-0.16619166688119058</x:v>
      </x:c>
      <x:c r="J120" s="2" t="n">
        <x:f>IF(AND(ISNUMBER(E120),ISNUMBER(H120)),IF(SIGN(E120)=SIGN(H120),1,0),"n.a.")</x:f>
        <x:v>1</x:v>
      </x:c>
      <x:c r="K120" s="2" t="str">
        <x:v>Cuadro 2!BM125</x:v>
      </x:c>
      <x:c r="L120" s="2" t="str">
        <x:v>Cuadro 3!BM124</x:v>
      </x:c>
      <x:c r="M120" s="2"/>
    </x:row>
    <x:row r="121" ht="36" customHeight="1">
      <x:c r="A121" s="4" t="n">
        <x:v>45962</x:v>
      </x:c>
      <x:c r="B121" s="32" t="str">
        <x:v>IPI Productos textiles</x:v>
      </x:c>
      <x:c r="C121" s="10" t="n">
        <x:v>43.06385416666667</x:v>
      </x:c>
      <x:c r="D121" s="10" t="n">
        <x:v>60.52300138888889</x:v>
      </x:c>
      <x:c r="E121" s="12" t="n">
        <x:f>IF(AND(ISNUMBER(C121),ISNUMBER(D121),D121&gt;0),C121/D121-1,"n.a.")</x:f>
        <x:v>-0.28847127243473847</x:v>
      </x:c>
      <x:c r="F121" s="10" t="n">
        <x:v>47.10621178595289</x:v>
      </x:c>
      <x:c r="G121" s="10" t="n">
        <x:v>73.29485718816181</x:v>
      </x:c>
      <x:c r="H121" s="12" t="n">
        <x:v>-0.3573053609338197</x:v>
      </x:c>
      <x:c r="I121" s="12" t="n">
        <x:f>IF(AND(ISNUMBER(F121),ISNUMBER(G121),G121&gt;0),F121/G121-1,"n.a.")</x:f>
        <x:v>-0.3573053609338197</x:v>
      </x:c>
      <x:c r="J121" s="2" t="n">
        <x:f>IF(AND(ISNUMBER(E121),ISNUMBER(H121)),IF(SIGN(E121)=SIGN(H121),1,0),"n.a.")</x:f>
        <x:v>1</x:v>
      </x:c>
      <x:c r="K121" s="2" t="str">
        <x:v>Cuadro 2!V125</x:v>
      </x:c>
      <x:c r="L121" s="2" t="str">
        <x:v>Cuadro 3!V124</x:v>
      </x:c>
      <x:c r="M121" s="2"/>
    </x:row>
    <x:row r="122" ht="36" customHeight="1">
      <x:c r="A122" s="4" t="n">
        <x:v>45992</x:v>
      </x:c>
      <x:c r="B122" s="32" t="str">
        <x:v>IPI Cemento</x:v>
      </x:c>
      <x:c r="C122" s="10" t="n">
        <x:v>142.4472244623656</x:v>
      </x:c>
      <x:c r="D122" s="10" t="n">
        <x:v>145.2862392473118</x:v>
      </x:c>
      <x:c r="E122" s="12" t="n">
        <x:f>IF(AND(ISNUMBER(C122),ISNUMBER(D122),D122&gt;0),C122/D122-1,"n.a.")</x:f>
        <x:v>-0.01954083745063795</x:v>
      </x:c>
      <x:c r="F122" s="10" t="n">
        <x:v>154.2563436740744</x:v>
      </x:c>
      <x:c r="G122" s="10" t="n">
        <x:v>162.2034308885501</x:v>
      </x:c>
      <x:c r="H122" s="12" t="n">
        <x:v>-0.04899456917120403</x:v>
      </x:c>
      <x:c r="I122" s="12" t="n">
        <x:f>IF(AND(ISNUMBER(F122),ISNUMBER(G122),G122&gt;0),F122/G122-1,"n.a.")</x:f>
        <x:v>-0.04899456917120404</x:v>
      </x:c>
      <x:c r="J122" s="2" t="n">
        <x:f>IF(AND(ISNUMBER(E122),ISNUMBER(H122)),IF(SIGN(E122)=SIGN(H122),1,0),"n.a.")</x:f>
        <x:v>1</x:v>
      </x:c>
      <x:c r="K122" s="2" t="str">
        <x:v>Cuadro 2!BE126</x:v>
      </x:c>
      <x:c r="L122" s="2" t="str">
        <x:v>Cuadro 3!BE125</x:v>
      </x:c>
      <x:c r="M122" s="2"/>
    </x:row>
    <x:row r="123" ht="36" customHeight="1">
      <x:c r="A123" s="4" t="n">
        <x:v>45992</x:v>
      </x:c>
      <x:c r="B123" s="32" t="str">
        <x:v>IPI Productos de metal</x:v>
      </x:c>
      <x:c r="C123" s="10" t="n">
        <x:v>33.93799462365591</x:v>
      </x:c>
      <x:c r="D123" s="10" t="n">
        <x:v>40.96575268817204</x:v>
      </x:c>
      <x:c r="E123" s="12" t="n">
        <x:f>IF(AND(ISNUMBER(C123),ISNUMBER(D123),D123&gt;0),C123/D123-1,"n.a.")</x:f>
        <x:v>-0.17155203074165015</x:v>
      </x:c>
      <x:c r="F123" s="10" t="n">
        <x:v>78.88614396695408</x:v>
      </x:c>
      <x:c r="G123" s="10" t="n">
        <x:v>86.03707693290058</x:v>
      </x:c>
      <x:c r="H123" s="12" t="n">
        <x:v>-0.08311455038765941</x:v>
      </x:c>
      <x:c r="I123" s="12" t="n">
        <x:f>IF(AND(ISNUMBER(F123),ISNUMBER(G123),G123&gt;0),F123/G123-1,"n.a.")</x:f>
        <x:v>-0.08311455038765947</x:v>
      </x:c>
      <x:c r="J123" s="2" t="n">
        <x:f>IF(AND(ISNUMBER(E123),ISNUMBER(H123)),IF(SIGN(E123)=SIGN(H123),1,0),"n.a.")</x:f>
        <x:v>1</x:v>
      </x:c>
      <x:c r="K123" s="2" t="str">
        <x:v>Cuadro 2!BM126</x:v>
      </x:c>
      <x:c r="L123" s="2" t="str">
        <x:v>Cuadro 3!BM125</x:v>
      </x:c>
      <x:c r="M123" s="2"/>
    </x:row>
    <x:row r="124" ht="36" customHeight="1">
      <x:c r="A124" s="4" t="n">
        <x:v>45992</x:v>
      </x:c>
      <x:c r="B124" s="32" t="str">
        <x:v>IPI Productos textiles</x:v>
      </x:c>
      <x:c r="C124" s="10" t="n">
        <x:v>31.13709811827957</x:v>
      </x:c>
      <x:c r="D124" s="10" t="n">
        <x:v>47.334602150537634</x:v>
      </x:c>
      <x:c r="E124" s="12" t="n">
        <x:f>IF(AND(ISNUMBER(C124),ISNUMBER(D124),D124&gt;0),C124/D124-1,"n.a.")</x:f>
        <x:v>-0.34219161662636033</x:v>
      </x:c>
      <x:c r="F124" s="10" t="n">
        <x:v>45.915084264276395</x:v>
      </x:c>
      <x:c r="G124" s="10" t="n">
        <x:v>62.362370187776705</x:v>
      </x:c>
      <x:c r="H124" s="12" t="n">
        <x:v>-0.2637373447156767</x:v>
      </x:c>
      <x:c r="I124" s="12" t="n">
        <x:f>IF(AND(ISNUMBER(F124),ISNUMBER(G124),G124&gt;0),F124/G124-1,"n.a.")</x:f>
        <x:v>-0.2637373447156768</x:v>
      </x:c>
      <x:c r="J124" s="2" t="n">
        <x:f>IF(AND(ISNUMBER(E124),ISNUMBER(H124)),IF(SIGN(E124)=SIGN(H124),1,0),"n.a.")</x:f>
        <x:v>1</x:v>
      </x:c>
      <x:c r="K124" s="2" t="str">
        <x:v>Cuadro 2!V126</x:v>
      </x:c>
      <x:c r="L124" s="2" t="str">
        <x:v>Cuadro 3!V125</x:v>
      </x:c>
      <x:c r="M124" s="2"/>
    </x:row>
    <x:row r="125" ht="36" customHeight="1">
      <x:c r="A125" s="4" t="n">
        <x:v>46023</x:v>
      </x:c>
      <x:c r="B125" s="32" t="str">
        <x:v>IPI Cemento</x:v>
      </x:c>
      <x:c r="C125" s="10" t="n">
        <x:v>127.49079435483871</x:v>
      </x:c>
      <x:c r="D125" s="10" t="n">
        <x:v>145.85207123655914</x:v>
      </x:c>
      <x:c r="E125" s="12" t="n">
        <x:f>IF(AND(ISNUMBER(C125),ISNUMBER(D125),D125&gt;0),C125/D125-1,"n.a.")</x:f>
        <x:v>-0.12588972323841785</x:v>
      </x:c>
      <x:c r="F125" s="10" t="n">
        <x:v>140.37935326863408</x:v>
      </x:c>
      <x:c r="G125" s="10" t="n">
        <x:v>145.36925983340436</x:v>
      </x:c>
      <x:c r="H125" s="12" t="n">
        <x:v>-0.0343257341372501</x:v>
      </x:c>
      <x:c r="I125" s="12" t="n">
        <x:f>IF(AND(ISNUMBER(F125),ISNUMBER(G125),G125&gt;0),F125/G125-1,"n.a.")</x:f>
        <x:v>-0.03432573413725015</x:v>
      </x:c>
      <x:c r="J125" s="2" t="n">
        <x:f>IF(AND(ISNUMBER(E125),ISNUMBER(H125)),IF(SIGN(E125)=SIGN(H125),1,0),"n.a.")</x:f>
        <x:v>1</x:v>
      </x:c>
      <x:c r="K125" s="2" t="str">
        <x:v>Cuadro 2!BE127</x:v>
      </x:c>
      <x:c r="L125" s="2" t="str">
        <x:v>Cuadro 3!BE126</x:v>
      </x:c>
      <x:c r="M125" s="2"/>
    </x:row>
    <x:row r="126" ht="36" customHeight="1">
      <x:c r="A126" s="4" t="n">
        <x:v>46023</x:v>
      </x:c>
      <x:c r="B126" s="32" t="str">
        <x:v>IPI Productos de metal</x:v>
      </x:c>
      <x:c r="C126" s="10" t="n">
        <x:v>35.44790860215054</x:v>
      </x:c>
      <x:c r="D126" s="10" t="n">
        <x:v>40.152334677419354</x:v>
      </x:c>
      <x:c r="E126" s="12" t="n">
        <x:f>IF(AND(ISNUMBER(C126),ISNUMBER(D126),D126&gt;0),C126/D126-1,"n.a.")</x:f>
        <x:v>-0.11716444667698145</x:v>
      </x:c>
      <x:c r="F126" s="10" t="n">
        <x:v>79.37593368066906</x:v>
      </x:c>
      <x:c r="G126" s="10" t="n">
        <x:v>86.11809454142956</x:v>
      </x:c>
      <x:c r="H126" s="12" t="n">
        <x:v>-0.07828971247752108</x:v>
      </x:c>
      <x:c r="I126" s="12" t="n">
        <x:f>IF(AND(ISNUMBER(F126),ISNUMBER(G126),G126&gt;0),F126/G126-1,"n.a.")</x:f>
        <x:v>-0.07828971247752103</x:v>
      </x:c>
      <x:c r="J126" s="2" t="n">
        <x:f>IF(AND(ISNUMBER(E126),ISNUMBER(H126)),IF(SIGN(E126)=SIGN(H126),1,0),"n.a.")</x:f>
        <x:v>1</x:v>
      </x:c>
      <x:c r="K126" s="2" t="str">
        <x:v>Cuadro 2!BM127</x:v>
      </x:c>
      <x:c r="L126" s="2" t="str">
        <x:v>Cuadro 3!BM126</x:v>
      </x:c>
      <x:c r="M126" s="2"/>
    </x:row>
    <x:row r="127" ht="36" customHeight="1">
      <x:c r="A127" s="4" t="n">
        <x:v>46023</x:v>
      </x:c>
      <x:c r="B127" s="32" t="str">
        <x:v>IPI Productos textiles</x:v>
      </x:c>
      <x:c r="C127" s="10" t="n">
        <x:v>21.196896505376344</x:v>
      </x:c>
      <x:c r="D127" s="10" t="n">
        <x:v>33.99053494623656</x:v>
      </x:c>
      <x:c r="E127" s="12" t="n">
        <x:f>IF(AND(ISNUMBER(C127),ISNUMBER(D127),D127&gt;0),C127/D127-1,"n.a.")</x:f>
        <x:v>-0.37638826400043845</x:v>
      </x:c>
      <x:c r="F127" s="10" t="n">
        <x:v>34.306724601690995</x:v>
      </x:c>
      <x:c r="G127" s="10" t="n">
        <x:v>46.32468569634137</x:v>
      </x:c>
      <x:c r="H127" s="12" t="n">
        <x:v>-0.2594288749939544</x:v>
      </x:c>
      <x:c r="I127" s="12" t="n">
        <x:f>IF(AND(ISNUMBER(F127),ISNUMBER(G127),G127&gt;0),F127/G127-1,"n.a.")</x:f>
        <x:v>-0.2594288749939544</x:v>
      </x:c>
      <x:c r="J127" s="2" t="n">
        <x:f>IF(AND(ISNUMBER(E127),ISNUMBER(H127)),IF(SIGN(E127)=SIGN(H127),1,0),"n.a.")</x:f>
        <x:v>1</x:v>
      </x:c>
      <x:c r="K127" s="2" t="str">
        <x:v>Cuadro 2!V127</x:v>
      </x:c>
      <x:c r="L127" s="2" t="str">
        <x:v>Cuadro 3!V126</x:v>
      </x:c>
      <x:c r="M127" s="2"/>
    </x:row>
    <x:row r="128" ht="36" customHeight="1">
      <x:c r="A128" s="4" t="n">
        <x:v>46054</x:v>
      </x:c>
      <x:c r="B128" s="32" t="str">
        <x:v>IPI Cemento</x:v>
      </x:c>
      <x:c r="C128" s="10" t="n">
        <x:v>141.2740148809524</x:v>
      </x:c>
      <x:c r="D128" s="10" t="n">
        <x:v>160.91916964285716</x:v>
      </x:c>
      <x:c r="E128" s="12" t="n">
        <x:f>IF(AND(ISNUMBER(C128),ISNUMBER(D128),D128&gt;0),C128/D128-1,"n.a.")</x:f>
        <x:v>-0.12208088573601938</x:v>
      </x:c>
      <x:c r="F128" s="10" t="n">
        <x:v>134.47688823189398</x:v>
      </x:c>
      <x:c r="G128" s="10" t="n">
        <x:v>149.67992817471517</x:v>
      </x:c>
      <x:c r="H128" s="12" t="n">
        <x:v>-0.10157033162840193</x:v>
      </x:c>
      <x:c r="I128" s="12" t="n">
        <x:f>IF(AND(ISNUMBER(F128),ISNUMBER(G128),G128&gt;0),F128/G128-1,"n.a.")</x:f>
        <x:v>-0.1015703316284019</x:v>
      </x:c>
      <x:c r="J128" s="2" t="n">
        <x:f>IF(AND(ISNUMBER(E128),ISNUMBER(H128)),IF(SIGN(E128)=SIGN(H128),1,0),"n.a.")</x:f>
        <x:v>1</x:v>
      </x:c>
      <x:c r="K128" s="2" t="str">
        <x:v>Cuadro 2!BE128</x:v>
      </x:c>
      <x:c r="L128" s="2" t="str">
        <x:v>Cuadro 3!BE127</x:v>
      </x:c>
      <x:c r="M128" s="2"/>
    </x:row>
    <x:row r="129" ht="36" customHeight="1">
      <x:c r="A129" s="4" t="n">
        <x:v>46054</x:v>
      </x:c>
      <x:c r="B129" s="32" t="str">
        <x:v>IPI Productos de metal</x:v>
      </x:c>
      <x:c r="C129" s="10" t="n">
        <x:v>37.35697470238095</x:v>
      </x:c>
      <x:c r="D129" s="10" t="n">
        <x:v>42.02423363095238</x:v>
      </x:c>
      <x:c r="E129" s="12" t="n">
        <x:f>IF(AND(ISNUMBER(C129),ISNUMBER(D129),D129&gt;0),C129/D129-1,"n.a.")</x:f>
        <x:v>-0.11106113128815798</x:v>
      </x:c>
      <x:c r="F129" s="10" t="n">
        <x:v>77.12875026089384</x:v>
      </x:c>
      <x:c r="G129" s="10" t="n">
        <x:v>81.55688698404961</x:v>
      </x:c>
      <x:c r="H129" s="12" t="n">
        <x:v>-0.05429506798146676</x:v>
      </x:c>
      <x:c r="I129" s="12" t="n">
        <x:f>IF(AND(ISNUMBER(F129),ISNUMBER(G129),G129&gt;0),F129/G129-1,"n.a.")</x:f>
        <x:v>-0.05429506798146677</x:v>
      </x:c>
      <x:c r="J129" s="2" t="n">
        <x:f>IF(AND(ISNUMBER(E129),ISNUMBER(H129)),IF(SIGN(E129)=SIGN(H129),1,0),"n.a.")</x:f>
        <x:v>1</x:v>
      </x:c>
      <x:c r="K129" s="2" t="str">
        <x:v>Cuadro 2!BM128</x:v>
      </x:c>
      <x:c r="L129" s="2" t="str">
        <x:v>Cuadro 3!BM127</x:v>
      </x:c>
      <x:c r="M129" s="2"/>
    </x:row>
    <x:row r="130" ht="36" customHeight="1">
      <x:c r="A130" s="4" t="n">
        <x:v>46054</x:v>
      </x:c>
      <x:c r="B130" s="32" t="str">
        <x:v>IPI Productos textiles</x:v>
      </x:c>
      <x:c r="C130" s="10" t="n">
        <x:v>41.7211875</x:v>
      </x:c>
      <x:c r="D130" s="10" t="n">
        <x:v>59.01992857142857</x:v>
      </x:c>
      <x:c r="E130" s="12" t="n">
        <x:f>IF(AND(ISNUMBER(C130),ISNUMBER(D130),D130&gt;0),C130/D130-1,"n.a.")</x:f>
        <x:v>-0.29310000012102455</x:v>
      </x:c>
      <x:c r="F130" s="10" t="n">
        <x:v>44.82867143880543</x:v>
      </x:c>
      <x:c r="G130" s="10" t="n">
        <x:v>65.89799253208027</x:v>
      </x:c>
      <x:c r="H130" s="12" t="n">
        <x:v>-0.31972629641210887</x:v>
      </x:c>
      <x:c r="I130" s="12" t="n">
        <x:f>IF(AND(ISNUMBER(F130),ISNUMBER(G130),G130&gt;0),F130/G130-1,"n.a.")</x:f>
        <x:v>-0.3197262964121089</x:v>
      </x:c>
      <x:c r="J130" s="2" t="n">
        <x:f>IF(AND(ISNUMBER(E130),ISNUMBER(H130)),IF(SIGN(E130)=SIGN(H130),1,0),"n.a.")</x:f>
        <x:v>1</x:v>
      </x:c>
      <x:c r="K130" s="2" t="str">
        <x:v>Cuadro 2!V128</x:v>
      </x:c>
      <x:c r="L130" s="2" t="str">
        <x:v>Cuadro 3!V127</x:v>
      </x:c>
      <x:c r="M130" s="2"/>
    </x:row>
    <x:row r="131" ht="36" customHeight="1">
      <x:c r="A131" s="4" t="n">
        <x:v>46082</x:v>
      </x:c>
      <x:c r="B131" s="32" t="str">
        <x:v>IPI Cemento</x:v>
      </x:c>
      <x:c r="C131" s="10" t="n">
        <x:v>152.45844220430106</x:v>
      </x:c>
      <x:c r="D131" s="10" t="n">
        <x:v>142.41225403225806</x:v>
      </x:c>
      <x:c r="E131" s="12" t="n">
        <x:f>IF(AND(ISNUMBER(C131),ISNUMBER(D131),D131&gt;0),C131/D131-1,"n.a.")</x:f>
        <x:v>0.07054300376263556</x:v>
      </x:c>
      <x:c r="F131" s="10" t="n">
        <x:v>160.30501761654222</x:v>
      </x:c>
      <x:c r="G131" s="10" t="n">
        <x:v>141.17007098583082</x:v>
      </x:c>
      <x:c r="H131" s="12" t="n">
        <x:v>0.135545349641653</x:v>
      </x:c>
      <x:c r="I131" s="12" t="n">
        <x:f>IF(AND(ISNUMBER(F131),ISNUMBER(G131),G131&gt;0),F131/G131-1,"n.a.")</x:f>
        <x:v>0.135545349641653</x:v>
      </x:c>
      <x:c r="J131" s="2" t="n">
        <x:f>IF(AND(ISNUMBER(E131),ISNUMBER(H131)),IF(SIGN(E131)=SIGN(H131),1,0),"n.a.")</x:f>
        <x:v>1</x:v>
      </x:c>
      <x:c r="K131" s="2" t="str">
        <x:v>Cuadro 2!BE129</x:v>
      </x:c>
      <x:c r="L131" s="2" t="str">
        <x:v>Cuadro 3!BE128</x:v>
      </x:c>
      <x:c r="M131" s="2"/>
    </x:row>
    <x:row r="132" ht="36" customHeight="1">
      <x:c r="A132" s="4" t="n">
        <x:v>46082</x:v>
      </x:c>
      <x:c r="B132" s="32" t="str">
        <x:v>IPI Productos de metal</x:v>
      </x:c>
      <x:c r="C132" s="10" t="n">
        <x:v>39.9608440860215</x:v>
      </x:c>
      <x:c r="D132" s="10" t="n">
        <x:v>28.755403225806454</x:v>
      </x:c>
      <x:c r="E132" s="12" t="n">
        <x:f>IF(AND(ISNUMBER(C132),ISNUMBER(D132),D132&gt;0),C132/D132-1,"n.a.")</x:f>
        <x:v>0.3896812286797897</x:v>
      </x:c>
      <x:c r="F132" s="10" t="n">
        <x:v>89.15052601453547</x:v>
      </x:c>
      <x:c r="G132" s="10" t="n">
        <x:v>81.45448634389388</x:v>
      </x:c>
      <x:c r="H132" s="12" t="n">
        <x:v>0.09448269845014522</x:v>
      </x:c>
      <x:c r="I132" s="12" t="n">
        <x:f>IF(AND(ISNUMBER(F132),ISNUMBER(G132),G132&gt;0),F132/G132-1,"n.a.")</x:f>
        <x:v>0.09448269845014523</x:v>
      </x:c>
      <x:c r="J132" s="2" t="n">
        <x:f>IF(AND(ISNUMBER(E132),ISNUMBER(H132)),IF(SIGN(E132)=SIGN(H132),1,0),"n.a.")</x:f>
        <x:v>1</x:v>
      </x:c>
      <x:c r="K132" s="2" t="str">
        <x:v>Cuadro 2!BM129</x:v>
      </x:c>
      <x:c r="L132" s="2" t="str">
        <x:v>Cuadro 3!BM128</x:v>
      </x:c>
      <x:c r="M132" s="2"/>
    </x:row>
    <x:row r="133" ht="36" customHeight="1">
      <x:c r="A133" s="4" t="n">
        <x:v>46082</x:v>
      </x:c>
      <x:c r="B133" s="32" t="str">
        <x:v>IPI Productos textiles</x:v>
      </x:c>
      <x:c r="C133" s="10" t="n">
        <x:v>43.3380685483871</x:v>
      </x:c>
      <x:c r="D133" s="10" t="n">
        <x:v>55.125762096774196</x:v>
      </x:c>
      <x:c r="E133" s="12" t="n">
        <x:f>IF(AND(ISNUMBER(C133),ISNUMBER(D133),D133&gt;0),C133/D133-1,"n.a.")</x:f>
        <x:v>-0.2138327544151427</x:v>
      </x:c>
      <x:c r="F133" s="10" t="n">
        <x:v>58.3143636747273</x:v>
      </x:c>
      <x:c r="G133" s="10" t="n">
        <x:v>75.8666048272067</x:v>
      </x:c>
      <x:c r="H133" s="12" t="n">
        <x:v>-0.23135661853402126</x:v>
      </x:c>
      <x:c r="I133" s="12" t="n">
        <x:f>IF(AND(ISNUMBER(F133),ISNUMBER(G133),G133&gt;0),F133/G133-1,"n.a.")</x:f>
        <x:v>-0.23135661853402123</x:v>
      </x:c>
      <x:c r="J133" s="2" t="n">
        <x:f>IF(AND(ISNUMBER(E133),ISNUMBER(H133)),IF(SIGN(E133)=SIGN(H133),1,0),"n.a.")</x:f>
        <x:v>1</x:v>
      </x:c>
      <x:c r="K133" s="2" t="str">
        <x:v>Cuadro 2!V129</x:v>
      </x:c>
      <x:c r="L133" s="2" t="str">
        <x:v>Cuadro 3!V128</x:v>
      </x:c>
      <x:c r="M133" s="2"/>
    </x:row>
    <x:row r="134" ht="36" customHeight="1">
      <x:c r="A134" s="4" t="n">
        <x:v>46113</x:v>
      </x:c>
      <x:c r="B134" s="32" t="str">
        <x:v>IPI Cemento</x:v>
      </x:c>
      <x:c r="C134" s="10" t="n">
        <x:v>159.3088763888889</x:v>
      </x:c>
      <x:c r="D134" s="10" t="n">
        <x:v>149.36918888888889</x:v>
      </x:c>
      <x:c r="E134" s="12" t="n">
        <x:f>IF(AND(ISNUMBER(C134),ISNUMBER(D134),D134&gt;0),C134/D134-1,"n.a.")</x:f>
        <x:v>0.066544429771215</x:v>
      </x:c>
      <x:c r="F134" s="10" t="n">
        <x:v>140.64011167136894</x:v>
      </x:c>
      <x:c r="G134" s="10" t="n">
        <x:v>159.4755411080633</x:v>
      </x:c>
      <x:c r="H134" s="12" t="n">
        <x:v>-0.11810857831754376</x:v>
      </x:c>
      <x:c r="I134" s="12" t="n">
        <x:f>IF(AND(ISNUMBER(F134),ISNUMBER(G134),G134&gt;0),F134/G134-1,"n.a.")</x:f>
        <x:v>-0.11810857831754373</x:v>
      </x:c>
      <x:c r="J134" s="2" t="n">
        <x:f>IF(AND(ISNUMBER(E134),ISNUMBER(H134)),IF(SIGN(E134)=SIGN(H134),1,0),"n.a.")</x:f>
        <x:v>0</x:v>
      </x:c>
      <x:c r="K134" s="2" t="str">
        <x:v>Cuadro 2!BE130</x:v>
      </x:c>
      <x:c r="L134" s="2" t="str">
        <x:v>Cuadro 3!BE129</x:v>
      </x:c>
      <x:c r="M134" s="2"/>
    </x:row>
    <x:row r="135" ht="36" customHeight="1">
      <x:c r="A135" s="4" t="n">
        <x:v>46113</x:v>
      </x:c>
      <x:c r="B135" s="32" t="str">
        <x:v>IPI Productos de metal</x:v>
      </x:c>
      <x:c r="C135" s="10" t="n">
        <x:v>39.24199861111111</x:v>
      </x:c>
      <x:c r="D135" s="10" t="n">
        <x:v>31.430494444444445</x:v>
      </x:c>
      <x:c r="E135" s="12" t="n">
        <x:f>IF(AND(ISNUMBER(C135),ISNUMBER(D135),D135&gt;0),C135/D135-1,"n.a.")</x:f>
        <x:v>0.24853265291368642</x:v>
      </x:c>
      <x:c r="F135" s="10" t="n">
        <x:v>83.70926910468783</x:v>
      </x:c>
      <x:c r="G135" s="10" t="n">
        <x:v>84.96684347180825</x:v>
      </x:c>
      <x:c r="H135" s="12" t="n">
        <x:v>-0.014800765989826062</x:v>
      </x:c>
      <x:c r="I135" s="12" t="n">
        <x:f>IF(AND(ISNUMBER(F135),ISNUMBER(G135),G135&gt;0),F135/G135-1,"n.a.")</x:f>
        <x:v>-0.014800765989826048</x:v>
      </x:c>
      <x:c r="J135" s="2" t="n">
        <x:f>IF(AND(ISNUMBER(E135),ISNUMBER(H135)),IF(SIGN(E135)=SIGN(H135),1,0),"n.a.")</x:f>
        <x:v>0</x:v>
      </x:c>
      <x:c r="K135" s="2" t="str">
        <x:v>Cuadro 2!BM130</x:v>
      </x:c>
      <x:c r="L135" s="2" t="str">
        <x:v>Cuadro 3!BM129</x:v>
      </x:c>
      <x:c r="M135" s="2"/>
    </x:row>
    <x:row r="136" ht="36" customHeight="1">
      <x:c r="A136" s="4" t="n">
        <x:v>46113</x:v>
      </x:c>
      <x:c r="B136" s="32" t="str">
        <x:v>IPI Productos textiles</x:v>
      </x:c>
      <x:c r="C136" s="10" t="n">
        <x:v>40.06480972222222</x:v>
      </x:c>
      <x:c r="D136" s="10" t="n">
        <x:v>50.211259722222216</x:v>
      </x:c>
      <x:c r="E136" s="12" t="n">
        <x:f>IF(AND(ISNUMBER(C136),ISNUMBER(D136),D136&gt;0),C136/D136-1,"n.a.")</x:f>
        <x:v>-0.20207519301710397</x:v>
      </x:c>
      <x:c r="F136" s="10" t="n">
        <x:v>58.86948934985327</x:v>
      </x:c>
      <x:c r="G136" s="10" t="n">
        <x:v>79.16644486254324</x:v>
      </x:c>
      <x:c r="H136" s="12" t="n">
        <x:v>-0.25638331426820543</x:v>
      </x:c>
      <x:c r="I136" s="12" t="n">
        <x:f>IF(AND(ISNUMBER(F136),ISNUMBER(G136),G136&gt;0),F136/G136-1,"n.a.")</x:f>
        <x:v>-0.2563833142682054</x:v>
      </x:c>
      <x:c r="J136" s="2" t="n">
        <x:f>IF(AND(ISNUMBER(E136),ISNUMBER(H136)),IF(SIGN(E136)=SIGN(H136),1,0),"n.a.")</x:f>
        <x:v>1</x:v>
      </x:c>
      <x:c r="K136" s="2" t="str">
        <x:v>Cuadro 2!V130</x:v>
      </x:c>
      <x:c r="L136" s="2" t="str">
        <x:v>Cuadro 3!V129</x:v>
      </x:c>
      <x:c r="M136" s="2"/>
    </x:row>
    <x:row r="137" ht="36" customHeight="1">
      <x:c r="A137" s="4" t="n">
        <x:v>46143</x:v>
      </x:c>
      <x:c r="B137" s="32" t="str">
        <x:v>IPI Cemento</x:v>
      </x:c>
      <x:c r="C137" s="10" t="n">
        <x:v>106.31837365591397</x:v>
      </x:c>
      <x:c r="D137" s="10" t="n">
        <x:v>109.74640591397849</x:v>
      </x:c>
      <x:c r="E137" s="12" t="n">
        <x:f>IF(AND(ISNUMBER(C137),ISNUMBER(D137),D137&gt;0),C137/D137-1,"n.a.")</x:f>
        <x:v>-0.03123594098153415</x:v>
      </x:c>
      <x:c r="F137" s="10" t="n">
        <x:v>159.9909179069933</x:v>
      </x:c>
      <x:c r="G137" s="10" t="n">
        <x:v>158.66793837288228</x:v>
      </x:c>
      <x:c r="H137" s="12" t="n">
        <x:v>0.008338039478410053</x:v>
      </x:c>
      <x:c r="I137" s="12" t="n">
        <x:f>IF(AND(ISNUMBER(F137),ISNUMBER(G137),G137&gt;0),F137/G137-1,"n.a.")</x:f>
        <x:v>0.008338039478410053</x:v>
      </x:c>
      <x:c r="J137" s="2" t="n">
        <x:f>IF(AND(ISNUMBER(E137),ISNUMBER(H137)),IF(SIGN(E137)=SIGN(H137),1,0),"n.a.")</x:f>
        <x:v>0</x:v>
      </x:c>
      <x:c r="K137" s="2" t="str">
        <x:v>Cuadro 2!BE131</x:v>
      </x:c>
      <x:c r="L137" s="2" t="str">
        <x:v>Cuadro 3!BE130</x:v>
      </x:c>
      <x:c r="M137" s="2"/>
    </x:row>
    <x:row r="138" ht="36" customHeight="1">
      <x:c r="A138" s="4" t="n">
        <x:v>46143</x:v>
      </x:c>
      <x:c r="B138" s="32" t="str">
        <x:v>IPI Productos de metal</x:v>
      </x:c>
      <x:c r="C138" s="10" t="n">
        <x:v>39.53677688172043</x:v>
      </x:c>
      <x:c r="D138" s="10" t="n">
        <x:v>30.53157258064516</x:v>
      </x:c>
      <x:c r="E138" s="12" t="n">
        <x:f>IF(AND(ISNUMBER(C138),ISNUMBER(D138),D138&gt;0),C138/D138-1,"n.a.")</x:f>
        <x:v>0.2949472804680857</x:v>
      </x:c>
      <x:c r="F138" s="10" t="n">
        <x:v>84.44051871846916</x:v>
      </x:c>
      <x:c r="G138" s="10" t="n">
        <x:v>85.6563710371644</x:v>
      </x:c>
      <x:c r="H138" s="12" t="n">
        <x:v>-0.01419453455677811</x:v>
      </x:c>
      <x:c r="I138" s="12" t="n">
        <x:f>IF(AND(ISNUMBER(F138),ISNUMBER(G138),G138&gt;0),F138/G138-1,"n.a.")</x:f>
        <x:v>-0.014194534556778104</x:v>
      </x:c>
      <x:c r="J138" s="2" t="n">
        <x:f>IF(AND(ISNUMBER(E138),ISNUMBER(H138)),IF(SIGN(E138)=SIGN(H138),1,0),"n.a.")</x:f>
        <x:v>0</x:v>
      </x:c>
      <x:c r="K138" s="2" t="str">
        <x:v>Cuadro 2!BM131</x:v>
      </x:c>
      <x:c r="L138" s="2" t="str">
        <x:v>Cuadro 3!BM130</x:v>
      </x:c>
      <x:c r="M138" s="2"/>
    </x:row>
    <x:row r="139" ht="36" customHeight="1">
      <x:c r="A139" s="4" t="n">
        <x:v>46143</x:v>
      </x:c>
      <x:c r="B139" s="32" t="str">
        <x:v>IPI Productos textiles</x:v>
      </x:c>
      <x:c r="C139" s="10" t="n">
        <x:v>38.682069892473116</x:v>
      </x:c>
      <x:c r="D139" s="10" t="n">
        <x:v>55.273020161290326</x:v>
      </x:c>
      <x:c r="E139" s="12" t="n">
        <x:f>IF(AND(ISNUMBER(C139),ISNUMBER(D139),D139&gt;0),C139/D139-1,"n.a.")</x:f>
        <x:v>-0.3001636281209842</x:v>
      </x:c>
      <x:c r="F139" s="10" t="n">
        <x:v>60.80858751700233</x:v>
      </x:c>
      <x:c r="G139" s="10" t="n">
        <x:v>82.26610080647576</x:v>
      </x:c>
      <x:c r="H139" s="12" t="n">
        <x:v>-0.2608305617881473</x:v>
      </x:c>
      <x:c r="I139" s="12" t="n">
        <x:f>IF(AND(ISNUMBER(F139),ISNUMBER(G139),G139&gt;0),F139/G139-1,"n.a.")</x:f>
        <x:v>-0.26083056178814734</x:v>
      </x:c>
      <x:c r="J139" s="2" t="n">
        <x:f>IF(AND(ISNUMBER(E139),ISNUMBER(H139)),IF(SIGN(E139)=SIGN(H139),1,0),"n.a.")</x:f>
        <x:v>1</x:v>
      </x:c>
      <x:c r="K139" s="2" t="str">
        <x:v>Cuadro 2!V131</x:v>
      </x:c>
      <x:c r="L139" s="2" t="str">
        <x:v>Cuadro 3!V130</x:v>
      </x:c>
      <x:c r="M139" s="2"/>
    </x:row>
    <x:row r="140" ht="36" customHeight="1">
      <x:c r="A140" s="4" t="n">
        <x:v>46174</x:v>
      </x:c>
      <x:c r="B140" s="32" t="str">
        <x:v>IPI Cemento</x:v>
      </x:c>
      <x:c r="C140" s="10" t="n">
        <x:v>101.10380416666666</x:v>
      </x:c>
      <x:c r="D140" s="10" t="n">
        <x:v>111.61258055555555</x:v>
      </x:c>
      <x:c r="E140" s="12" t="n">
        <x:f>IF(AND(ISNUMBER(C140),ISNUMBER(D140),D140&gt;0),C140/D140-1,"n.a.")</x:f>
        <x:v>-0.0941540490917877</x:v>
      </x:c>
      <x:c r="F140" s="10" t="n">
        <x:v>152.34066163367345</x:v>
      </x:c>
      <x:c r="G140" s="10" t="n">
        <x:v>161.0867171991337</x:v>
      </x:c>
      <x:c r="H140" s="12" t="n">
        <x:v>-0.05429408282402619</x:v>
      </x:c>
      <x:c r="I140" s="12" t="n">
        <x:f>IF(AND(ISNUMBER(F140),ISNUMBER(G140),G140&gt;0),F140/G140-1,"n.a.")</x:f>
        <x:v>-0.054294082824026146</x:v>
      </x:c>
      <x:c r="J140" s="2" t="n">
        <x:f>IF(AND(ISNUMBER(E140),ISNUMBER(H140)),IF(SIGN(E140)=SIGN(H140),1,0),"n.a.")</x:f>
        <x:v>1</x:v>
      </x:c>
      <x:c r="K140" s="2" t="str">
        <x:v>Cuadro 2!BE132</x:v>
      </x:c>
      <x:c r="L140" s="2" t="str">
        <x:v>Cuadro 3!BE131</x:v>
      </x:c>
      <x:c r="M140" s="2"/>
    </x:row>
    <x:row r="141" ht="36" customHeight="1">
      <x:c r="A141" s="4" t="n">
        <x:v>46174</x:v>
      </x:c>
      <x:c r="B141" s="32" t="str">
        <x:v>IPI Productos de metal</x:v>
      </x:c>
      <x:c r="C141" s="10" t="n">
        <x:v>40.7641</x:v>
      </x:c>
      <x:c r="D141" s="10" t="n">
        <x:v>38.19257777777777</x:v>
      </x:c>
      <x:c r="E141" s="12" t="n">
        <x:f>IF(AND(ISNUMBER(C141),ISNUMBER(D141),D141&gt;0),C141/D141-1,"n.a.")</x:f>
        <x:v>0.06733041789387828</x:v>
      </x:c>
      <x:c r="F141" s="10" t="n">
        <x:v>86.54691440672396</x:v>
      </x:c>
      <x:c r="G141" s="10" t="n">
        <x:v>83.53235521343177</x:v>
      </x:c>
      <x:c r="H141" s="12" t="n">
        <x:v>0.036088521454827285</x:v>
      </x:c>
      <x:c r="I141" s="12" t="n">
        <x:f>IF(AND(ISNUMBER(F141),ISNUMBER(G141),G141&gt;0),F141/G141-1,"n.a.")</x:f>
        <x:v>0.036088521454827216</x:v>
      </x:c>
      <x:c r="J141" s="2" t="n">
        <x:f>IF(AND(ISNUMBER(E141),ISNUMBER(H141)),IF(SIGN(E141)=SIGN(H141),1,0),"n.a.")</x:f>
        <x:v>1</x:v>
      </x:c>
      <x:c r="K141" s="2" t="str">
        <x:v>Cuadro 2!BM132</x:v>
      </x:c>
      <x:c r="L141" s="2" t="str">
        <x:v>Cuadro 3!BM131</x:v>
      </x:c>
      <x:c r="M141" s="2"/>
    </x:row>
    <x:row r="142" ht="36" customHeight="1">
      <x:c r="A142" s="4" t="n">
        <x:v>46174</x:v>
      </x:c>
      <x:c r="B142" s="32" t="str">
        <x:v>IPI Productos textiles</x:v>
      </x:c>
      <x:c r="C142" s="10" t="n">
        <x:v>40.55865138888889</x:v>
      </x:c>
      <x:c r="D142" s="10" t="n">
        <x:v>53.01022777777778</x:v>
      </x:c>
      <x:c r="E142" s="12" t="n">
        <x:f>IF(AND(ISNUMBER(C142),ISNUMBER(D142),D142&gt;0),C142/D142-1,"n.a.")</x:f>
        <x:v>-0.23489007519618066</x:v>
      </x:c>
      <x:c r="F142" s="10" t="n">
        <x:v>69.57962776655536</x:v>
      </x:c>
      <x:c r="G142" s="10" t="n">
        <x:v>82.81280205210852</x:v>
      </x:c>
      <x:c r="H142" s="12" t="n">
        <x:v>-0.1597962387171299</x:v>
      </x:c>
      <x:c r="I142" s="12" t="n">
        <x:f>IF(AND(ISNUMBER(F142),ISNUMBER(G142),G142&gt;0),F142/G142-1,"n.a.")</x:f>
        <x:v>-0.1597962387171299</x:v>
      </x:c>
      <x:c r="J142" s="2" t="n">
        <x:f>IF(AND(ISNUMBER(E142),ISNUMBER(H142)),IF(SIGN(E142)=SIGN(H142),1,0),"n.a.")</x:f>
        <x:v>1</x:v>
      </x:c>
      <x:c r="K142" s="2" t="str">
        <x:v>Cuadro 2!V132</x:v>
      </x:c>
      <x:c r="L142" s="2" t="str">
        <x:v>Cuadro 3!V131</x:v>
      </x:c>
      <x:c r="M142" s="2"/>
    </x:row>
    <x:row r="143" ht="36" customHeight="1">
      <x:c r="A143" s="4" t="n">
        <x:v>46204</x:v>
      </x:c>
      <x:c r="B143" s="32" t="str">
        <x:v>IPI Cemento</x:v>
      </x:c>
      <x:c r="C143" s="10" t="n">
        <x:v>102.73809677419355</x:v>
      </x:c>
      <x:c r="D143" s="10" t="n">
        <x:v>122.29569086021505</x:v>
      </x:c>
      <x:c r="E143" s="12" t="n">
        <x:f>IF(AND(ISNUMBER(C143),ISNUMBER(D143),D143&gt;0),C143/D143-1,"n.a.")</x:f>
        <x:v>-0.1599205495177748</x:v>
      </x:c>
      <x:c r="F143" s="10" t="n">
        <x:v>155.97496987959033</x:v>
      </x:c>
      <x:c r="G143" s="10" t="n">
        <x:v>167.49112777049808</x:v>
      </x:c>
      <x:c r="H143" s="12" t="n">
        <x:v>-0.06875682338641581</x:v>
      </x:c>
      <x:c r="I143" s="12" t="n">
        <x:f>IF(AND(ISNUMBER(F143),ISNUMBER(G143),G143&gt;0),F143/G143-1,"n.a.")</x:f>
        <x:v>-0.06875682338641587</x:v>
      </x:c>
      <x:c r="J143" s="2" t="n">
        <x:f>IF(AND(ISNUMBER(E143),ISNUMBER(H143)),IF(SIGN(E143)=SIGN(H143),1,0),"n.a.")</x:f>
        <x:v>1</x:v>
      </x:c>
      <x:c r="K143" s="2" t="str">
        <x:v>Cuadro 2!BE133</x:v>
      </x:c>
      <x:c r="L143" s="2" t="str">
        <x:v>Cuadro 3!BE132</x:v>
      </x:c>
      <x:c r="M143" s="2"/>
    </x:row>
    <x:row r="144" ht="36" customHeight="1">
      <x:c r="A144" s="4" t="n">
        <x:v>46204</x:v>
      </x:c>
      <x:c r="B144" s="32" t="str">
        <x:v>IPI Productos de metal</x:v>
      </x:c>
      <x:c r="C144" s="10" t="n">
        <x:v>24.68722311827957</x:v>
      </x:c>
      <x:c r="D144" s="10" t="n">
        <x:v>43.541455645161285</x:v>
      </x:c>
      <x:c r="E144" s="12" t="n">
        <x:f>IF(AND(ISNUMBER(C144),ISNUMBER(D144),D144&gt;0),C144/D144-1,"n.a.")</x:f>
        <x:v>-0.4330179652360099</x:v>
      </x:c>
      <x:c r="F144" s="10" t="n">
        <x:v>84.75016212608219</x:v>
      </x:c>
      <x:c r="G144" s="10" t="n">
        <x:v>92.54436380203461</x:v>
      </x:c>
      <x:c r="H144" s="12" t="n">
        <x:v>-0.08422124649995226</x:v>
      </x:c>
      <x:c r="I144" s="12" t="n">
        <x:f>IF(AND(ISNUMBER(F144),ISNUMBER(G144),G144&gt;0),F144/G144-1,"n.a.")</x:f>
        <x:v>-0.08422124649995233</x:v>
      </x:c>
      <x:c r="J144" s="2" t="n">
        <x:f>IF(AND(ISNUMBER(E144),ISNUMBER(H144)),IF(SIGN(E144)=SIGN(H144),1,0),"n.a.")</x:f>
        <x:v>1</x:v>
      </x:c>
      <x:c r="K144" s="2" t="str">
        <x:v>Cuadro 2!BM133</x:v>
      </x:c>
      <x:c r="L144" s="2" t="str">
        <x:v>Cuadro 3!BM132</x:v>
      </x:c>
      <x:c r="M144" s="2"/>
    </x:row>
    <x:row r="145" ht="36" customHeight="1">
      <x:c r="A145" s="4" t="n">
        <x:v>46204</x:v>
      </x:c>
      <x:c r="B145" s="32" t="str">
        <x:v>IPI Productos textiles</x:v>
      </x:c>
      <x:c r="C145" s="10" t="n">
        <x:v>41.2665685483871</x:v>
      </x:c>
      <x:c r="D145" s="10" t="n">
        <x:v>49.99107795698925</x:v>
      </x:c>
      <x:c r="E145" s="12" t="n">
        <x:f>IF(AND(ISNUMBER(C145),ISNUMBER(D145),D145&gt;0),C145/D145-1,"n.a.")</x:f>
        <x:v>-0.17452132990827773</x:v>
      </x:c>
      <x:c r="F145" s="10" t="n">
        <x:v>73.2896496249277</x:v>
      </x:c>
      <x:c r="G145" s="10" t="n">
        <x:v>84.22031768199192</x:v>
      </x:c>
      <x:c r="H145" s="12" t="n">
        <x:v>-0.1297865925694724</x:v>
      </x:c>
      <x:c r="I145" s="12" t="n">
        <x:f>IF(AND(ISNUMBER(F145),ISNUMBER(G145),G145&gt;0),F145/G145-1,"n.a.")</x:f>
        <x:v>-0.12978659256947234</x:v>
      </x:c>
      <x:c r="J145" s="2" t="n">
        <x:f>IF(AND(ISNUMBER(E145),ISNUMBER(H145)),IF(SIGN(E145)=SIGN(H145),1,0),"n.a.")</x:f>
        <x:v>1</x:v>
      </x:c>
      <x:c r="K145" s="2" t="str">
        <x:v>Cuadro 2!V133</x:v>
      </x:c>
      <x:c r="L145" s="2" t="str">
        <x:v>Cuadro 3!V132</x:v>
      </x:c>
      <x:c r="M145" s="2"/>
    </x:row>
  </x:sheetData>
  <x:pageMargins left="0.7" right="0.7" top="0.75" bottom="0.75" header="0.3" footer="0.3"/>
  <x:tableParts count="1">
    <x:tablePart xmlns:r="http://schemas.openxmlformats.org/officeDocument/2006/relationships" r:id="Rd7ba8cc3ede741ef"/>
  </x:tableParts>
</x:worksheet>
</file>