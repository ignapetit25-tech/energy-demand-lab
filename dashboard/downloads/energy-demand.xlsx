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7c8aabaedc941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forme" sheetId="1" r:id="R20d8acbffee64d3b"/>
    <x:sheet xmlns:r="http://schemas.openxmlformats.org/officeDocument/2006/relationships" name="Datos" sheetId="2" r:id="R23fa4e14533546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mmm yyyy"/>
    <x:numFmt numFmtId="201" formatCode="#,##0.0;[Red](#,##0.0);0.0"/>
    <x:numFmt numFmtId="202" formatCode="+0.0%;[Red]-0.0%;0.0%"/>
    <x:numFmt numFmtId="203" formatCode="0.0%"/>
    <x:numFmt numFmtId="204" formatCode="+0.00;[Red]-0.00;0.00"/>
    <x:numFmt numFmtId="205" formatCode="0.000000"/>
    <x:numFmt numFmtId="206" formatCode="#,##0.000"/>
  </x:numFmts>
  <x:fonts count="5">
    <x:font>
      <x:sz val="11"/>
      <x:name val="Carlito"/>
    </x:font>
    <x:font>
      <x:sz val="11"/>
      <x:color rgb="FF203B35"/>
      <x:name val="Arial"/>
    </x:font>
    <x:font>
      <x:b/>
      <x:sz val="17"/>
      <x:color rgb="FF175E4B"/>
      <x:name val="Arial"/>
    </x:font>
    <x:font>
      <x:b/>
      <x:sz val="11"/>
      <x:color rgb="FFFFFFFF"/>
      <x:name val="Arial"/>
    </x:font>
    <x:font>
      <x:b/>
      <x:sz val="11"/>
      <x:color rgb="FF203B35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FFF0BF"/>
      </x:patternFill>
    </x:fill>
    <x:fill>
      <x:patternFill patternType="solid">
        <x:fgColor rgb="FF175E4B"/>
      </x:patternFill>
    </x:fill>
    <x:fill>
      <x:patternFill patternType="solid">
        <x:fgColor rgb="FFE8EDDF"/>
      </x:patternFill>
    </x:fill>
  </x:fills>
  <x:borders count="2">
    <x:border/>
    <x:border>
      <x:top style="thin">
        <x:color rgb="FF9CAF9F"/>
      </x:top>
    </x:border>
  </x:borders>
  <x:cellStyleXfs count="1">
    <x:xf numFmtId="0" fontId="0" fillId="0" borderId="0"/>
  </x:cellStyleXfs>
  <x:cellXfs count="31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0" fontId="1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/>
    </x:xf>
    <x:xf numFmtId="0" fontId="3" fillId="3" borderId="0" xfId="0" applyNumberFormat="1" applyFont="1" applyFill="1" applyBorder="1" applyAlignment="1">
      <x:alignment vertical="center" wrapText="1"/>
    </x:xf>
    <x:xf numFmtId="0" fontId="3" fillId="3" borderId="0" xfId="0" applyNumberFormat="1" applyFont="1" applyFill="1" applyBorder="1" applyAlignment="1">
      <x:alignment horizontal="center" vertical="center" wrapText="1"/>
    </x:xf>
    <x:xf numFmtId="201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4" fontId="1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204" fontId="1" fillId="4" borderId="0" xfId="0" applyNumberFormat="1" applyFont="1" applyFill="1" applyBorder="1" applyAlignment="1">
      <x:alignment vertical="center"/>
    </x:xf>
    <x:xf numFmtId="203" fontId="1" fillId="4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vertical="center"/>
    </x:xf>
    <x:xf numFmtId="201" fontId="4" fillId="4" borderId="0" xfId="0" applyNumberFormat="1" applyFont="1" applyFill="1" applyBorder="1" applyAlignment="1">
      <x:alignment vertical="center"/>
    </x:xf>
    <x:xf numFmtId="202" fontId="4" fillId="4" borderId="0" xfId="0" applyNumberFormat="1" applyFont="1" applyFill="1" applyBorder="1" applyAlignment="1">
      <x:alignment vertical="center"/>
    </x:xf>
    <x:xf numFmtId="204" fontId="4" fillId="4" borderId="0" xfId="0" applyNumberFormat="1" applyFont="1" applyFill="1" applyBorder="1" applyAlignment="1">
      <x:alignment vertical="center"/>
    </x:xf>
    <x:xf numFmtId="203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4" fillId="4" borderId="1" xfId="0" applyNumberFormat="1" applyFont="1" applyFill="1" applyBorder="1" applyAlignment="1">
      <x:alignment vertical="center"/>
    </x:xf>
    <x:xf numFmtId="204" fontId="4" fillId="4" borderId="1" xfId="0" applyNumberFormat="1" applyFont="1" applyFill="1" applyBorder="1" applyAlignment="1">
      <x:alignment vertical="center"/>
    </x:xf>
    <x:xf numFmtId="203" fontId="4" fillId="4" borderId="1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2a47c8b9f44514" /><Relationship Type="http://schemas.openxmlformats.org/officeDocument/2006/relationships/theme" Target="/xl/theme/theme1.xml" Id="Rf2511de6c57946c8" /><Relationship Type="http://schemas.openxmlformats.org/officeDocument/2006/relationships/sharedStrings" Target="/xl/sharedStrings.xml" Id="Rb4289b15b1094217" /><Relationship Type="http://schemas.openxmlformats.org/officeDocument/2006/relationships/worksheet" Target="/xl/worksheets/sheet1.xml" Id="R20d8acbffee64d3b" /><Relationship Type="http://schemas.openxmlformats.org/officeDocument/2006/relationships/worksheet" Target="/xl/worksheets/sheet2.xml" Id="R23fa4e145335468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97a13e6ec62455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1050">
                <a:latin typeface="Arial"/>
                <a:ea typeface="Arial"/>
                <a:cs typeface="Arial"/>
              </a:rPr>
              <a:t>Demanda por sector: mes actual y año anterior (GWh)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1050"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Actual GWh</c:v>
          </c:tx>
          <c:spPr>
            <a:solidFill xmlns:a="http://schemas.openxmlformats.org/drawingml/2006/main">
              <a:srgbClr val="175E4B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'Informe'!$B$10:$B$12</c:f>
              <c:numCache>
                <c:formatCode>#,##0.0;[Red](#,##0.0);0.0</c:formatCode>
                <c:ptCount val="0"/>
              </c:numCache>
            </c:numRef>
          </c:val>
        </c:ser>
        <c:ser>
          <c:idx val="1"/>
          <c:order val="1"/>
          <c:tx>
            <c:v>Anterior GWh</c:v>
          </c:tx>
          <c:spPr>
            <a:solidFill xmlns:a="http://schemas.openxmlformats.org/drawingml/2006/main">
              <a:srgbClr val="98ABA0"/>
            </a:solidFill>
          </c:spPr>
          <c:cat>
            <c:strRef>
              <c:f>'Informe'!$A$10:$A$12</c:f>
              <c:strCache>
                <c:ptCount val="0"/>
              </c:strCache>
            </c:strRef>
          </c:cat>
          <c:val>
            <c:numRef>
              <c:f>'Informe'!$C$10:$C$12</c:f>
              <c:numCache>
                <c:formatCode>#,##0.0;[Red](#,##0.0);0.0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#,##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825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t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825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24</xdr:row>
      <xdr:rowOff>0</xdr:rowOff>
    </xdr:from>
    <xdr:to>
      <xdr:col>7</xdr:col>
      <xdr:colOff>0</xdr:colOff>
      <xdr:row>37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97a13e6ec62455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DemandaMensual" displayName="DemandaMensual" ref="A9:E269" headerRowCount="1" totalsRowCount="0" totalsRowShown="0">
  <x:autoFilter ref="A9:E269"/>
  <x:tableColumns count="5">
    <x:tableColumn id="1" name="Mes"/>
    <x:tableColumn id="2" name="Total GWh"/>
    <x:tableColumn id="3" name="Residencial GWh"/>
    <x:tableColumn id="4" name="Comercio e industria GWh"/>
    <x:tableColumn id="5" name="Grandes usuarios GW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6e6fe321bc54cf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e4cb09143a1d4a27" /></Relationships>
</file>

<file path=xl/worksheets/sheet1.xml><?xml version="1.0" encoding="utf-8"?>
<x:worksheet xmlns:x="http://schemas.openxmlformats.org/spreadsheetml/2006/main">
  <x:sheetPr>
    <x:tabColor rgb="FF175E4B"/>
  </x:sheetPr>
  <x:sheetViews>
    <x:sheetView showGridLines="0" workbookViewId="0"/>
  </x:sheetViews>
  <x:sheetFormatPr defaultRowHeight="15"/>
  <x:cols>
    <x:col min="1" max="1" width="2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Demanda eléctrica argentina</x:v>
      </x:c>
      <x:c r="B2" s="2"/>
      <x:c r="C2" s="2"/>
      <x:c r="D2" s="2"/>
      <x:c r="E2" s="2"/>
      <x:c r="F2" s="2"/>
      <x:c r="G2" s="2"/>
    </x:row>
    <x:row r="3" ht="23" customHeight="1">
      <x:c r="A3" s="2" t="str">
        <x:v>Diagnóstico mensual por sector · GWh</x:v>
      </x:c>
      <x:c r="B3" s="2"/>
      <x:c r="C3" s="2"/>
      <x:c r="D3" s="2"/>
      <x:c r="E3" s="2"/>
      <x:c r="F3" s="2"/>
      <x:c r="G3" s="2"/>
    </x:row>
    <x:row r="4" ht="23" customHeight="1">
      <x:c r="A4" s="2" t="str">
        <x:v>Mes editable (amarillo)</x:v>
      </x:c>
      <x:c r="B4" s="5" t="n">
        <x:v>46235</x:v>
      </x:c>
      <x:c r="C4" s="2"/>
      <x:c r="D4" s="2" t="str">
        <x:v>Mes de comparación</x:v>
      </x:c>
      <x:c r="E4" s="4" t="n">
        <x:f>DATE(YEAR(B4)-1,MONTH(B4),1)</x:f>
        <x:v>45870</x:v>
      </x:c>
      <x:c r="F4" s="2"/>
      <x:c r="G4" s="2"/>
    </x:row>
    <x:row r="5" ht="23" customHeight="1">
      <x:c r="A5" s="2" t="str">
        <x:v>Elegí un mes desde ene 2006 hasta ago 2026. Los cálculos y el gráfico se actualizan.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Cobertura mensual</x:v>
      </x:c>
      <x:c r="B6" s="2" t="str">
        <x:f>IF(AND(COUNTIFS('Datos'!$A$10:$A$269,B4)=1,COUNTIFS('Datos'!$A$10:$A$269,E4)=1),"Disponible","Mes sin cobertura")</x:f>
        <x:v>Disponible</x:v>
      </x:c>
      <x:c r="C6" s="2"/>
      <x:c r="D6" s="2"/>
      <x:c r="E6" s="2"/>
      <x:c r="F6" s="2"/>
      <x:c r="G6" s="2"/>
    </x:row>
    <x:row r="7" ht="23" customHeight="1">
      <x:c r="A7" s="2"/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38" customHeight="1">
      <x:c r="A9" s="9" t="str">
        <x:v>Sector</x:v>
      </x:c>
      <x:c r="B9" s="9" t="str">
        <x:v>Actual GWh</x:v>
      </x:c>
      <x:c r="C9" s="9" t="str">
        <x:v>Anterior GWh</x:v>
      </x:c>
      <x:c r="D9" s="9" t="str">
        <x:v>Cambio GWh</x:v>
      </x:c>
      <x:c r="E9" s="9" t="str">
        <x:v>Interanual %</x:v>
      </x:c>
      <x:c r="F9" s="9" t="str">
        <x:v>Aporte (pp)</x:v>
      </x:c>
      <x:c r="G9" s="9" t="str">
        <x:v>Peso actual %</x:v>
      </x:c>
    </x:row>
    <x:row r="10" ht="23" customHeight="1">
      <x:c r="A10" s="2" t="str">
        <x:v>Residencial</x:v>
      </x:c>
      <x:c r="B10" s="10" t="n">
        <x:f>IF($B$6="Disponible",SUMIFS('Datos'!$C$10:$C$269,'Datos'!$A$10:$A$269,$B$4),"n.a.")</x:f>
        <x:v>6093.065132</x:v>
      </x:c>
      <x:c r="C10" s="10" t="n">
        <x:f>IF($B$6="Disponible",SUMIFS('Datos'!$C$10:$C$269,'Datos'!$A$10:$A$269,$E$4),"n.a.")</x:f>
        <x:v>5598.129769</x:v>
      </x:c>
      <x:c r="D10" s="10" t="n">
        <x:f>IF($B$6="Disponible",B10-C10,"n.a.")</x:f>
        <x:v>494.9353629999996</x:v>
      </x:c>
      <x:c r="E10" s="11" t="n">
        <x:f>IF($B$6="Disponible",IF(C10=0,"n.a.",D10/C10),"n.a.")</x:f>
        <x:v>0.08841084137433464</x:v>
      </x:c>
      <x:c r="F10" s="13" t="n">
        <x:f>IF($B$6="Disponible",D10/$C$13*100,"n.a.")</x:f>
        <x:v>4.223446146353052</x:v>
      </x:c>
      <x:c r="G10" s="12" t="n">
        <x:f>IF($B$6="Disponible",B10/$B$13,"n.a.")</x:f>
        <x:v>0.4901103240502227</x:v>
      </x:c>
    </x:row>
    <x:row r="11" ht="23" customHeight="1">
      <x:c r="A11" s="2" t="str">
        <x:v>Comercio e industria</x:v>
      </x:c>
      <x:c r="B11" s="10" t="n">
        <x:f>IF($B$6="Disponible",SUMIFS('Datos'!$D$10:$D$269,'Datos'!$A$10:$A$269,$B$4),"n.a.")</x:f>
        <x:v>4100.504724</x:v>
      </x:c>
      <x:c r="C11" s="10" t="n">
        <x:f>IF($B$6="Disponible",SUMIFS('Datos'!$D$10:$D$269,'Datos'!$A$10:$A$269,$E$4),"n.a.")</x:f>
        <x:v>4122.105814</x:v>
      </x:c>
      <x:c r="D11" s="10" t="n">
        <x:f>IF($B$6="Disponible",B11-C11,"n.a.")</x:f>
        <x:v>-21.601089999999203</x:v>
      </x:c>
      <x:c r="E11" s="11" t="n">
        <x:f>IF($B$6="Disponible",IF(C11=0,"n.a.",D11/C11),"n.a.")</x:f>
        <x:v>-0.00524030458573745</x:v>
      </x:c>
      <x:c r="F11" s="13" t="n">
        <x:f>IF($B$6="Disponible",D11/$C$13*100,"n.a.")</x:f>
        <x:v>-0.18432920162450017</x:v>
      </x:c>
      <x:c r="G11" s="12" t="n">
        <x:f>IF($B$6="Disponible",B11/$B$13,"n.a.")</x:f>
        <x:v>0.32983394326353466</x:v>
      </x:c>
    </x:row>
    <x:row r="12" ht="23" customHeight="1">
      <x:c r="A12" s="2" t="str">
        <x:v>Grandes usuarios</x:v>
      </x:c>
      <x:c r="B12" s="10" t="n">
        <x:f>IF($B$6="Disponible",SUMIFS('Datos'!$E$10:$E$269,'Datos'!$A$10:$A$269,$B$4),"n.a.")</x:f>
        <x:v>2238.457859</x:v>
      </x:c>
      <x:c r="C12" s="10" t="n">
        <x:f>IF($B$6="Disponible",SUMIFS('Datos'!$E$10:$E$269,'Datos'!$A$10:$A$269,$E$4),"n.a.")</x:f>
        <x:v>1998.520756</x:v>
      </x:c>
      <x:c r="D12" s="10" t="n">
        <x:f>IF($B$6="Disponible",B12-C12,"n.a.")</x:f>
        <x:v>239.9371030000002</x:v>
      </x:c>
      <x:c r="E12" s="11" t="n">
        <x:f>IF($B$6="Disponible",IF(C12=0,"n.a.",D12/C12),"n.a.")</x:f>
        <x:v>0.12005734855625398</x:v>
      </x:c>
      <x:c r="F12" s="13" t="n">
        <x:f>IF($B$6="Disponible",D12/$C$13*100,"n.a.")</x:f>
        <x:v>2.047462171403718</x:v>
      </x:c>
      <x:c r="G12" s="12" t="n">
        <x:f>IF($B$6="Disponible",B12/$B$13,"n.a.")</x:f>
        <x:v>0.18005573268624264</x:v>
      </x:c>
    </x:row>
    <x:row r="13" ht="23" customHeight="1">
      <x:c r="A13" s="24" t="str">
        <x:v>Total</x:v>
      </x:c>
      <x:c r="B13" s="25" t="n">
        <x:f>IF(B6="Disponible",SUM(B10:B12),"n.a.")</x:f>
        <x:v>12432.027715</x:v>
      </x:c>
      <x:c r="C13" s="25" t="n">
        <x:f>IF(B6="Disponible",SUM(C10:C12),"n.a.")</x:f>
        <x:v>11718.756339</x:v>
      </x:c>
      <x:c r="D13" s="25" t="n">
        <x:f>IF(B6="Disponible",SUM(D10:D12),"n.a.")</x:f>
        <x:v>713.2713760000006</x:v>
      </x:c>
      <x:c r="E13" s="26" t="n">
        <x:f>IF(B6="Disponible",D13/C13,"n.a.")</x:f>
        <x:v>0.06086579116132271</x:v>
      </x:c>
      <x:c r="F13" s="27" t="n">
        <x:f>IF(B6="Disponible",SUM(F10:F12),"n.a.")</x:f>
        <x:v>6.08657911613227</x:v>
      </x:c>
      <x:c r="G13" s="28" t="n">
        <x:f>IF(B6="Disponible",SUM(G10:G12),"n.a.")</x:f>
        <x:v>1</x:v>
      </x:c>
    </x:row>
    <x:row r="14" ht="23" customHeight="1">
      <x:c r="A14" s="2"/>
      <x:c r="B14" s="2"/>
      <x:c r="C14" s="2"/>
      <x:c r="D14" s="2"/>
      <x:c r="E14" s="2"/>
      <x:c r="F14" s="2"/>
      <x:c r="G14" s="2"/>
    </x:row>
    <x:row r="15" ht="23" customHeight="1">
      <x:c r="A15" s="2" t="str">
        <x:v>Acumulado de enero al mes seleccionado frente al mismo período del año anterior</x:v>
      </x:c>
      <x:c r="B15" s="2"/>
      <x:c r="C15" s="2"/>
      <x:c r="D15" s="2"/>
      <x:c r="E15" s="2"/>
      <x:c r="F15" s="2"/>
      <x:c r="G15" s="2"/>
    </x:row>
    <x:row r="16" ht="23" customHeight="1">
      <x:c r="A16" s="2" t="str">
        <x:v>Cobertura acumulado</x:v>
      </x:c>
      <x:c r="B16" s="2" t="str">
        <x:f>IF(AND(COUNTIFS('Datos'!$A$10:$A$269,"&gt;="&amp;DATE(YEAR(B4),1,1),'Datos'!$A$10:$A$269,"&lt;="&amp;B4)=MONTH(B4),COUNTIFS('Datos'!$A$10:$A$269,"&gt;="&amp;DATE(YEAR(E4),1,1),'Datos'!$A$10:$A$269,"&lt;="&amp;E4)=MONTH(E4)),"Disponible","Faltan meses")</x:f>
        <x:v>Disponible</x:v>
      </x:c>
      <x:c r="C16" s="2"/>
      <x:c r="D16" s="2"/>
      <x:c r="E16" s="2"/>
      <x:c r="F16" s="2"/>
      <x:c r="G16" s="2"/>
    </x:row>
    <x:row r="17" ht="23" customHeight="1">
      <x:c r="A17" s="2"/>
      <x:c r="B17" s="2"/>
      <x:c r="C17" s="2"/>
      <x:c r="D17" s="2"/>
      <x:c r="E17" s="2"/>
      <x:c r="F17" s="2"/>
      <x:c r="G17" s="2"/>
    </x:row>
    <x:row r="18" ht="38" customHeight="1">
      <x:c r="A18" s="9" t="str">
        <x:v>Sector</x:v>
      </x:c>
      <x:c r="B18" s="9" t="str">
        <x:v>Actual GWh</x:v>
      </x:c>
      <x:c r="C18" s="9" t="str">
        <x:v>Anterior GWh</x:v>
      </x:c>
      <x:c r="D18" s="9" t="str">
        <x:v>Cambio GWh</x:v>
      </x:c>
      <x:c r="E18" s="9" t="str">
        <x:v>Interanual %</x:v>
      </x:c>
      <x:c r="F18" s="9" t="str">
        <x:v>Aporte (pp)</x:v>
      </x:c>
      <x:c r="G18" s="9" t="str">
        <x:v>Peso actual %</x:v>
      </x:c>
    </x:row>
    <x:row r="19" ht="23" customHeight="1">
      <x:c r="A19" s="2" t="str">
        <x:v>Residencial</x:v>
      </x:c>
      <x:c r="B19" s="10" t="n">
        <x:f>IF($B$16="Disponible",SUMIFS('Datos'!$C$10:$C$269,'Datos'!$A$10:$A$269,"&gt;="&amp;DATE(YEAR($B$4),1,1),'Datos'!$A$10:$A$269,"&lt;="&amp;$B$4),"n.a.")</x:f>
        <x:v>46747.008008000004</x:v>
      </x:c>
      <x:c r="C19" s="10" t="n">
        <x:f>IF($B$16="Disponible",SUMIFS('Datos'!$C$10:$C$269,'Datos'!$A$10:$A$269,"&gt;="&amp;DATE(YEAR($E$4),1,1),'Datos'!$A$10:$A$269,"&lt;="&amp;$E$4),"n.a.")</x:f>
        <x:v>46030.252918</x:v>
      </x:c>
      <x:c r="D19" s="10" t="n">
        <x:f>IF($B$16="Disponible",B19-C19,"n.a.")</x:f>
        <x:v>716.755090000006</x:v>
      </x:c>
      <x:c r="E19" s="11" t="n">
        <x:f>IF($B$16="Disponible",IF(C19=0,"n.a.",D19/C19),"n.a.")</x:f>
        <x:v>0.015571391521068983</x:v>
      </x:c>
      <x:c r="F19" s="13" t="n">
        <x:f>IF($B$16="Disponible",D19/$C$22*100,"n.a.")</x:f>
        <x:v>0.7447607303382221</x:v>
      </x:c>
      <x:c r="G19" s="12" t="n">
        <x:f>IF($B$16="Disponible",B19/$B$22,"n.a.")</x:f>
        <x:v>0.478287441734332</x:v>
      </x:c>
    </x:row>
    <x:row r="20" ht="23" customHeight="1">
      <x:c r="A20" s="2" t="str">
        <x:v>Comercio e industria</x:v>
      </x:c>
      <x:c r="B20" s="10" t="n">
        <x:f>IF($B$16="Disponible",SUMIFS('Datos'!$D$10:$D$269,'Datos'!$A$10:$A$269,"&gt;="&amp;DATE(YEAR($B$4),1,1),'Datos'!$A$10:$A$269,"&lt;="&amp;$B$4),"n.a.")</x:f>
        <x:v>33774.116766</x:v>
      </x:c>
      <x:c r="C20" s="10" t="n">
        <x:f>IF($B$16="Disponible",SUMIFS('Datos'!$D$10:$D$269,'Datos'!$A$10:$A$269,"&gt;="&amp;DATE(YEAR($E$4),1,1),'Datos'!$A$10:$A$269,"&lt;="&amp;$E$4),"n.a.")</x:f>
        <x:v>34488.125382000006</x:v>
      </x:c>
      <x:c r="D20" s="10" t="n">
        <x:f>IF($B$16="Disponible",B20-C20,"n.a.")</x:f>
        <x:v>-714.0086160000064</x:v>
      </x:c>
      <x:c r="E20" s="11" t="n">
        <x:f>IF($B$16="Disponible",IF(C20=0,"n.a.",D20/C20),"n.a.")</x:f>
        <x:v>-0.02070302772596219</x:v>
      </x:c>
      <x:c r="F20" s="13" t="n">
        <x:f>IF($B$16="Disponible",D20/$C$22*100,"n.a.")</x:f>
        <x:v>-0.7419069438627126</x:v>
      </x:c>
      <x:c r="G20" s="12" t="n">
        <x:f>IF($B$16="Disponible",B20/$B$22,"n.a.")</x:f>
        <x:v>0.34555657341925067</x:v>
      </x:c>
    </x:row>
    <x:row r="21" ht="23" customHeight="1">
      <x:c r="A21" s="2" t="str">
        <x:v>Grandes usuarios</x:v>
      </x:c>
      <x:c r="B21" s="10" t="n">
        <x:f>IF($B$16="Disponible",SUMIFS('Datos'!$E$10:$E$269,'Datos'!$A$10:$A$269,"&gt;="&amp;DATE(YEAR($B$4),1,1),'Datos'!$A$10:$A$269,"&lt;="&amp;$B$4),"n.a.")</x:f>
        <x:v>17217.188903000002</x:v>
      </x:c>
      <x:c r="C21" s="10" t="n">
        <x:f>IF($B$16="Disponible",SUMIFS('Datos'!$E$10:$E$269,'Datos'!$A$10:$A$269,"&gt;="&amp;DATE(YEAR($E$4),1,1),'Datos'!$A$10:$A$269,"&lt;="&amp;$E$4),"n.a.")</x:f>
        <x:v>15721.267643</x:v>
      </x:c>
      <x:c r="D21" s="10" t="n">
        <x:f>IF($B$16="Disponible",B21-C21,"n.a.")</x:f>
        <x:v>1495.9212600000028</x:v>
      </x:c>
      <x:c r="E21" s="11" t="n">
        <x:f>IF($B$16="Disponible",IF(C21=0,"n.a.",D21/C21),"n.a.")</x:f>
        <x:v>0.09515271248919116</x:v>
      </x:c>
      <x:c r="F21" s="13" t="n">
        <x:f>IF($B$16="Disponible",D21/$C$22*100,"n.a.")</x:f>
        <x:v>1.5543711173729735</x:v>
      </x:c>
      <x:c r="G21" s="12" t="n">
        <x:f>IF($B$16="Disponible",B21/$B$22,"n.a.")</x:f>
        <x:v>0.1761559848464174</x:v>
      </x:c>
    </x:row>
    <x:row r="22" ht="23" customHeight="1">
      <x:c r="A22" s="24" t="str">
        <x:v>Total</x:v>
      </x:c>
      <x:c r="B22" s="25" t="n">
        <x:f>IF(B16="Disponible",SUM(B19:B21),"n.a.")</x:f>
        <x:v>97738.313677</x:v>
      </x:c>
      <x:c r="C22" s="25" t="n">
        <x:f>IF(B16="Disponible",SUM(C19:C21),"n.a.")</x:f>
        <x:v>96239.64594300001</x:v>
      </x:c>
      <x:c r="D22" s="25" t="n">
        <x:f>IF(B16="Disponible",SUM(D19:D21),"n.a.")</x:f>
        <x:v>1498.6677340000024</x:v>
      </x:c>
      <x:c r="E22" s="26" t="n">
        <x:f>IF(B16="Disponible",D22/C22,"n.a.")</x:f>
        <x:v>0.01557224903848483</x:v>
      </x:c>
      <x:c r="F22" s="27" t="n">
        <x:f>IF(B16="Disponible",SUM(F19:F21),"n.a.")</x:f>
        <x:v>1.5572249038484829</x:v>
      </x:c>
      <x:c r="G22" s="28" t="n">
        <x:f>IF(B16="Disponible",SUM(G19:G21),"n.a.")</x:f>
        <x:v>1</x:v>
      </x:c>
    </x:row>
    <x:row r="23" ht="23" customHeight="1">
      <x:c r="A23" s="2"/>
      <x:c r="B23" s="2"/>
      <x:c r="C23" s="2"/>
      <x:c r="D23" s="2"/>
      <x:c r="E23" s="2"/>
      <x:c r="F23" s="2"/>
      <x:c r="G23" s="2"/>
    </x:row>
    <x:row r="24" ht="23" customHeight="1">
      <x:c r="A24" s="2"/>
      <x:c r="B24" s="2"/>
      <x:c r="C24" s="2"/>
      <x:c r="D24" s="2"/>
      <x:c r="E24" s="2"/>
      <x:c r="F24" s="2"/>
      <x:c r="G24" s="2"/>
    </x:row>
    <x:row r="25" ht="23" customHeight="1">
      <x:c r="A25" s="2"/>
      <x:c r="B25" s="2"/>
      <x:c r="C25" s="2"/>
      <x:c r="D25" s="2"/>
      <x:c r="E25" s="2"/>
      <x:c r="F25" s="2"/>
      <x:c r="G25" s="2"/>
    </x:row>
    <x:row r="26" ht="23" customHeight="1">
      <x:c r="A26" s="2"/>
      <x:c r="B26" s="2"/>
      <x:c r="C26" s="2"/>
      <x:c r="D26" s="2"/>
      <x:c r="E26" s="2"/>
      <x:c r="F26" s="2"/>
      <x:c r="G26" s="2"/>
    </x:row>
    <x:row r="27" ht="23" customHeight="1">
      <x:c r="A27" s="2"/>
      <x:c r="B27" s="2"/>
      <x:c r="C27" s="2"/>
      <x:c r="D27" s="2"/>
      <x:c r="E27" s="2"/>
      <x:c r="F27" s="2"/>
      <x:c r="G27" s="2"/>
    </x:row>
    <x:row r="28" ht="23" customHeight="1">
      <x:c r="A28" s="2"/>
      <x:c r="B28" s="2"/>
      <x:c r="C28" s="2"/>
      <x:c r="D28" s="2"/>
      <x:c r="E28" s="2"/>
      <x:c r="F28" s="2"/>
      <x:c r="G28" s="2"/>
    </x:row>
    <x:row r="29" ht="23" customHeight="1">
      <x:c r="A29" s="2"/>
      <x:c r="B29" s="2"/>
      <x:c r="C29" s="2"/>
      <x:c r="D29" s="2"/>
      <x:c r="E29" s="2"/>
      <x:c r="F29" s="2"/>
      <x:c r="G29" s="2"/>
    </x:row>
    <x:row r="30" ht="23" customHeight="1">
      <x:c r="A30" s="2"/>
      <x:c r="B30" s="2"/>
      <x:c r="C30" s="2"/>
      <x:c r="D30" s="2"/>
      <x:c r="E30" s="2"/>
      <x:c r="F30" s="2"/>
      <x:c r="G30" s="2"/>
    </x:row>
    <x:row r="31" ht="23" customHeight="1">
      <x:c r="A31" s="2"/>
      <x:c r="B31" s="2"/>
      <x:c r="C31" s="2"/>
      <x:c r="D31" s="2"/>
      <x:c r="E31" s="2"/>
      <x:c r="F31" s="2"/>
      <x:c r="G31" s="2"/>
    </x:row>
    <x:row r="32" ht="23" customHeight="1">
      <x:c r="A32" s="2"/>
      <x:c r="B32" s="2"/>
      <x:c r="C32" s="2"/>
      <x:c r="D32" s="2"/>
      <x:c r="E32" s="2"/>
      <x:c r="F32" s="2"/>
      <x:c r="G32" s="2"/>
    </x:row>
    <x:row r="33" ht="23" customHeight="1">
      <x:c r="A33" s="2"/>
      <x:c r="B33" s="2"/>
      <x:c r="C33" s="2"/>
      <x:c r="D33" s="2"/>
      <x:c r="E33" s="2"/>
      <x:c r="F33" s="2"/>
      <x:c r="G33" s="2"/>
    </x:row>
    <x:row r="34" ht="23" customHeight="1">
      <x:c r="A34" s="2"/>
      <x:c r="B34" s="2"/>
      <x:c r="C34" s="2"/>
      <x:c r="D34" s="2"/>
      <x:c r="E34" s="2"/>
      <x:c r="F34" s="2"/>
      <x:c r="G34" s="2"/>
    </x:row>
    <x:row r="35" ht="23" customHeight="1">
      <x:c r="A35" s="2"/>
      <x:c r="B35" s="2"/>
      <x:c r="C35" s="2"/>
      <x:c r="D35" s="2"/>
      <x:c r="E35" s="2"/>
      <x:c r="F35" s="2"/>
      <x:c r="G35" s="2"/>
    </x:row>
    <x:row r="36" ht="23" customHeight="1">
      <x:c r="A36" s="2"/>
      <x:c r="B36" s="2"/>
      <x:c r="C36" s="2"/>
      <x:c r="D36" s="2"/>
      <x:c r="E36" s="2"/>
      <x:c r="F36" s="2"/>
      <x:c r="G36" s="2"/>
    </x:row>
    <x:row r="37" ht="23" customHeight="1">
      <x:c r="A37" s="2"/>
      <x:c r="B37" s="2"/>
      <x:c r="C37" s="2"/>
      <x:c r="D37" s="2"/>
      <x:c r="E37" s="2"/>
      <x:c r="F37" s="2"/>
      <x:c r="G37" s="2"/>
    </x:row>
    <x:row r="38" ht="23" customHeight="1">
      <x:c r="A38" s="2" t="str">
        <x:v>Aporte (pp): cambio del sector / total del período anterior × 100. No es su propia tasa de crecimiento.</x:v>
      </x:c>
      <x:c r="B38" s="2"/>
      <x:c r="C38" s="2"/>
      <x:c r="D38" s="2"/>
      <x:c r="E38" s="2"/>
      <x:c r="F38" s="2"/>
      <x:c r="G38" s="2"/>
    </x:row>
    <x:row r="39" ht="23" customHeight="1">
      <x:c r="A39" s="2" t="str">
        <x:v>Datos sin ajuste climático ni estacional. Los aportes son contables y no identifican causas.</x:v>
      </x:c>
      <x:c r="B39" s="2"/>
      <x:c r="C39" s="2"/>
      <x:c r="D39" s="2"/>
      <x:c r="E39" s="2"/>
      <x:c r="F39" s="2"/>
      <x:c r="G39" s="2"/>
    </x:row>
    <x:row r="40" ht="23" customHeight="1">
      <x:c r="A40" s="2" t="str">
        <x:v>Conciliación con fuente (GWh)</x:v>
      </x:c>
      <x:c r="B40" s="29" t="n">
        <x:f>IF(B6="Disponible",B13-SUMIFS('Datos'!$B$10:$B$269,'Datos'!$A$10:$A$269,B4),"n.a.")</x:f>
        <x:v>0</x:v>
      </x:c>
      <x:c r="C40" s="2"/>
      <x:c r="D40" s="2"/>
      <x:c r="E40" s="2"/>
      <x:c r="F40" s="2"/>
      <x:c r="G40" s="2"/>
    </x:row>
    <x:row r="41" ht="23" customHeight="1">
      <x:c r="A41" s="2" t="str">
        <x:v>Datos originales y fuente en la hoja Datos. El archivo no descarga publicaciones nuevas.</x:v>
      </x:c>
      <x:c r="B41" s="2"/>
      <x:c r="C41" s="2"/>
      <x:c r="D41" s="2"/>
      <x:c r="E41" s="2"/>
      <x:c r="F41" s="2"/>
      <x:c r="G41" s="2"/>
    </x:row>
    <x:row r="42" ht="23" customHeight="1">
      <x:c r="A42" s="2"/>
      <x:c r="B42" s="2"/>
      <x:c r="C42" s="2"/>
      <x:c r="D42" s="2"/>
      <x:c r="E42" s="2"/>
      <x:c r="F42" s="2"/>
      <x:c r="G42" s="2"/>
    </x:row>
  </x:sheetData>
  <x:dataValidations count="1">
    <x:dataValidation type="list" sqref="B4">
      <x:formula1>INDIRECT("'Datos'!$A$22:$A$269")</x:formula1>
    </x:dataValidation>
  </x:dataValidations>
  <x:pageMargins left="0.7" right="0.7" top="0.75" bottom="0.75" header="0.3" footer="0.3"/>
  <x:drawing xmlns:r="http://schemas.openxmlformats.org/officeDocument/2006/relationships" r:id="Rf6e6fe321bc54cfd"/>
</x:worksheet>
</file>

<file path=xl/worksheets/sheet2.xml><?xml version="1.0" encoding="utf-8"?>
<x:worksheet xmlns:x="http://schemas.openxmlformats.org/spreadsheetml/2006/main">
  <x:sheetViews>
    <x:sheetView showGridLines="0" workbookViewId="0">
      <x:pane ySplit="9" topLeftCell="A10" activePane="bottomLeft" state="frozen"/>
    </x:sheetView>
  </x:sheetViews>
  <x:sheetFormatPr defaultRowHeight="15"/>
  <x:cols>
    <x:col min="1" max="1" width="18" hidden="0" customWidth="1"/>
    <x:col min="2" max="2" width="23" hidden="0" customWidth="1"/>
    <x:col min="3" max="3" width="23" hidden="0" customWidth="1"/>
    <x:col min="4" max="4" width="23" hidden="0" customWidth="1"/>
    <x:col min="5" max="5" width="23" hidden="0" customWidth="1"/>
  </x:cols>
  <x:sheetData>
    <x:row r="1" ht="23" customHeight="1">
      <x:c r="A1" s="2"/>
      <x:c r="B1" s="2"/>
      <x:c r="C1" s="2"/>
      <x:c r="D1" s="2"/>
      <x:c r="E1" s="2"/>
      <x:c r="F1" s="2"/>
      <x:c r="G1" s="2"/>
    </x:row>
    <x:row r="2" ht="23" customHeight="1">
      <x:c r="A2" s="3" t="str">
        <x:v>Datos mensuales originales (GWh)</x:v>
      </x:c>
      <x:c r="B2" s="2"/>
      <x:c r="C2" s="2"/>
      <x:c r="D2" s="2"/>
      <x:c r="E2" s="2"/>
      <x:c r="F2" s="2"/>
      <x:c r="G2" s="2"/>
    </x:row>
    <x:row r="3" ht="23" customHeight="1">
      <x:c r="A3" s="2" t="str">
        <x:v>Fuente: Datos Argentina / CAMMESA. Consulta oficial en el enlace de A4.</x:v>
      </x:c>
      <x:c r="B3" s="2"/>
      <x:c r="C3" s="2"/>
      <x:c r="D3" s="2"/>
      <x:c r="E3" s="2"/>
      <x:c r="F3" s="2"/>
      <x:c r="G3" s="2"/>
    </x:row>
    <x:row r="4" ht="23" customHeight="1">
      <x:c r="A4" s="2" t="str">
        <x:v>https://datos.gob.ar/dataset/sspm-demanda-electricidad</x:v>
      </x:c>
      <x:c r="B4" s="2"/>
      <x:c r="C4" s="2"/>
      <x:c r="D4" s="2"/>
      <x:c r="E4" s="2"/>
      <x:c r="F4" s="2"/>
      <x:c r="G4" s="2"/>
    </x:row>
    <x:row r="5" ht="23" customHeight="1">
      <x:c r="A5" s="2" t="str">
        <x:v>Descarga: 2026-09-20. Histórico revisable: enero 2005–agosto 2026.</x:v>
      </x:c>
      <x:c r="B5" s="2"/>
      <x:c r="C5" s="2"/>
      <x:c r="D5" s="2"/>
      <x:c r="E5" s="2"/>
      <x:c r="F5" s="2"/>
      <x:c r="G5" s="2"/>
    </x:row>
    <x:row r="6" ht="23" customHeight="1">
      <x:c r="A6" s="2" t="str">
        <x:v>Comercio e industria conserva la categoría conjunta de la fuente. Grandes usuarios no equivale a industria.</x:v>
      </x:c>
      <x:c r="B6" s="2"/>
      <x:c r="C6" s="2"/>
      <x:c r="D6" s="2"/>
      <x:c r="E6" s="2"/>
      <x:c r="F6" s="2"/>
      <x:c r="G6" s="2"/>
    </x:row>
    <x:row r="7" ht="23" customHeight="1">
      <x:c r="A7" s="2" t="str">
        <x:v>SHA-256: 31d390ba985e387f964c213c854979ac39e1d382ee40d7b8b45fbfb7aa90f04b</x:v>
      </x:c>
      <x:c r="B7" s="2"/>
      <x:c r="C7" s="2"/>
      <x:c r="D7" s="2"/>
      <x:c r="E7" s="2"/>
      <x:c r="F7" s="2"/>
      <x:c r="G7" s="2"/>
    </x:row>
    <x:row r="8" ht="23" customHeight="1">
      <x:c r="A8" s="2"/>
      <x:c r="B8" s="2"/>
      <x:c r="C8" s="2"/>
      <x:c r="D8" s="2"/>
      <x:c r="E8" s="2"/>
      <x:c r="F8" s="2"/>
      <x:c r="G8" s="2"/>
    </x:row>
    <x:row r="9" ht="40" customHeight="1">
      <x:c r="A9" s="9" t="str">
        <x:v>Mes</x:v>
      </x:c>
      <x:c r="B9" s="9" t="str">
        <x:v>Total GWh</x:v>
      </x:c>
      <x:c r="C9" s="9" t="str">
        <x:v>Residencial GWh</x:v>
      </x:c>
      <x:c r="D9" s="9" t="str">
        <x:v>Comercio e industria GWh</x:v>
      </x:c>
      <x:c r="E9" s="9" t="str">
        <x:v>Grandes usuarios GWh</x:v>
      </x:c>
      <x:c r="F9" s="2"/>
      <x:c r="G9" s="2"/>
    </x:row>
    <x:row r="10" ht="23" customHeight="1">
      <x:c r="A10" s="4" t="n">
        <x:v>38353</x:v>
      </x:c>
      <x:c r="B10" s="30" t="n">
        <x:v>7983.28</x:v>
      </x:c>
      <x:c r="C10" s="30" t="n">
        <x:v>2717.678</x:v>
      </x:c>
      <x:c r="D10" s="30" t="n">
        <x:v>3750.612</x:v>
      </x:c>
      <x:c r="E10" s="30" t="n">
        <x:v>1514.99</x:v>
      </x:c>
      <x:c r="F10" s="2"/>
      <x:c r="G10" s="2"/>
    </x:row>
    <x:row r="11" ht="23" customHeight="1">
      <x:c r="A11" s="4" t="n">
        <x:v>38384</x:v>
      </x:c>
      <x:c r="B11" s="30" t="n">
        <x:v>7248.88</x:v>
      </x:c>
      <x:c r="C11" s="30" t="n">
        <x:v>2298.744</x:v>
      </x:c>
      <x:c r="D11" s="30" t="n">
        <x:v>3479.876</x:v>
      </x:c>
      <x:c r="E11" s="30" t="n">
        <x:v>1470.26</x:v>
      </x:c>
      <x:c r="F11" s="2"/>
      <x:c r="G11" s="2"/>
    </x:row>
    <x:row r="12" ht="23" customHeight="1">
      <x:c r="A12" s="4" t="n">
        <x:v>38412</x:v>
      </x:c>
      <x:c r="B12" s="30" t="n">
        <x:v>7689.91</x:v>
      </x:c>
      <x:c r="C12" s="30" t="n">
        <x:v>2384.287</x:v>
      </x:c>
      <x:c r="D12" s="30" t="n">
        <x:v>3690.043</x:v>
      </x:c>
      <x:c r="E12" s="30" t="n">
        <x:v>1615.58</x:v>
      </x:c>
      <x:c r="F12" s="2"/>
      <x:c r="G12" s="2"/>
    </x:row>
    <x:row r="13" ht="23" customHeight="1">
      <x:c r="A13" s="4" t="n">
        <x:v>38443</x:v>
      </x:c>
      <x:c r="B13" s="30" t="n">
        <x:v>7213.14</x:v>
      </x:c>
      <x:c r="C13" s="30" t="n">
        <x:v>2184.768</x:v>
      </x:c>
      <x:c r="D13" s="30" t="n">
        <x:v>3492.142</x:v>
      </x:c>
      <x:c r="E13" s="30" t="n">
        <x:v>1536.23</x:v>
      </x:c>
      <x:c r="F13" s="2"/>
      <x:c r="G13" s="2"/>
    </x:row>
    <x:row r="14" ht="23" customHeight="1">
      <x:c r="A14" s="4" t="n">
        <x:v>38473</x:v>
      </x:c>
      <x:c r="B14" s="30" t="n">
        <x:v>7668.55</x:v>
      </x:c>
      <x:c r="C14" s="30" t="n">
        <x:v>2479.291</x:v>
      </x:c>
      <x:c r="D14" s="30" t="n">
        <x:v>3597.299</x:v>
      </x:c>
      <x:c r="E14" s="30" t="n">
        <x:v>1591.96</x:v>
      </x:c>
      <x:c r="F14" s="2"/>
      <x:c r="G14" s="2"/>
    </x:row>
    <x:row r="15" ht="23" customHeight="1">
      <x:c r="A15" s="4" t="n">
        <x:v>38504</x:v>
      </x:c>
      <x:c r="B15" s="30" t="n">
        <x:v>7719.71</x:v>
      </x:c>
      <x:c r="C15" s="30" t="n">
        <x:v>2679.416</x:v>
      </x:c>
      <x:c r="D15" s="30" t="n">
        <x:v>3498.704</x:v>
      </x:c>
      <x:c r="E15" s="30" t="n">
        <x:v>1541.59</x:v>
      </x:c>
      <x:c r="F15" s="2"/>
      <x:c r="G15" s="2"/>
    </x:row>
    <x:row r="16" ht="23" customHeight="1">
      <x:c r="A16" s="4" t="n">
        <x:v>38534</x:v>
      </x:c>
      <x:c r="B16" s="30" t="n">
        <x:v>8061.62</x:v>
      </x:c>
      <x:c r="C16" s="30" t="n">
        <x:v>2896.148</x:v>
      </x:c>
      <x:c r="D16" s="30" t="n">
        <x:v>3628.562</x:v>
      </x:c>
      <x:c r="E16" s="30" t="n">
        <x:v>1536.91</x:v>
      </x:c>
      <x:c r="F16" s="2"/>
      <x:c r="G16" s="2"/>
    </x:row>
    <x:row r="17" ht="23" customHeight="1">
      <x:c r="A17" s="4" t="n">
        <x:v>38565</x:v>
      </x:c>
      <x:c r="B17" s="30" t="n">
        <x:v>7953.5</x:v>
      </x:c>
      <x:c r="C17" s="30" t="n">
        <x:v>2737.632</x:v>
      </x:c>
      <x:c r="D17" s="30" t="n">
        <x:v>3587.508</x:v>
      </x:c>
      <x:c r="E17" s="30" t="n">
        <x:v>1628.36</x:v>
      </x:c>
      <x:c r="F17" s="2"/>
      <x:c r="G17" s="2"/>
    </x:row>
    <x:row r="18" ht="23" customHeight="1">
      <x:c r="A18" s="4" t="n">
        <x:v>38596</x:v>
      </x:c>
      <x:c r="B18" s="30" t="n">
        <x:v>7508.4</x:v>
      </x:c>
      <x:c r="C18" s="30" t="n">
        <x:v>2454.398</x:v>
      </x:c>
      <x:c r="D18" s="30" t="n">
        <x:v>3449.992</x:v>
      </x:c>
      <x:c r="E18" s="30" t="n">
        <x:v>1604.01</x:v>
      </x:c>
      <x:c r="F18" s="2"/>
      <x:c r="G18" s="2"/>
    </x:row>
    <x:row r="19" ht="23" customHeight="1">
      <x:c r="A19" s="4" t="n">
        <x:v>38626</x:v>
      </x:c>
      <x:c r="B19" s="30" t="n">
        <x:v>7403.31</x:v>
      </x:c>
      <x:c r="C19" s="30" t="n">
        <x:v>2266.127</x:v>
      </x:c>
      <x:c r="D19" s="30" t="n">
        <x:v>3495.353</x:v>
      </x:c>
      <x:c r="E19" s="30" t="n">
        <x:v>1641.83</x:v>
      </x:c>
      <x:c r="F19" s="2"/>
      <x:c r="G19" s="2"/>
    </x:row>
    <x:row r="20" ht="23" customHeight="1">
      <x:c r="A20" s="4" t="n">
        <x:v>38657</x:v>
      </x:c>
      <x:c r="B20" s="30" t="n">
        <x:v>7784.34</x:v>
      </x:c>
      <x:c r="C20" s="30" t="n">
        <x:v>2415.443</x:v>
      </x:c>
      <x:c r="D20" s="30" t="n">
        <x:v>3642.277</x:v>
      </x:c>
      <x:c r="E20" s="30" t="n">
        <x:v>1726.62</x:v>
      </x:c>
      <x:c r="F20" s="2"/>
      <x:c r="G20" s="2"/>
    </x:row>
    <x:row r="21" ht="23" customHeight="1">
      <x:c r="A21" s="4" t="n">
        <x:v>38687</x:v>
      </x:c>
      <x:c r="B21" s="30" t="n">
        <x:v>8098.31</x:v>
      </x:c>
      <x:c r="C21" s="30" t="n">
        <x:v>2572.563</x:v>
      </x:c>
      <x:c r="D21" s="30" t="n">
        <x:v>3790.507</x:v>
      </x:c>
      <x:c r="E21" s="30" t="n">
        <x:v>1735.24</x:v>
      </x:c>
      <x:c r="F21" s="2"/>
      <x:c r="G21" s="2"/>
    </x:row>
    <x:row r="22" ht="23" customHeight="1">
      <x:c r="A22" s="4" t="n">
        <x:v>38718</x:v>
      </x:c>
      <x:c r="B22" s="30" t="n">
        <x:v>7957.9</x:v>
      </x:c>
      <x:c r="C22" s="30" t="n">
        <x:v>2830.373</x:v>
      </x:c>
      <x:c r="D22" s="30" t="n">
        <x:v>3428.727</x:v>
      </x:c>
      <x:c r="E22" s="30" t="n">
        <x:v>1698.8</x:v>
      </x:c>
      <x:c r="F22" s="2"/>
      <x:c r="G22" s="2"/>
    </x:row>
    <x:row r="23" ht="23" customHeight="1">
      <x:c r="A23" s="4" t="n">
        <x:v>38749</x:v>
      </x:c>
      <x:c r="B23" s="30" t="n">
        <x:v>7395.7</x:v>
      </x:c>
      <x:c r="C23" s="30" t="n">
        <x:v>2515.396</x:v>
      </x:c>
      <x:c r="D23" s="30" t="n">
        <x:v>3261.454</x:v>
      </x:c>
      <x:c r="E23" s="30" t="n">
        <x:v>1618.85</x:v>
      </x:c>
      <x:c r="F23" s="2"/>
      <x:c r="G23" s="2"/>
    </x:row>
    <x:row r="24" ht="23" customHeight="1">
      <x:c r="A24" s="4" t="n">
        <x:v>38777</x:v>
      </x:c>
      <x:c r="B24" s="30" t="n">
        <x:v>8037.6</x:v>
      </x:c>
      <x:c r="C24" s="30" t="n">
        <x:v>2474.69</x:v>
      </x:c>
      <x:c r="D24" s="30" t="n">
        <x:v>3540.41</x:v>
      </x:c>
      <x:c r="E24" s="30" t="n">
        <x:v>2022.5</x:v>
      </x:c>
      <x:c r="F24" s="2"/>
      <x:c r="G24" s="2"/>
    </x:row>
    <x:row r="25" ht="23" customHeight="1">
      <x:c r="A25" s="4" t="n">
        <x:v>38808</x:v>
      </x:c>
      <x:c r="B25" s="30" t="n">
        <x:v>7555.6</x:v>
      </x:c>
      <x:c r="C25" s="30" t="n">
        <x:v>2258.193</x:v>
      </x:c>
      <x:c r="D25" s="30" t="n">
        <x:v>3318.147</x:v>
      </x:c>
      <x:c r="E25" s="30" t="n">
        <x:v>1979.26</x:v>
      </x:c>
      <x:c r="F25" s="2"/>
      <x:c r="G25" s="2"/>
    </x:row>
    <x:row r="26" ht="23" customHeight="1">
      <x:c r="A26" s="4" t="n">
        <x:v>38838</x:v>
      </x:c>
      <x:c r="B26" s="30" t="n">
        <x:v>8116.1</x:v>
      </x:c>
      <x:c r="C26" s="30" t="n">
        <x:v>2696.051</x:v>
      </x:c>
      <x:c r="D26" s="30" t="n">
        <x:v>3416.579</x:v>
      </x:c>
      <x:c r="E26" s="30" t="n">
        <x:v>2003.47</x:v>
      </x:c>
      <x:c r="F26" s="2"/>
      <x:c r="G26" s="2"/>
    </x:row>
    <x:row r="27" ht="23" customHeight="1">
      <x:c r="A27" s="4" t="n">
        <x:v>38869</x:v>
      </x:c>
      <x:c r="B27" s="30" t="n">
        <x:v>8248.9</x:v>
      </x:c>
      <x:c r="C27" s="30" t="n">
        <x:v>2963.715</x:v>
      </x:c>
      <x:c r="D27" s="30" t="n">
        <x:v>3374.495</x:v>
      </x:c>
      <x:c r="E27" s="30" t="n">
        <x:v>1910.69</x:v>
      </x:c>
      <x:c r="F27" s="2"/>
      <x:c r="G27" s="2"/>
    </x:row>
    <x:row r="28" ht="23" customHeight="1">
      <x:c r="A28" s="4" t="n">
        <x:v>38899</x:v>
      </x:c>
      <x:c r="B28" s="30" t="n">
        <x:v>8313.5</x:v>
      </x:c>
      <x:c r="C28" s="30" t="n">
        <x:v>2993.796</x:v>
      </x:c>
      <x:c r="D28" s="30" t="n">
        <x:v>3392.594</x:v>
      </x:c>
      <x:c r="E28" s="30" t="n">
        <x:v>1927.11</x:v>
      </x:c>
      <x:c r="F28" s="2"/>
      <x:c r="G28" s="2"/>
    </x:row>
    <x:row r="29" ht="23" customHeight="1">
      <x:c r="A29" s="4" t="n">
        <x:v>38930</x:v>
      </x:c>
      <x:c r="B29" s="30" t="n">
        <x:v>8497</x:v>
      </x:c>
      <x:c r="C29" s="30" t="n">
        <x:v>3107.201</x:v>
      </x:c>
      <x:c r="D29" s="30" t="n">
        <x:v>3472.059</x:v>
      </x:c>
      <x:c r="E29" s="30" t="n">
        <x:v>1917.74</x:v>
      </x:c>
      <x:c r="F29" s="2"/>
      <x:c r="G29" s="2"/>
    </x:row>
    <x:row r="30" ht="23" customHeight="1">
      <x:c r="A30" s="4" t="n">
        <x:v>38961</x:v>
      </x:c>
      <x:c r="B30" s="30" t="n">
        <x:v>7828.4</x:v>
      </x:c>
      <x:c r="C30" s="30" t="n">
        <x:v>2614.886</x:v>
      </x:c>
      <x:c r="D30" s="30" t="n">
        <x:v>3291.477</x:v>
      </x:c>
      <x:c r="E30" s="30" t="n">
        <x:v>1922.037</x:v>
      </x:c>
      <x:c r="F30" s="2"/>
      <x:c r="G30" s="2"/>
    </x:row>
    <x:row r="31" ht="23" customHeight="1">
      <x:c r="A31" s="4" t="n">
        <x:v>38991</x:v>
      </x:c>
      <x:c r="B31" s="30" t="n">
        <x:v>8025.1</x:v>
      </x:c>
      <x:c r="C31" s="30" t="n">
        <x:v>2530.829</x:v>
      </x:c>
      <x:c r="D31" s="30" t="n">
        <x:v>3503.241</x:v>
      </x:c>
      <x:c r="E31" s="30" t="n">
        <x:v>1991.03</x:v>
      </x:c>
      <x:c r="F31" s="2"/>
      <x:c r="G31" s="2"/>
    </x:row>
    <x:row r="32" ht="23" customHeight="1">
      <x:c r="A32" s="4" t="n">
        <x:v>39022</x:v>
      </x:c>
      <x:c r="B32" s="30" t="n">
        <x:v>7998.1</x:v>
      </x:c>
      <x:c r="C32" s="30" t="n">
        <x:v>2551.555</x:v>
      </x:c>
      <x:c r="D32" s="30" t="n">
        <x:v>3489.625</x:v>
      </x:c>
      <x:c r="E32" s="30" t="n">
        <x:v>1956.92</x:v>
      </x:c>
      <x:c r="F32" s="2"/>
      <x:c r="G32" s="2"/>
    </x:row>
    <x:row r="33" ht="23" customHeight="1">
      <x:c r="A33" s="4" t="n">
        <x:v>39052</x:v>
      </x:c>
      <x:c r="B33" s="30" t="n">
        <x:v>8838.9</x:v>
      </x:c>
      <x:c r="C33" s="30" t="n">
        <x:v>3071.673</x:v>
      </x:c>
      <x:c r="D33" s="30" t="n">
        <x:v>3802.947</x:v>
      </x:c>
      <x:c r="E33" s="30" t="n">
        <x:v>1964.28</x:v>
      </x:c>
      <x:c r="F33" s="2"/>
      <x:c r="G33" s="2"/>
    </x:row>
    <x:row r="34" ht="23" customHeight="1">
      <x:c r="A34" s="4" t="n">
        <x:v>39083</x:v>
      </x:c>
      <x:c r="B34" s="30" t="n">
        <x:v>8743.2</x:v>
      </x:c>
      <x:c r="C34" s="30" t="n">
        <x:v>3079.471</x:v>
      </x:c>
      <x:c r="D34" s="30" t="n">
        <x:v>3735.829</x:v>
      </x:c>
      <x:c r="E34" s="30" t="n">
        <x:v>1927.9</x:v>
      </x:c>
      <x:c r="F34" s="2"/>
      <x:c r="G34" s="2"/>
    </x:row>
    <x:row r="35" ht="23" customHeight="1">
      <x:c r="A35" s="4" t="n">
        <x:v>39114</x:v>
      </x:c>
      <x:c r="B35" s="30" t="n">
        <x:v>8158.2</x:v>
      </x:c>
      <x:c r="C35" s="30" t="n">
        <x:v>2790.054</x:v>
      </x:c>
      <x:c r="D35" s="30" t="n">
        <x:v>3574.996</x:v>
      </x:c>
      <x:c r="E35" s="30" t="n">
        <x:v>1793.15</x:v>
      </x:c>
      <x:c r="F35" s="2"/>
      <x:c r="G35" s="2"/>
    </x:row>
    <x:row r="36" ht="23" customHeight="1">
      <x:c r="A36" s="4" t="n">
        <x:v>39142</x:v>
      </x:c>
      <x:c r="B36" s="30" t="n">
        <x:v>8637.8</x:v>
      </x:c>
      <x:c r="C36" s="30" t="n">
        <x:v>2853.558</x:v>
      </x:c>
      <x:c r="D36" s="30" t="n">
        <x:v>3795.382</x:v>
      </x:c>
      <x:c r="E36" s="30" t="n">
        <x:v>1988.86</x:v>
      </x:c>
      <x:c r="F36" s="2"/>
      <x:c r="G36" s="2"/>
    </x:row>
    <x:row r="37" ht="23" customHeight="1">
      <x:c r="A37" s="4" t="n">
        <x:v>39173</x:v>
      </x:c>
      <x:c r="B37" s="30" t="n">
        <x:v>8010.4</x:v>
      </x:c>
      <x:c r="C37" s="30" t="n">
        <x:v>2610.215</x:v>
      </x:c>
      <x:c r="D37" s="30" t="n">
        <x:v>3525.255</x:v>
      </x:c>
      <x:c r="E37" s="30" t="n">
        <x:v>1874.93</x:v>
      </x:c>
      <x:c r="F37" s="2"/>
      <x:c r="G37" s="2"/>
    </x:row>
    <x:row r="38" ht="23" customHeight="1">
      <x:c r="A38" s="4" t="n">
        <x:v>39203</x:v>
      </x:c>
      <x:c r="B38" s="30" t="n">
        <x:v>8789.5</x:v>
      </x:c>
      <x:c r="C38" s="30" t="n">
        <x:v>3161.771</x:v>
      </x:c>
      <x:c r="D38" s="30" t="n">
        <x:v>3731.939</x:v>
      </x:c>
      <x:c r="E38" s="30" t="n">
        <x:v>1895.79</x:v>
      </x:c>
      <x:c r="F38" s="2"/>
      <x:c r="G38" s="2"/>
    </x:row>
    <x:row r="39" ht="23" customHeight="1">
      <x:c r="A39" s="4" t="n">
        <x:v>39234</x:v>
      </x:c>
      <x:c r="B39" s="30" t="n">
        <x:v>8851.4</x:v>
      </x:c>
      <x:c r="C39" s="30" t="n">
        <x:v>3576.113</x:v>
      </x:c>
      <x:c r="D39" s="30" t="n">
        <x:v>3535.967</x:v>
      </x:c>
      <x:c r="E39" s="30" t="n">
        <x:v>1739.32</x:v>
      </x:c>
      <x:c r="F39" s="2"/>
      <x:c r="G39" s="2"/>
    </x:row>
    <x:row r="40" ht="23" customHeight="1">
      <x:c r="A40" s="4" t="n">
        <x:v>39264</x:v>
      </x:c>
      <x:c r="B40" s="30" t="n">
        <x:v>9024.5</x:v>
      </x:c>
      <x:c r="C40" s="30" t="n">
        <x:v>3807.798</x:v>
      </x:c>
      <x:c r="D40" s="30" t="n">
        <x:v>3564.032</x:v>
      </x:c>
      <x:c r="E40" s="30" t="n">
        <x:v>1652.67</x:v>
      </x:c>
      <x:c r="F40" s="2"/>
      <x:c r="G40" s="2"/>
    </x:row>
    <x:row r="41" ht="23" customHeight="1">
      <x:c r="A41" s="4" t="n">
        <x:v>39295</x:v>
      </x:c>
      <x:c r="B41" s="30" t="n">
        <x:v>9106.5</x:v>
      </x:c>
      <x:c r="C41" s="30" t="n">
        <x:v>3726.224</x:v>
      </x:c>
      <x:c r="D41" s="30" t="n">
        <x:v>3589.396</x:v>
      </x:c>
      <x:c r="E41" s="30" t="n">
        <x:v>1790.88</x:v>
      </x:c>
      <x:c r="F41" s="2"/>
      <x:c r="G41" s="2"/>
    </x:row>
    <x:row r="42" ht="23" customHeight="1">
      <x:c r="A42" s="4" t="n">
        <x:v>39326</x:v>
      </x:c>
      <x:c r="B42" s="30" t="n">
        <x:v>8082.6</x:v>
      </x:c>
      <x:c r="C42" s="30" t="n">
        <x:v>2838.982</x:v>
      </x:c>
      <x:c r="D42" s="30" t="n">
        <x:v>3370.048</x:v>
      </x:c>
      <x:c r="E42" s="30" t="n">
        <x:v>1873.57</x:v>
      </x:c>
      <x:c r="F42" s="2"/>
      <x:c r="G42" s="2"/>
    </x:row>
    <x:row r="43" ht="23" customHeight="1">
      <x:c r="A43" s="4" t="n">
        <x:v>39356</x:v>
      </x:c>
      <x:c r="B43" s="30" t="n">
        <x:v>8370.4</x:v>
      </x:c>
      <x:c r="C43" s="30" t="n">
        <x:v>2810.846</x:v>
      </x:c>
      <x:c r="D43" s="30" t="n">
        <x:v>3654.304</x:v>
      </x:c>
      <x:c r="E43" s="30" t="n">
        <x:v>1905.25</x:v>
      </x:c>
      <x:c r="F43" s="2"/>
      <x:c r="G43" s="2"/>
    </x:row>
    <x:row r="44" ht="23" customHeight="1">
      <x:c r="A44" s="4" t="n">
        <x:v>39387</x:v>
      </x:c>
      <x:c r="B44" s="30" t="n">
        <x:v>8254.4</x:v>
      </x:c>
      <x:c r="C44" s="30" t="n">
        <x:v>2717.576</x:v>
      </x:c>
      <x:c r="D44" s="30" t="n">
        <x:v>3591.714</x:v>
      </x:c>
      <x:c r="E44" s="30" t="n">
        <x:v>1945.11</x:v>
      </x:c>
      <x:c r="F44" s="2"/>
      <x:c r="G44" s="2"/>
    </x:row>
    <x:row r="45" ht="23" customHeight="1">
      <x:c r="A45" s="4" t="n">
        <x:v>39417</x:v>
      </x:c>
      <x:c r="B45" s="30" t="n">
        <x:v>8921.4</x:v>
      </x:c>
      <x:c r="C45" s="30" t="n">
        <x:v>3138.571</x:v>
      </x:c>
      <x:c r="D45" s="30" t="n">
        <x:v>3815.519</x:v>
      </x:c>
      <x:c r="E45" s="30" t="n">
        <x:v>1967.31</x:v>
      </x:c>
      <x:c r="F45" s="2"/>
      <x:c r="G45" s="2"/>
    </x:row>
    <x:row r="46" ht="23" customHeight="1">
      <x:c r="A46" s="4" t="n">
        <x:v>39448</x:v>
      </x:c>
      <x:c r="B46" s="30" t="n">
        <x:v>9175.1</x:v>
      </x:c>
      <x:c r="C46" s="30" t="n">
        <x:v>3420.283</x:v>
      </x:c>
      <x:c r="D46" s="30" t="n">
        <x:v>3811.277</x:v>
      </x:c>
      <x:c r="E46" s="30" t="n">
        <x:v>1943.54</x:v>
      </x:c>
      <x:c r="F46" s="2"/>
      <x:c r="G46" s="2"/>
    </x:row>
    <x:row r="47" ht="23" customHeight="1">
      <x:c r="A47" s="4" t="n">
        <x:v>39479</x:v>
      </x:c>
      <x:c r="B47" s="30" t="n">
        <x:v>8728.8</x:v>
      </x:c>
      <x:c r="C47" s="30" t="n">
        <x:v>3073.664</x:v>
      </x:c>
      <x:c r="D47" s="30" t="n">
        <x:v>3705.406</x:v>
      </x:c>
      <x:c r="E47" s="30" t="n">
        <x:v>1949.73</x:v>
      </x:c>
      <x:c r="F47" s="2"/>
      <x:c r="G47" s="2"/>
    </x:row>
    <x:row r="48" ht="23" customHeight="1">
      <x:c r="A48" s="4" t="n">
        <x:v>39508</x:v>
      </x:c>
      <x:c r="B48" s="30" t="n">
        <x:v>8594.5</x:v>
      </x:c>
      <x:c r="C48" s="30" t="n">
        <x:v>2894.605</x:v>
      </x:c>
      <x:c r="D48" s="30" t="n">
        <x:v>3678.195</x:v>
      </x:c>
      <x:c r="E48" s="30" t="n">
        <x:v>2021.7</x:v>
      </x:c>
      <x:c r="F48" s="2"/>
      <x:c r="G48" s="2"/>
    </x:row>
    <x:row r="49" ht="23" customHeight="1">
      <x:c r="A49" s="4" t="n">
        <x:v>39539</x:v>
      </x:c>
      <x:c r="B49" s="30" t="n">
        <x:v>8286.6</x:v>
      </x:c>
      <x:c r="C49" s="30" t="n">
        <x:v>2764.962</x:v>
      </x:c>
      <x:c r="D49" s="30" t="n">
        <x:v>3526.868</x:v>
      </x:c>
      <x:c r="E49" s="30" t="n">
        <x:v>1994.77</x:v>
      </x:c>
      <x:c r="F49" s="2"/>
      <x:c r="G49" s="2"/>
    </x:row>
    <x:row r="50" ht="23" customHeight="1">
      <x:c r="A50" s="4" t="n">
        <x:v>39569</x:v>
      </x:c>
      <x:c r="B50" s="30" t="n">
        <x:v>8777.8</x:v>
      </x:c>
      <x:c r="C50" s="30" t="n">
        <x:v>3102.396</x:v>
      </x:c>
      <x:c r="D50" s="30" t="n">
        <x:v>3625.434</x:v>
      </x:c>
      <x:c r="E50" s="30" t="n">
        <x:v>2049.97</x:v>
      </x:c>
      <x:c r="F50" s="2"/>
      <x:c r="G50" s="2"/>
    </x:row>
    <x:row r="51" ht="23" customHeight="1">
      <x:c r="A51" s="4" t="n">
        <x:v>39600</x:v>
      </x:c>
      <x:c r="B51" s="30" t="n">
        <x:v>9209.8</x:v>
      </x:c>
      <x:c r="C51" s="30" t="n">
        <x:v>3699.403</x:v>
      </x:c>
      <x:c r="D51" s="30" t="n">
        <x:v>3582.687</x:v>
      </x:c>
      <x:c r="E51" s="30" t="n">
        <x:v>1927.71</x:v>
      </x:c>
      <x:c r="F51" s="2"/>
      <x:c r="G51" s="2"/>
    </x:row>
    <x:row r="52" ht="23" customHeight="1">
      <x:c r="A52" s="4" t="n">
        <x:v>39630</x:v>
      </x:c>
      <x:c r="B52" s="30" t="n">
        <x:v>9127.1</x:v>
      </x:c>
      <x:c r="C52" s="30" t="n">
        <x:v>3626.348</x:v>
      </x:c>
      <x:c r="D52" s="30" t="n">
        <x:v>3476.582</x:v>
      </x:c>
      <x:c r="E52" s="30" t="n">
        <x:v>2024.17</x:v>
      </x:c>
      <x:c r="F52" s="2"/>
      <x:c r="G52" s="2"/>
    </x:row>
    <x:row r="53" ht="23" customHeight="1">
      <x:c r="A53" s="4" t="n">
        <x:v>39661</x:v>
      </x:c>
      <x:c r="B53" s="30" t="n">
        <x:v>9025.3</x:v>
      </x:c>
      <x:c r="C53" s="30" t="n">
        <x:v>3438.115</x:v>
      </x:c>
      <x:c r="D53" s="30" t="n">
        <x:v>3488.405</x:v>
      </x:c>
      <x:c r="E53" s="30" t="n">
        <x:v>2098.78</x:v>
      </x:c>
      <x:c r="F53" s="2"/>
      <x:c r="G53" s="2"/>
    </x:row>
    <x:row r="54" ht="23" customHeight="1">
      <x:c r="A54" s="4" t="n">
        <x:v>39692</x:v>
      </x:c>
      <x:c r="B54" s="30" t="n">
        <x:v>8587.6</x:v>
      </x:c>
      <x:c r="C54" s="30" t="n">
        <x:v>3061.343</x:v>
      </x:c>
      <x:c r="D54" s="30" t="n">
        <x:v>3375.917</x:v>
      </x:c>
      <x:c r="E54" s="30" t="n">
        <x:v>2150.34</x:v>
      </x:c>
      <x:c r="F54" s="2"/>
      <x:c r="G54" s="2"/>
    </x:row>
    <x:row r="55" ht="23" customHeight="1">
      <x:c r="A55" s="4" t="n">
        <x:v>39722</x:v>
      </x:c>
      <x:c r="B55" s="30" t="n">
        <x:v>8477.2</x:v>
      </x:c>
      <x:c r="C55" s="30" t="n">
        <x:v>2898.784</x:v>
      </x:c>
      <x:c r="D55" s="30" t="n">
        <x:v>3417.156</x:v>
      </x:c>
      <x:c r="E55" s="30" t="n">
        <x:v>2161.26</x:v>
      </x:c>
      <x:c r="F55" s="2"/>
      <x:c r="G55" s="2"/>
    </x:row>
    <x:row r="56" ht="23" customHeight="1">
      <x:c r="A56" s="4" t="n">
        <x:v>39753</x:v>
      </x:c>
      <x:c r="B56" s="30" t="n">
        <x:v>8914.9</x:v>
      </x:c>
      <x:c r="C56" s="30" t="n">
        <x:v>3159.108</x:v>
      </x:c>
      <x:c r="D56" s="30" t="n">
        <x:v>3681.432</x:v>
      </x:c>
      <x:c r="E56" s="30" t="n">
        <x:v>2074.36</x:v>
      </x:c>
      <x:c r="F56" s="2"/>
      <x:c r="G56" s="2"/>
    </x:row>
    <x:row r="57" ht="23" customHeight="1">
      <x:c r="A57" s="4" t="n">
        <x:v>39783</x:v>
      </x:c>
      <x:c r="B57" s="30" t="n">
        <x:v>9053.4</x:v>
      </x:c>
      <x:c r="C57" s="30" t="n">
        <x:v>3471.033</x:v>
      </x:c>
      <x:c r="D57" s="30" t="n">
        <x:v>3691.127</x:v>
      </x:c>
      <x:c r="E57" s="30" t="n">
        <x:v>1891.24</x:v>
      </x:c>
      <x:c r="F57" s="2"/>
      <x:c r="G57" s="2"/>
    </x:row>
    <x:row r="58" ht="23" customHeight="1">
      <x:c r="A58" s="4" t="n">
        <x:v>39814</x:v>
      </x:c>
      <x:c r="B58" s="30" t="n">
        <x:v>9086.1</x:v>
      </x:c>
      <x:c r="C58" s="30" t="n">
        <x:v>3533.299</x:v>
      </x:c>
      <x:c r="D58" s="30" t="n">
        <x:v>3658.961</x:v>
      </x:c>
      <x:c r="E58" s="30" t="n">
        <x:v>1893.84</x:v>
      </x:c>
      <x:c r="F58" s="2"/>
      <x:c r="G58" s="2"/>
    </x:row>
    <x:row r="59" ht="23" customHeight="1">
      <x:c r="A59" s="4" t="n">
        <x:v>39845</x:v>
      </x:c>
      <x:c r="B59" s="30" t="n">
        <x:v>8241.6</x:v>
      </x:c>
      <x:c r="C59" s="30" t="n">
        <x:v>3105.44</x:v>
      </x:c>
      <x:c r="D59" s="30" t="n">
        <x:v>3404.18</x:v>
      </x:c>
      <x:c r="E59" s="30" t="n">
        <x:v>1731.98</x:v>
      </x:c>
      <x:c r="F59" s="2"/>
      <x:c r="G59" s="2"/>
    </x:row>
    <x:row r="60" ht="23" customHeight="1">
      <x:c r="A60" s="4" t="n">
        <x:v>39873</x:v>
      </x:c>
      <x:c r="B60" s="30" t="n">
        <x:v>8955.6</x:v>
      </x:c>
      <x:c r="C60" s="30" t="n">
        <x:v>3336.438</x:v>
      </x:c>
      <x:c r="D60" s="30" t="n">
        <x:v>3769.532</x:v>
      </x:c>
      <x:c r="E60" s="30" t="n">
        <x:v>1849.63</x:v>
      </x:c>
      <x:c r="F60" s="2"/>
      <x:c r="G60" s="2"/>
    </x:row>
    <x:row r="61" ht="23" customHeight="1">
      <x:c r="A61" s="4" t="n">
        <x:v>39904</x:v>
      </x:c>
      <x:c r="B61" s="30" t="n">
        <x:v>8104.7</x:v>
      </x:c>
      <x:c r="C61" s="30" t="n">
        <x:v>2813.071</x:v>
      </x:c>
      <x:c r="D61" s="30" t="n">
        <x:v>3391.869</x:v>
      </x:c>
      <x:c r="E61" s="30" t="n">
        <x:v>1899.76</x:v>
      </x:c>
      <x:c r="F61" s="2"/>
      <x:c r="G61" s="2"/>
    </x:row>
    <x:row r="62" ht="23" customHeight="1">
      <x:c r="A62" s="4" t="n">
        <x:v>39934</x:v>
      </x:c>
      <x:c r="B62" s="30" t="n">
        <x:v>8435.3</x:v>
      </x:c>
      <x:c r="C62" s="30" t="n">
        <x:v>3047.803</x:v>
      </x:c>
      <x:c r="D62" s="30" t="n">
        <x:v>3510.857</x:v>
      </x:c>
      <x:c r="E62" s="30" t="n">
        <x:v>1876.64</x:v>
      </x:c>
      <x:c r="F62" s="2"/>
      <x:c r="G62" s="2"/>
    </x:row>
    <x:row r="63" ht="23" customHeight="1">
      <x:c r="A63" s="4" t="n">
        <x:v>39965</x:v>
      </x:c>
      <x:c r="B63" s="30" t="n">
        <x:v>9114.2</x:v>
      </x:c>
      <x:c r="C63" s="30" t="n">
        <x:v>3721.346</x:v>
      </x:c>
      <x:c r="D63" s="30" t="n">
        <x:v>3529.784</x:v>
      </x:c>
      <x:c r="E63" s="30" t="n">
        <x:v>1863.07</x:v>
      </x:c>
      <x:c r="F63" s="2"/>
      <x:c r="G63" s="2"/>
    </x:row>
    <x:row r="64" ht="23" customHeight="1">
      <x:c r="A64" s="4" t="n">
        <x:v>39995</x:v>
      </x:c>
      <x:c r="B64" s="30" t="n">
        <x:v>9508</x:v>
      </x:c>
      <x:c r="C64" s="30" t="n">
        <x:v>4052.004</x:v>
      </x:c>
      <x:c r="D64" s="30" t="n">
        <x:v>3612.156</x:v>
      </x:c>
      <x:c r="E64" s="30" t="n">
        <x:v>1843.84</x:v>
      </x:c>
      <x:c r="F64" s="2"/>
      <x:c r="G64" s="2"/>
    </x:row>
    <x:row r="65" ht="23" customHeight="1">
      <x:c r="A65" s="4" t="n">
        <x:v>40026</x:v>
      </x:c>
      <x:c r="B65" s="30" t="n">
        <x:v>8738.4</x:v>
      </x:c>
      <x:c r="C65" s="30" t="n">
        <x:v>3502.447</x:v>
      </x:c>
      <x:c r="D65" s="30" t="n">
        <x:v>3400.943</x:v>
      </x:c>
      <x:c r="E65" s="30" t="n">
        <x:v>1835.01</x:v>
      </x:c>
      <x:c r="F65" s="2"/>
      <x:c r="G65" s="2"/>
    </x:row>
    <x:row r="66" ht="23" customHeight="1">
      <x:c r="A66" s="4" t="n">
        <x:v>40057</x:v>
      </x:c>
      <x:c r="B66" s="30" t="n">
        <x:v>8350.2</x:v>
      </x:c>
      <x:c r="C66" s="30" t="n">
        <x:v>3023.058</x:v>
      </x:c>
      <x:c r="D66" s="30" t="n">
        <x:v>3474.772</x:v>
      </x:c>
      <x:c r="E66" s="30" t="n">
        <x:v>1852.37</x:v>
      </x:c>
      <x:c r="F66" s="2"/>
      <x:c r="G66" s="2"/>
    </x:row>
    <x:row r="67" ht="23" customHeight="1">
      <x:c r="A67" s="4" t="n">
        <x:v>40087</x:v>
      </x:c>
      <x:c r="B67" s="30" t="n">
        <x:v>8420.7</x:v>
      </x:c>
      <x:c r="C67" s="30" t="n">
        <x:v>3027.54</x:v>
      </x:c>
      <x:c r="D67" s="30" t="n">
        <x:v>3471.55</x:v>
      </x:c>
      <x:c r="E67" s="30" t="n">
        <x:v>1921.61</x:v>
      </x:c>
      <x:c r="F67" s="2"/>
      <x:c r="G67" s="2"/>
    </x:row>
    <x:row r="68" ht="23" customHeight="1">
      <x:c r="A68" s="4" t="n">
        <x:v>40118</x:v>
      </x:c>
      <x:c r="B68" s="30" t="n">
        <x:v>8644</x:v>
      </x:c>
      <x:c r="C68" s="30" t="n">
        <x:v>3065.794</x:v>
      </x:c>
      <x:c r="D68" s="30" t="n">
        <x:v>3643.166</x:v>
      </x:c>
      <x:c r="E68" s="30" t="n">
        <x:v>1935.04</x:v>
      </x:c>
      <x:c r="F68" s="2"/>
      <x:c r="G68" s="2"/>
    </x:row>
    <x:row r="69" ht="23" customHeight="1">
      <x:c r="A69" s="4" t="n">
        <x:v>40148</x:v>
      </x:c>
      <x:c r="B69" s="30" t="n">
        <x:v>9023.6</x:v>
      </x:c>
      <x:c r="C69" s="30" t="n">
        <x:v>3336.758</x:v>
      </x:c>
      <x:c r="D69" s="30" t="n">
        <x:v>3780.482</x:v>
      </x:c>
      <x:c r="E69" s="30" t="n">
        <x:v>1906.36</x:v>
      </x:c>
      <x:c r="F69" s="2"/>
      <x:c r="G69" s="2"/>
    </x:row>
    <x:row r="70" ht="23" customHeight="1">
      <x:c r="A70" s="4" t="n">
        <x:v>40179</x:v>
      </x:c>
      <x:c r="B70" s="30" t="n">
        <x:v>9740</x:v>
      </x:c>
      <x:c r="C70" s="30" t="n">
        <x:v>3931.898</x:v>
      </x:c>
      <x:c r="D70" s="30" t="n">
        <x:v>3934.752</x:v>
      </x:c>
      <x:c r="E70" s="30" t="n">
        <x:v>1873.35</x:v>
      </x:c>
      <x:c r="F70" s="2"/>
      <x:c r="G70" s="2"/>
    </x:row>
    <x:row r="71" ht="23" customHeight="1">
      <x:c r="A71" s="4" t="n">
        <x:v>40210</x:v>
      </x:c>
      <x:c r="B71" s="30" t="n">
        <x:v>8773.9</x:v>
      </x:c>
      <x:c r="C71" s="30" t="n">
        <x:v>3361.184</x:v>
      </x:c>
      <x:c r="D71" s="30" t="n">
        <x:v>3579.086</x:v>
      </x:c>
      <x:c r="E71" s="30" t="n">
        <x:v>1833.63</x:v>
      </x:c>
      <x:c r="F71" s="2"/>
      <x:c r="G71" s="2"/>
    </x:row>
    <x:row r="72" ht="23" customHeight="1">
      <x:c r="A72" s="4" t="n">
        <x:v>40238</x:v>
      </x:c>
      <x:c r="B72" s="30" t="n">
        <x:v>9518.9</x:v>
      </x:c>
      <x:c r="C72" s="30" t="n">
        <x:v>3540.492</x:v>
      </x:c>
      <x:c r="D72" s="30" t="n">
        <x:v>3911.778</x:v>
      </x:c>
      <x:c r="E72" s="30" t="n">
        <x:v>2066.63</x:v>
      </x:c>
      <x:c r="F72" s="2"/>
      <x:c r="G72" s="2"/>
    </x:row>
    <x:row r="73" ht="23" customHeight="1">
      <x:c r="A73" s="4" t="n">
        <x:v>40269</x:v>
      </x:c>
      <x:c r="B73" s="30" t="n">
        <x:v>8434.1</x:v>
      </x:c>
      <x:c r="C73" s="30" t="n">
        <x:v>2875.625</x:v>
      </x:c>
      <x:c r="D73" s="30" t="n">
        <x:v>3598.085</x:v>
      </x:c>
      <x:c r="E73" s="30" t="n">
        <x:v>1960.39</x:v>
      </x:c>
      <x:c r="F73" s="2"/>
      <x:c r="G73" s="2"/>
    </x:row>
    <x:row r="74" ht="23" customHeight="1">
      <x:c r="A74" s="4" t="n">
        <x:v>40299</x:v>
      </x:c>
      <x:c r="B74" s="30" t="n">
        <x:v>8866.4</x:v>
      </x:c>
      <x:c r="C74" s="30" t="n">
        <x:v>3296.137</x:v>
      </x:c>
      <x:c r="D74" s="30" t="n">
        <x:v>3631.273</x:v>
      </x:c>
      <x:c r="E74" s="30" t="n">
        <x:v>1938.99</x:v>
      </x:c>
      <x:c r="F74" s="2"/>
      <x:c r="G74" s="2"/>
    </x:row>
    <x:row r="75" ht="23" customHeight="1">
      <x:c r="A75" s="4" t="n">
        <x:v>40330</x:v>
      </x:c>
      <x:c r="B75" s="30" t="n">
        <x:v>9367</x:v>
      </x:c>
      <x:c r="C75" s="30" t="n">
        <x:v>3825.755</x:v>
      </x:c>
      <x:c r="D75" s="30" t="n">
        <x:v>3646.075</x:v>
      </x:c>
      <x:c r="E75" s="30" t="n">
        <x:v>1895.17</x:v>
      </x:c>
      <x:c r="F75" s="2"/>
      <x:c r="G75" s="2"/>
    </x:row>
    <x:row r="76" ht="23" customHeight="1">
      <x:c r="A76" s="4" t="n">
        <x:v>40360</x:v>
      </x:c>
      <x:c r="B76" s="30" t="n">
        <x:v>10081.1</x:v>
      </x:c>
      <x:c r="C76" s="30" t="n">
        <x:v>4346.177</x:v>
      </x:c>
      <x:c r="D76" s="30" t="n">
        <x:v>3794.323</x:v>
      </x:c>
      <x:c r="E76" s="30" t="n">
        <x:v>1940.6</x:v>
      </x:c>
      <x:c r="F76" s="2"/>
      <x:c r="G76" s="2"/>
    </x:row>
    <x:row r="77" ht="23" customHeight="1">
      <x:c r="A77" s="4" t="n">
        <x:v>40391</x:v>
      </x:c>
      <x:c r="B77" s="30" t="n">
        <x:v>9733.1</x:v>
      </x:c>
      <x:c r="C77" s="30" t="n">
        <x:v>4043.618</x:v>
      </x:c>
      <x:c r="D77" s="30" t="n">
        <x:v>3702.052</x:v>
      </x:c>
      <x:c r="E77" s="30" t="n">
        <x:v>1987.43</x:v>
      </x:c>
      <x:c r="F77" s="2"/>
      <x:c r="G77" s="2"/>
    </x:row>
    <x:row r="78" ht="23" customHeight="1">
      <x:c r="A78" s="4" t="n">
        <x:v>40422</x:v>
      </x:c>
      <x:c r="B78" s="30" t="n">
        <x:v>8755.9</x:v>
      </x:c>
      <x:c r="C78" s="30" t="n">
        <x:v>3237.488</x:v>
      </x:c>
      <x:c r="D78" s="30" t="n">
        <x:v>3594.482</x:v>
      </x:c>
      <x:c r="E78" s="30" t="n">
        <x:v>1923.93</x:v>
      </x:c>
      <x:c r="F78" s="2"/>
      <x:c r="G78" s="2"/>
    </x:row>
    <x:row r="79" ht="23" customHeight="1">
      <x:c r="A79" s="4" t="n">
        <x:v>40452</x:v>
      </x:c>
      <x:c r="B79" s="30" t="n">
        <x:v>8567.7</x:v>
      </x:c>
      <x:c r="C79" s="30" t="n">
        <x:v>3018.133</x:v>
      </x:c>
      <x:c r="D79" s="30" t="n">
        <x:v>3608.487</x:v>
      </x:c>
      <x:c r="E79" s="30" t="n">
        <x:v>1941.08</x:v>
      </x:c>
      <x:c r="F79" s="2"/>
      <x:c r="G79" s="2"/>
    </x:row>
    <x:row r="80" ht="23" customHeight="1">
      <x:c r="A80" s="4" t="n">
        <x:v>40483</x:v>
      </x:c>
      <x:c r="B80" s="30" t="n">
        <x:v>8834.6</x:v>
      </x:c>
      <x:c r="C80" s="30" t="n">
        <x:v>3155.481</x:v>
      </x:c>
      <x:c r="D80" s="30" t="n">
        <x:v>3715.389</x:v>
      </x:c>
      <x:c r="E80" s="30" t="n">
        <x:v>1963.73</x:v>
      </x:c>
      <x:c r="F80" s="2"/>
      <x:c r="G80" s="2"/>
    </x:row>
    <x:row r="81" ht="23" customHeight="1">
      <x:c r="A81" s="4" t="n">
        <x:v>40513</x:v>
      </x:c>
      <x:c r="B81" s="30" t="n">
        <x:v>10125.7</x:v>
      </x:c>
      <x:c r="C81" s="30" t="n">
        <x:v>4020.361</x:v>
      </x:c>
      <x:c r="D81" s="30" t="n">
        <x:v>4161.809</x:v>
      </x:c>
      <x:c r="E81" s="30" t="n">
        <x:v>1943.53</x:v>
      </x:c>
      <x:c r="F81" s="2"/>
      <x:c r="G81" s="2"/>
    </x:row>
    <x:row r="82" ht="23" customHeight="1">
      <x:c r="A82" s="4" t="n">
        <x:v>40544</x:v>
      </x:c>
      <x:c r="B82" s="30" t="n">
        <x:v>10231</x:v>
      </x:c>
      <x:c r="C82" s="30" t="n">
        <x:v>4215.174</x:v>
      </x:c>
      <x:c r="D82" s="30" t="n">
        <x:v>4056.286</x:v>
      </x:c>
      <x:c r="E82" s="30" t="n">
        <x:v>1959.54</x:v>
      </x:c>
      <x:c r="F82" s="2"/>
      <x:c r="G82" s="2"/>
    </x:row>
    <x:row r="83" ht="23" customHeight="1">
      <x:c r="A83" s="4" t="n">
        <x:v>40575</x:v>
      </x:c>
      <x:c r="B83" s="30" t="n">
        <x:v>9129</x:v>
      </x:c>
      <x:c r="C83" s="30" t="n">
        <x:v>3363.751</x:v>
      </x:c>
      <x:c r="D83" s="30" t="n">
        <x:v>3678.869</x:v>
      </x:c>
      <x:c r="E83" s="30" t="n">
        <x:v>2086.38</x:v>
      </x:c>
      <x:c r="F83" s="2"/>
      <x:c r="G83" s="2"/>
    </x:row>
    <x:row r="84" ht="23" customHeight="1">
      <x:c r="A84" s="4" t="n">
        <x:v>40603</x:v>
      </x:c>
      <x:c r="B84" s="30" t="n">
        <x:v>9863</x:v>
      </x:c>
      <x:c r="C84" s="30" t="n">
        <x:v>3622.66</x:v>
      </x:c>
      <x:c r="D84" s="30" t="n">
        <x:v>3960.43</x:v>
      </x:c>
      <x:c r="E84" s="30" t="n">
        <x:v>2279.91</x:v>
      </x:c>
      <x:c r="F84" s="2"/>
      <x:c r="G84" s="2"/>
    </x:row>
    <x:row r="85" ht="23" customHeight="1">
      <x:c r="A85" s="4" t="n">
        <x:v>40634</x:v>
      </x:c>
      <x:c r="B85" s="30" t="n">
        <x:v>8917.8</x:v>
      </x:c>
      <x:c r="C85" s="30" t="n">
        <x:v>3051.537</x:v>
      </x:c>
      <x:c r="D85" s="30" t="n">
        <x:v>3751.863</x:v>
      </x:c>
      <x:c r="E85" s="30" t="n">
        <x:v>2114.4</x:v>
      </x:c>
      <x:c r="F85" s="2"/>
      <x:c r="G85" s="2"/>
    </x:row>
    <x:row r="86" ht="23" customHeight="1">
      <x:c r="A86" s="4" t="n">
        <x:v>40664</x:v>
      </x:c>
      <x:c r="B86" s="30" t="n">
        <x:v>9560.4</x:v>
      </x:c>
      <x:c r="C86" s="30" t="n">
        <x:v>3561.464</x:v>
      </x:c>
      <x:c r="D86" s="30" t="n">
        <x:v>3833.536</x:v>
      </x:c>
      <x:c r="E86" s="30" t="n">
        <x:v>2165.4</x:v>
      </x:c>
      <x:c r="F86" s="2"/>
      <x:c r="G86" s="2"/>
    </x:row>
    <x:row r="87" ht="23" customHeight="1">
      <x:c r="A87" s="4" t="n">
        <x:v>40695</x:v>
      </x:c>
      <x:c r="B87" s="30" t="n">
        <x:v>10135.8</x:v>
      </x:c>
      <x:c r="C87" s="30" t="n">
        <x:v>4211.284</x:v>
      </x:c>
      <x:c r="D87" s="30" t="n">
        <x:v>3837.306</x:v>
      </x:c>
      <x:c r="E87" s="30" t="n">
        <x:v>2087.21</x:v>
      </x:c>
      <x:c r="F87" s="2"/>
      <x:c r="G87" s="2"/>
    </x:row>
    <x:row r="88" ht="23" customHeight="1">
      <x:c r="A88" s="4" t="n">
        <x:v>40725</x:v>
      </x:c>
      <x:c r="B88" s="30" t="n">
        <x:v>10562.6</x:v>
      </x:c>
      <x:c r="C88" s="30" t="n">
        <x:v>4613.925</x:v>
      </x:c>
      <x:c r="D88" s="30" t="n">
        <x:v>3860.355</x:v>
      </x:c>
      <x:c r="E88" s="30" t="n">
        <x:v>2088.32</x:v>
      </x:c>
      <x:c r="F88" s="2"/>
      <x:c r="G88" s="2"/>
    </x:row>
    <x:row r="89" ht="23" customHeight="1">
      <x:c r="A89" s="4" t="n">
        <x:v>40756</x:v>
      </x:c>
      <x:c r="B89" s="30" t="n">
        <x:v>10311.9</x:v>
      </x:c>
      <x:c r="C89" s="30" t="n">
        <x:v>4289.444</x:v>
      </x:c>
      <x:c r="D89" s="30" t="n">
        <x:v>3880.286</x:v>
      </x:c>
      <x:c r="E89" s="30" t="n">
        <x:v>2142.17</x:v>
      </x:c>
      <x:c r="F89" s="2"/>
      <x:c r="G89" s="2"/>
    </x:row>
    <x:row r="90" ht="23" customHeight="1">
      <x:c r="A90" s="4" t="n">
        <x:v>40787</x:v>
      </x:c>
      <x:c r="B90" s="30" t="n">
        <x:v>9089.5</x:v>
      </x:c>
      <x:c r="C90" s="30" t="n">
        <x:v>3342.414</x:v>
      </x:c>
      <x:c r="D90" s="30" t="n">
        <x:v>3644.416</x:v>
      </x:c>
      <x:c r="E90" s="30" t="n">
        <x:v>2102.67</x:v>
      </x:c>
      <x:c r="F90" s="2"/>
      <x:c r="G90" s="2"/>
    </x:row>
    <x:row r="91" ht="23" customHeight="1">
      <x:c r="A91" s="4" t="n">
        <x:v>40817</x:v>
      </x:c>
      <x:c r="B91" s="30" t="n">
        <x:v>9062.4</x:v>
      </x:c>
      <x:c r="C91" s="30" t="n">
        <x:v>3138.281</x:v>
      </x:c>
      <x:c r="D91" s="30" t="n">
        <x:v>3781.749</x:v>
      </x:c>
      <x:c r="E91" s="30" t="n">
        <x:v>2142.37</x:v>
      </x:c>
      <x:c r="F91" s="2"/>
      <x:c r="G91" s="2"/>
    </x:row>
    <x:row r="92" ht="23" customHeight="1">
      <x:c r="A92" s="4" t="n">
        <x:v>40848</x:v>
      </x:c>
      <x:c r="B92" s="30" t="n">
        <x:v>9505.9</x:v>
      </x:c>
      <x:c r="C92" s="30" t="n">
        <x:v>3485.202</x:v>
      </x:c>
      <x:c r="D92" s="30" t="n">
        <x:v>3950.608</x:v>
      </x:c>
      <x:c r="E92" s="30" t="n">
        <x:v>2070.09</x:v>
      </x:c>
      <x:c r="F92" s="2"/>
      <x:c r="G92" s="2"/>
    </x:row>
    <x:row r="93" ht="23" customHeight="1">
      <x:c r="A93" s="4" t="n">
        <x:v>40878</x:v>
      </x:c>
      <x:c r="B93" s="30" t="n">
        <x:v>10118.6</x:v>
      </x:c>
      <x:c r="C93" s="30" t="n">
        <x:v>3969.237</x:v>
      </x:c>
      <x:c r="D93" s="30" t="n">
        <x:v>4178.333</x:v>
      </x:c>
      <x:c r="E93" s="30" t="n">
        <x:v>1971.03</x:v>
      </x:c>
      <x:c r="F93" s="2"/>
      <x:c r="G93" s="2"/>
    </x:row>
    <x:row r="94" ht="23" customHeight="1">
      <x:c r="A94" s="4" t="n">
        <x:v>40909</x:v>
      </x:c>
      <x:c r="B94" s="30" t="n">
        <x:v>10806.8</x:v>
      </x:c>
      <x:c r="C94" s="30" t="n">
        <x:v>4505.197835</x:v>
      </x:c>
      <x:c r="D94" s="30" t="n">
        <x:v>4381.242165</x:v>
      </x:c>
      <x:c r="E94" s="30" t="n">
        <x:v>1920.36</x:v>
      </x:c>
      <x:c r="F94" s="2"/>
      <x:c r="G94" s="2"/>
    </x:row>
    <x:row r="95" ht="23" customHeight="1">
      <x:c r="A95" s="4" t="n">
        <x:v>40940</x:v>
      </x:c>
      <x:c r="B95" s="30" t="n">
        <x:v>10089.2</x:v>
      </x:c>
      <x:c r="C95" s="30" t="n">
        <x:v>4043.826495</x:v>
      </x:c>
      <x:c r="D95" s="30" t="n">
        <x:v>4020.409505</x:v>
      </x:c>
      <x:c r="E95" s="30" t="n">
        <x:v>2024.964</x:v>
      </x:c>
      <x:c r="F95" s="2"/>
      <x:c r="G95" s="2"/>
    </x:row>
    <x:row r="96" ht="23" customHeight="1">
      <x:c r="A96" s="4" t="n">
        <x:v>40969</x:v>
      </x:c>
      <x:c r="B96" s="30" t="n">
        <x:v>10178</x:v>
      </x:c>
      <x:c r="C96" s="30" t="n">
        <x:v>3799.951418</x:v>
      </x:c>
      <x:c r="D96" s="30" t="n">
        <x:v>4161.500582</x:v>
      </x:c>
      <x:c r="E96" s="30" t="n">
        <x:v>2216.548</x:v>
      </x:c>
      <x:c r="F96" s="2"/>
      <x:c r="G96" s="2"/>
    </x:row>
    <x:row r="97" ht="23" customHeight="1">
      <x:c r="A97" s="4" t="n">
        <x:v>41000</x:v>
      </x:c>
      <x:c r="B97" s="30" t="n">
        <x:v>8970</x:v>
      </x:c>
      <x:c r="C97" s="30" t="n">
        <x:v>3123.399968</x:v>
      </x:c>
      <x:c r="D97" s="30" t="n">
        <x:v>3781.600032</x:v>
      </x:c>
      <x:c r="E97" s="30" t="n">
        <x:v>2065</x:v>
      </x:c>
      <x:c r="F97" s="2"/>
      <x:c r="G97" s="2"/>
    </x:row>
    <x:row r="98" ht="23" customHeight="1">
      <x:c r="A98" s="4" t="n">
        <x:v>41030</x:v>
      </x:c>
      <x:c r="B98" s="30" t="n">
        <x:v>9601.7</x:v>
      </x:c>
      <x:c r="C98" s="30" t="n">
        <x:v>3606.52943</x:v>
      </x:c>
      <x:c r="D98" s="30" t="n">
        <x:v>3804.17057</x:v>
      </x:c>
      <x:c r="E98" s="30" t="n">
        <x:v>2191</x:v>
      </x:c>
      <x:c r="F98" s="2"/>
      <x:c r="G98" s="2"/>
    </x:row>
    <x:row r="99" ht="23" customHeight="1">
      <x:c r="A99" s="4" t="n">
        <x:v>41061</x:v>
      </x:c>
      <x:c r="B99" s="30" t="n">
        <x:v>10297</x:v>
      </x:c>
      <x:c r="C99" s="30" t="n">
        <x:v>4287.290236</x:v>
      </x:c>
      <x:c r="D99" s="30" t="n">
        <x:v>3856.709764</x:v>
      </x:c>
      <x:c r="E99" s="30" t="n">
        <x:v>2153</x:v>
      </x:c>
      <x:c r="F99" s="2"/>
      <x:c r="G99" s="2"/>
    </x:row>
    <x:row r="100" ht="23" customHeight="1">
      <x:c r="A100" s="4" t="n">
        <x:v>41091</x:v>
      </x:c>
      <x:c r="B100" s="30" t="n">
        <x:v>11071.7</x:v>
      </x:c>
      <x:c r="C100" s="30" t="n">
        <x:v>4950.420934</x:v>
      </x:c>
      <x:c r="D100" s="30" t="n">
        <x:v>3998.482066</x:v>
      </x:c>
      <x:c r="E100" s="30" t="n">
        <x:v>2122.797</x:v>
      </x:c>
      <x:c r="F100" s="2"/>
      <x:c r="G100" s="2"/>
    </x:row>
    <x:row r="101" ht="23" customHeight="1">
      <x:c r="A101" s="4" t="n">
        <x:v>41122</x:v>
      </x:c>
      <x:c r="B101" s="30" t="n">
        <x:v>10408.3</x:v>
      </x:c>
      <x:c r="C101" s="30" t="n">
        <x:v>4352.486086</x:v>
      </x:c>
      <x:c r="D101" s="30" t="n">
        <x:v>3859.701914</x:v>
      </x:c>
      <x:c r="E101" s="30" t="n">
        <x:v>2196.112</x:v>
      </x:c>
      <x:c r="F101" s="2"/>
      <x:c r="G101" s="2"/>
    </x:row>
    <x:row r="102" ht="23" customHeight="1">
      <x:c r="A102" s="4" t="n">
        <x:v>41153</x:v>
      </x:c>
      <x:c r="B102" s="30" t="n">
        <x:v>9338.6</x:v>
      </x:c>
      <x:c r="C102" s="30" t="n">
        <x:v>3512.34519</x:v>
      </x:c>
      <x:c r="D102" s="30" t="n">
        <x:v>3653.95481</x:v>
      </x:c>
      <x:c r="E102" s="30" t="n">
        <x:v>2172.3</x:v>
      </x:c>
      <x:c r="F102" s="2"/>
      <x:c r="G102" s="2"/>
    </x:row>
    <x:row r="103" ht="23" customHeight="1">
      <x:c r="A103" s="4" t="n">
        <x:v>41183</x:v>
      </x:c>
      <x:c r="B103" s="30" t="n">
        <x:v>9608</x:v>
      </x:c>
      <x:c r="C103" s="30" t="n">
        <x:v>3532.067419</x:v>
      </x:c>
      <x:c r="D103" s="30" t="n">
        <x:v>3792.432581</x:v>
      </x:c>
      <x:c r="E103" s="30" t="n">
        <x:v>2283.5</x:v>
      </x:c>
      <x:c r="F103" s="2"/>
      <x:c r="G103" s="2"/>
    </x:row>
    <x:row r="104" ht="23" customHeight="1">
      <x:c r="A104" s="4" t="n">
        <x:v>41214</x:v>
      </x:c>
      <x:c r="B104" s="30" t="n">
        <x:v>10031.4</x:v>
      </x:c>
      <x:c r="C104" s="30" t="n">
        <x:v>3759.790749</x:v>
      </x:c>
      <x:c r="D104" s="30" t="n">
        <x:v>3986.909251</x:v>
      </x:c>
      <x:c r="E104" s="30" t="n">
        <x:v>2284.7</x:v>
      </x:c>
      <x:c r="F104" s="2"/>
      <x:c r="G104" s="2"/>
    </x:row>
    <x:row r="105" ht="23" customHeight="1">
      <x:c r="A105" s="4" t="n">
        <x:v>41244</x:v>
      </x:c>
      <x:c r="B105" s="30" t="n">
        <x:v>10824.3</x:v>
      </x:c>
      <x:c r="C105" s="30" t="n">
        <x:v>4285.470382</x:v>
      </x:c>
      <x:c r="D105" s="30" t="n">
        <x:v>4311.929618</x:v>
      </x:c>
      <x:c r="E105" s="30" t="n">
        <x:v>2226.9</x:v>
      </x:c>
      <x:c r="F105" s="2"/>
      <x:c r="G105" s="2"/>
    </x:row>
    <x:row r="106" ht="23" customHeight="1">
      <x:c r="A106" s="4" t="n">
        <x:v>41275</x:v>
      </x:c>
      <x:c r="B106" s="30" t="n">
        <x:v>11134.119345</x:v>
      </x:c>
      <x:c r="C106" s="30" t="n">
        <x:v>4538.446146</x:v>
      </x:c>
      <x:c r="D106" s="30" t="n">
        <x:v>4403.673199</x:v>
      </x:c>
      <x:c r="E106" s="30" t="n">
        <x:v>2192</x:v>
      </x:c>
      <x:c r="F106" s="2"/>
      <x:c r="G106" s="2"/>
    </x:row>
    <x:row r="107" ht="23" customHeight="1">
      <x:c r="A107" s="4" t="n">
        <x:v>41306</x:v>
      </x:c>
      <x:c r="B107" s="30" t="n">
        <x:v>9834.160007</x:v>
      </x:c>
      <x:c r="C107" s="30" t="n">
        <x:v>3961.686119</x:v>
      </x:c>
      <x:c r="D107" s="30" t="n">
        <x:v>3923.973888</x:v>
      </x:c>
      <x:c r="E107" s="30" t="n">
        <x:v>1948.5</x:v>
      </x:c>
      <x:c r="F107" s="2"/>
      <x:c r="G107" s="2"/>
    </x:row>
    <x:row r="108" ht="23" customHeight="1">
      <x:c r="A108" s="4" t="n">
        <x:v>41334</x:v>
      </x:c>
      <x:c r="B108" s="30" t="n">
        <x:v>9756.129308</x:v>
      </x:c>
      <x:c r="C108" s="30" t="n">
        <x:v>3612.835111</x:v>
      </x:c>
      <x:c r="D108" s="30" t="n">
        <x:v>3899.194197</x:v>
      </x:c>
      <x:c r="E108" s="30" t="n">
        <x:v>2244.1</x:v>
      </x:c>
      <x:c r="F108" s="2"/>
      <x:c r="G108" s="2"/>
    </x:row>
    <x:row r="109" ht="23" customHeight="1">
      <x:c r="A109" s="4" t="n">
        <x:v>41365</x:v>
      </x:c>
      <x:c r="B109" s="30" t="n">
        <x:v>9307.334163</x:v>
      </x:c>
      <x:c r="C109" s="30" t="n">
        <x:v>3239.380702</x:v>
      </x:c>
      <x:c r="D109" s="30" t="n">
        <x:v>3852.153461</x:v>
      </x:c>
      <x:c r="E109" s="30" t="n">
        <x:v>2215.8</x:v>
      </x:c>
      <x:c r="F109" s="2"/>
      <x:c r="G109" s="2"/>
    </x:row>
    <x:row r="110" ht="23" customHeight="1">
      <x:c r="A110" s="4" t="n">
        <x:v>41395</x:v>
      </x:c>
      <x:c r="B110" s="30" t="n">
        <x:v>10232.825394</x:v>
      </x:c>
      <x:c r="C110" s="30" t="n">
        <x:v>3919.668996</x:v>
      </x:c>
      <x:c r="D110" s="30" t="n">
        <x:v>4015.256398</x:v>
      </x:c>
      <x:c r="E110" s="30" t="n">
        <x:v>2297.9</x:v>
      </x:c>
      <x:c r="F110" s="2"/>
      <x:c r="G110" s="2"/>
    </x:row>
    <x:row r="111" ht="23" customHeight="1">
      <x:c r="A111" s="4" t="n">
        <x:v>41426</x:v>
      </x:c>
      <x:c r="B111" s="30" t="n">
        <x:v>10360.537194</x:v>
      </x:c>
      <x:c r="C111" s="30" t="n">
        <x:v>4409.51394</x:v>
      </x:c>
      <x:c r="D111" s="30" t="n">
        <x:v>3836.723254</x:v>
      </x:c>
      <x:c r="E111" s="30" t="n">
        <x:v>2114.3</x:v>
      </x:c>
      <x:c r="F111" s="2"/>
      <x:c r="G111" s="2"/>
    </x:row>
    <x:row r="112" ht="23" customHeight="1">
      <x:c r="A112" s="4" t="n">
        <x:v>41456</x:v>
      </x:c>
      <x:c r="B112" s="30" t="n">
        <x:v>11156.173393</x:v>
      </x:c>
      <x:c r="C112" s="30" t="n">
        <x:v>5088.495112</x:v>
      </x:c>
      <x:c r="D112" s="30" t="n">
        <x:v>3929.678281</x:v>
      </x:c>
      <x:c r="E112" s="30" t="n">
        <x:v>2138</x:v>
      </x:c>
      <x:c r="F112" s="2"/>
      <x:c r="G112" s="2"/>
    </x:row>
    <x:row r="113" ht="23" customHeight="1">
      <x:c r="A113" s="4" t="n">
        <x:v>41487</x:v>
      </x:c>
      <x:c r="B113" s="30" t="n">
        <x:v>10904.479243</x:v>
      </x:c>
      <x:c r="C113" s="30" t="n">
        <x:v>4782.603023</x:v>
      </x:c>
      <x:c r="D113" s="30" t="n">
        <x:v>3915.17622</x:v>
      </x:c>
      <x:c r="E113" s="30" t="n">
        <x:v>2206.7</x:v>
      </x:c>
      <x:c r="F113" s="2"/>
      <x:c r="G113" s="2"/>
    </x:row>
    <x:row r="114" ht="23" customHeight="1">
      <x:c r="A114" s="4" t="n">
        <x:v>41518</x:v>
      </x:c>
      <x:c r="B114" s="30" t="n">
        <x:v>10195.872995</x:v>
      </x:c>
      <x:c r="C114" s="30" t="n">
        <x:v>4072.686172</x:v>
      </x:c>
      <x:c r="D114" s="30" t="n">
        <x:v>3909.286823</x:v>
      </x:c>
      <x:c r="E114" s="30" t="n">
        <x:v>2213.9</x:v>
      </x:c>
      <x:c r="F114" s="2"/>
      <x:c r="G114" s="2"/>
    </x:row>
    <x:row r="115" ht="23" customHeight="1">
      <x:c r="A115" s="4" t="n">
        <x:v>41548</x:v>
      </x:c>
      <x:c r="B115" s="30" t="n">
        <x:v>10045.715632</x:v>
      </x:c>
      <x:c r="C115" s="30" t="n">
        <x:v>3744.478197</x:v>
      </x:c>
      <x:c r="D115" s="30" t="n">
        <x:v>3967.437435</x:v>
      </x:c>
      <x:c r="E115" s="30" t="n">
        <x:v>2333.8</x:v>
      </x:c>
      <x:c r="F115" s="2"/>
      <x:c r="G115" s="2"/>
    </x:row>
    <x:row r="116" ht="23" customHeight="1">
      <x:c r="A116" s="4" t="n">
        <x:v>41579</x:v>
      </x:c>
      <x:c r="B116" s="30" t="n">
        <x:v>10015.701652</x:v>
      </x:c>
      <x:c r="C116" s="30" t="n">
        <x:v>3680.736448</x:v>
      </x:c>
      <x:c r="D116" s="30" t="n">
        <x:v>4096.265204</x:v>
      </x:c>
      <x:c r="E116" s="30" t="n">
        <x:v>2238.7</x:v>
      </x:c>
      <x:c r="F116" s="2"/>
      <x:c r="G116" s="2"/>
    </x:row>
    <x:row r="117" ht="23" customHeight="1">
      <x:c r="A117" s="4" t="n">
        <x:v>41609</x:v>
      </x:c>
      <x:c r="B117" s="30" t="n">
        <x:v>12291.286493</x:v>
      </x:c>
      <x:c r="C117" s="30" t="n">
        <x:v>5338.633582</x:v>
      </x:c>
      <x:c r="D117" s="30" t="n">
        <x:v>4775.052911</x:v>
      </x:c>
      <x:c r="E117" s="30" t="n">
        <x:v>2177.6</x:v>
      </x:c>
      <x:c r="F117" s="2"/>
      <x:c r="G117" s="2"/>
    </x:row>
    <x:row r="118" ht="23" customHeight="1">
      <x:c r="A118" s="4" t="n">
        <x:v>41640</x:v>
      </x:c>
      <x:c r="B118" s="30" t="n">
        <x:v>12004.342368</x:v>
      </x:c>
      <x:c r="C118" s="30" t="n">
        <x:v>5350.96724</x:v>
      </x:c>
      <x:c r="D118" s="30" t="n">
        <x:v>4501.975128</x:v>
      </x:c>
      <x:c r="E118" s="30" t="n">
        <x:v>2151.4</x:v>
      </x:c>
      <x:c r="F118" s="2"/>
      <x:c r="G118" s="2"/>
    </x:row>
    <x:row r="119" ht="23" customHeight="1">
      <x:c r="A119" s="4" t="n">
        <x:v>41671</x:v>
      </x:c>
      <x:c r="B119" s="30" t="n">
        <x:v>9823.968201</x:v>
      </x:c>
      <x:c r="C119" s="30" t="n">
        <x:v>3883.77533</x:v>
      </x:c>
      <x:c r="D119" s="30" t="n">
        <x:v>3875.392871</x:v>
      </x:c>
      <x:c r="E119" s="30" t="n">
        <x:v>2064.8</x:v>
      </x:c>
      <x:c r="F119" s="2"/>
      <x:c r="G119" s="2"/>
    </x:row>
    <x:row r="120" ht="23" customHeight="1">
      <x:c r="A120" s="4" t="n">
        <x:v>41699</x:v>
      </x:c>
      <x:c r="B120" s="30" t="n">
        <x:v>9789.798789</x:v>
      </x:c>
      <x:c r="C120" s="30" t="n">
        <x:v>3666.868681</x:v>
      </x:c>
      <x:c r="D120" s="30" t="n">
        <x:v>3944.030108</x:v>
      </x:c>
      <x:c r="E120" s="30" t="n">
        <x:v>2178.9</x:v>
      </x:c>
      <x:c r="F120" s="2"/>
      <x:c r="G120" s="2"/>
    </x:row>
    <x:row r="121" ht="23" customHeight="1">
      <x:c r="A121" s="4" t="n">
        <x:v>41730</x:v>
      </x:c>
      <x:c r="B121" s="30" t="n">
        <x:v>9595.37435</x:v>
      </x:c>
      <x:c r="C121" s="30" t="n">
        <x:v>3542.163135</x:v>
      </x:c>
      <x:c r="D121" s="30" t="n">
        <x:v>3869.911215</x:v>
      </x:c>
      <x:c r="E121" s="30" t="n">
        <x:v>2183.3</x:v>
      </x:c>
      <x:c r="F121" s="2"/>
      <x:c r="G121" s="2"/>
    </x:row>
    <x:row r="122" ht="23" customHeight="1">
      <x:c r="A122" s="4" t="n">
        <x:v>41760</x:v>
      </x:c>
      <x:c r="B122" s="30" t="n">
        <x:v>10409.105006</x:v>
      </x:c>
      <x:c r="C122" s="30" t="n">
        <x:v>4182.488527</x:v>
      </x:c>
      <x:c r="D122" s="30" t="n">
        <x:v>4007.216479</x:v>
      </x:c>
      <x:c r="E122" s="30" t="n">
        <x:v>2219.4</x:v>
      </x:c>
      <x:c r="F122" s="2"/>
      <x:c r="G122" s="2"/>
    </x:row>
    <x:row r="123" ht="23" customHeight="1">
      <x:c r="A123" s="4" t="n">
        <x:v>41791</x:v>
      </x:c>
      <x:c r="B123" s="30" t="n">
        <x:v>10901.714976</x:v>
      </x:c>
      <x:c r="C123" s="30" t="n">
        <x:v>4790.674034</x:v>
      </x:c>
      <x:c r="D123" s="30" t="n">
        <x:v>3995.140942</x:v>
      </x:c>
      <x:c r="E123" s="30" t="n">
        <x:v>2115.9</x:v>
      </x:c>
      <x:c r="F123" s="2"/>
      <x:c r="G123" s="2"/>
    </x:row>
    <x:row r="124" ht="23" customHeight="1">
      <x:c r="A124" s="4" t="n">
        <x:v>41821</x:v>
      </x:c>
      <x:c r="B124" s="30" t="n">
        <x:v>11363.942102</x:v>
      </x:c>
      <x:c r="C124" s="30" t="n">
        <x:v>5115.928828</x:v>
      </x:c>
      <x:c r="D124" s="30" t="n">
        <x:v>4121.013274</x:v>
      </x:c>
      <x:c r="E124" s="30" t="n">
        <x:v>2127</x:v>
      </x:c>
      <x:c r="F124" s="2"/>
      <x:c r="G124" s="2"/>
    </x:row>
    <x:row r="125" ht="23" customHeight="1">
      <x:c r="A125" s="4" t="n">
        <x:v>41852</x:v>
      </x:c>
      <x:c r="B125" s="30" t="n">
        <x:v>10490.682389</x:v>
      </x:c>
      <x:c r="C125" s="30" t="n">
        <x:v>4454.936701</x:v>
      </x:c>
      <x:c r="D125" s="30" t="n">
        <x:v>3946.345688</x:v>
      </x:c>
      <x:c r="E125" s="30" t="n">
        <x:v>2089.4</x:v>
      </x:c>
      <x:c r="F125" s="2"/>
      <x:c r="G125" s="2"/>
    </x:row>
    <x:row r="126" ht="23" customHeight="1">
      <x:c r="A126" s="4" t="n">
        <x:v>41883</x:v>
      </x:c>
      <x:c r="B126" s="30" t="n">
        <x:v>9807.544191</x:v>
      </x:c>
      <x:c r="C126" s="30" t="n">
        <x:v>3746.934696</x:v>
      </x:c>
      <x:c r="D126" s="30" t="n">
        <x:v>3942.809495</x:v>
      </x:c>
      <x:c r="E126" s="30" t="n">
        <x:v>2117.8</x:v>
      </x:c>
      <x:c r="F126" s="2"/>
      <x:c r="G126" s="2"/>
    </x:row>
    <x:row r="127" ht="23" customHeight="1">
      <x:c r="A127" s="4" t="n">
        <x:v>41913</x:v>
      </x:c>
      <x:c r="B127" s="30" t="n">
        <x:v>10706.493141</x:v>
      </x:c>
      <x:c r="C127" s="30" t="n">
        <x:v>4186.567587</x:v>
      </x:c>
      <x:c r="D127" s="30" t="n">
        <x:v>4233.925554</x:v>
      </x:c>
      <x:c r="E127" s="30" t="n">
        <x:v>2286</x:v>
      </x:c>
      <x:c r="F127" s="2"/>
      <x:c r="G127" s="2"/>
    </x:row>
    <x:row r="128" ht="23" customHeight="1">
      <x:c r="A128" s="4" t="n">
        <x:v>41944</x:v>
      </x:c>
      <x:c r="B128" s="30" t="n">
        <x:v>10344.736672</x:v>
      </x:c>
      <x:c r="C128" s="30" t="n">
        <x:v>3928.614071</x:v>
      </x:c>
      <x:c r="D128" s="30" t="n">
        <x:v>4181.122601</x:v>
      </x:c>
      <x:c r="E128" s="30" t="n">
        <x:v>2235</x:v>
      </x:c>
      <x:c r="F128" s="2"/>
      <x:c r="G128" s="2"/>
    </x:row>
    <x:row r="129" ht="23" customHeight="1">
      <x:c r="A129" s="4" t="n">
        <x:v>41974</x:v>
      </x:c>
      <x:c r="B129" s="30" t="n">
        <x:v>11229.37782</x:v>
      </x:c>
      <x:c r="C129" s="30" t="n">
        <x:v>4594.222428</x:v>
      </x:c>
      <x:c r="D129" s="30" t="n">
        <x:v>4422.155392</x:v>
      </x:c>
      <x:c r="E129" s="30" t="n">
        <x:v>2213</x:v>
      </x:c>
      <x:c r="F129" s="2"/>
      <x:c r="G129" s="2"/>
    </x:row>
    <x:row r="130" ht="23" customHeight="1">
      <x:c r="A130" s="4" t="n">
        <x:v>42005</x:v>
      </x:c>
      <x:c r="B130" s="30" t="n">
        <x:v>11706.190093</x:v>
      </x:c>
      <x:c r="C130" s="30" t="n">
        <x:v>5096.405805</x:v>
      </x:c>
      <x:c r="D130" s="30" t="n">
        <x:v>4485.881622</x:v>
      </x:c>
      <x:c r="E130" s="30" t="n">
        <x:v>2123.902666</x:v>
      </x:c>
      <x:c r="F130" s="2"/>
      <x:c r="G130" s="2"/>
    </x:row>
    <x:row r="131" ht="23" customHeight="1">
      <x:c r="A131" s="4" t="n">
        <x:v>42036</x:v>
      </x:c>
      <x:c r="B131" s="30" t="n">
        <x:v>10665.086621</x:v>
      </x:c>
      <x:c r="C131" s="30" t="n">
        <x:v>4438.153482</x:v>
      </x:c>
      <x:c r="D131" s="30" t="n">
        <x:v>4195.116419</x:v>
      </x:c>
      <x:c r="E131" s="30" t="n">
        <x:v>2031.81672</x:v>
      </x:c>
      <x:c r="F131" s="2"/>
      <x:c r="G131" s="2"/>
    </x:row>
    <x:row r="132" ht="23" customHeight="1">
      <x:c r="A132" s="4" t="n">
        <x:v>42064</x:v>
      </x:c>
      <x:c r="B132" s="30" t="n">
        <x:v>11548.527072</x:v>
      </x:c>
      <x:c r="C132" s="30" t="n">
        <x:v>4823.9677</x:v>
      </x:c>
      <x:c r="D132" s="30" t="n">
        <x:v>4487.951318</x:v>
      </x:c>
      <x:c r="E132" s="30" t="n">
        <x:v>2236.608054</x:v>
      </x:c>
      <x:c r="F132" s="2"/>
      <x:c r="G132" s="2"/>
    </x:row>
    <x:row r="133" ht="23" customHeight="1">
      <x:c r="A133" s="4" t="n">
        <x:v>42095</x:v>
      </x:c>
      <x:c r="B133" s="30" t="n">
        <x:v>10026.43476</x:v>
      </x:c>
      <x:c r="C133" s="30" t="n">
        <x:v>3756.852843</x:v>
      </x:c>
      <x:c r="D133" s="30" t="n">
        <x:v>4112.087066</x:v>
      </x:c>
      <x:c r="E133" s="30" t="n">
        <x:v>2157.494851</x:v>
      </x:c>
      <x:c r="F133" s="2"/>
      <x:c r="G133" s="2"/>
    </x:row>
    <x:row r="134" ht="23" customHeight="1">
      <x:c r="A134" s="4" t="n">
        <x:v>42125</x:v>
      </x:c>
      <x:c r="B134" s="30" t="n">
        <x:v>10467.633693</x:v>
      </x:c>
      <x:c r="C134" s="30" t="n">
        <x:v>4224.672651</x:v>
      </x:c>
      <x:c r="D134" s="30" t="n">
        <x:v>4096.94637</x:v>
      </x:c>
      <x:c r="E134" s="30" t="n">
        <x:v>2146.014672</x:v>
      </x:c>
      <x:c r="F134" s="2"/>
      <x:c r="G134" s="2"/>
    </x:row>
    <x:row r="135" ht="23" customHeight="1">
      <x:c r="A135" s="4" t="n">
        <x:v>42156</x:v>
      </x:c>
      <x:c r="B135" s="30" t="n">
        <x:v>11254.419667</x:v>
      </x:c>
      <x:c r="C135" s="30" t="n">
        <x:v>4941.27559</x:v>
      </x:c>
      <x:c r="D135" s="30" t="n">
        <x:v>4222.780597</x:v>
      </x:c>
      <x:c r="E135" s="30" t="n">
        <x:v>2090.36348</x:v>
      </x:c>
      <x:c r="F135" s="2"/>
      <x:c r="G135" s="2"/>
    </x:row>
    <x:row r="136" ht="23" customHeight="1">
      <x:c r="A136" s="4" t="n">
        <x:v>42186</x:v>
      </x:c>
      <x:c r="B136" s="30" t="n">
        <x:v>11907.361919</x:v>
      </x:c>
      <x:c r="C136" s="30" t="n">
        <x:v>5513.160882</x:v>
      </x:c>
      <x:c r="D136" s="30" t="n">
        <x:v>4299.603255</x:v>
      </x:c>
      <x:c r="E136" s="30" t="n">
        <x:v>2094.597782</x:v>
      </x:c>
      <x:c r="F136" s="2"/>
      <x:c r="G136" s="2"/>
    </x:row>
    <x:row r="137" ht="23" customHeight="1">
      <x:c r="A137" s="4" t="n">
        <x:v>42217</x:v>
      </x:c>
      <x:c r="B137" s="30" t="n">
        <x:v>11130.262808</x:v>
      </x:c>
      <x:c r="C137" s="30" t="n">
        <x:v>4797.705122</x:v>
      </x:c>
      <x:c r="D137" s="30" t="n">
        <x:v>4221.518892</x:v>
      </x:c>
      <x:c r="E137" s="30" t="n">
        <x:v>2111.038794</x:v>
      </x:c>
      <x:c r="F137" s="2"/>
      <x:c r="G137" s="2"/>
    </x:row>
    <x:row r="138" ht="23" customHeight="1">
      <x:c r="A138" s="4" t="n">
        <x:v>42248</x:v>
      </x:c>
      <x:c r="B138" s="30" t="n">
        <x:v>10552.903241</x:v>
      </x:c>
      <x:c r="C138" s="30" t="n">
        <x:v>4350.513945</x:v>
      </x:c>
      <x:c r="D138" s="30" t="n">
        <x:v>4068.358096</x:v>
      </x:c>
      <x:c r="E138" s="30" t="n">
        <x:v>2134.0312</x:v>
      </x:c>
      <x:c r="F138" s="2"/>
      <x:c r="G138" s="2"/>
    </x:row>
    <x:row r="139" ht="23" customHeight="1">
      <x:c r="A139" s="4" t="n">
        <x:v>42278</x:v>
      </x:c>
      <x:c r="B139" s="30" t="n">
        <x:v>10722.174389</x:v>
      </x:c>
      <x:c r="C139" s="30" t="n">
        <x:v>4362.416913</x:v>
      </x:c>
      <x:c r="D139" s="30" t="n">
        <x:v>4083.188677</x:v>
      </x:c>
      <x:c r="E139" s="30" t="n">
        <x:v>2276.568799</x:v>
      </x:c>
      <x:c r="F139" s="2"/>
      <x:c r="G139" s="2"/>
    </x:row>
    <x:row r="140" ht="23" customHeight="1">
      <x:c r="A140" s="4" t="n">
        <x:v>42309</x:v>
      </x:c>
      <x:c r="B140" s="30" t="n">
        <x:v>10219.189482</x:v>
      </x:c>
      <x:c r="C140" s="30" t="n">
        <x:v>3922.901043</x:v>
      </x:c>
      <x:c r="D140" s="30" t="n">
        <x:v>4073.261068</x:v>
      </x:c>
      <x:c r="E140" s="30" t="n">
        <x:v>2223.027371</x:v>
      </x:c>
      <x:c r="F140" s="2"/>
      <x:c r="G140" s="2"/>
    </x:row>
    <x:row r="141" ht="23" customHeight="1">
      <x:c r="A141" s="4" t="n">
        <x:v>42339</x:v>
      </x:c>
      <x:c r="B141" s="30" t="n">
        <x:v>11909.435561</x:v>
      </x:c>
      <x:c r="C141" s="30" t="n">
        <x:v>5196.47196</x:v>
      </x:c>
      <x:c r="D141" s="30" t="n">
        <x:v>4559.777176</x:v>
      </x:c>
      <x:c r="E141" s="30" t="n">
        <x:v>2153.186425</x:v>
      </x:c>
      <x:c r="F141" s="2"/>
      <x:c r="G141" s="2"/>
    </x:row>
    <x:row r="142" ht="23" customHeight="1">
      <x:c r="A142" s="4" t="n">
        <x:v>42370</x:v>
      </x:c>
      <x:c r="B142" s="30" t="n">
        <x:v>12344.911762</x:v>
      </x:c>
      <x:c r="C142" s="30" t="n">
        <x:v>5651.444906</x:v>
      </x:c>
      <x:c r="D142" s="30" t="n">
        <x:v>4611.116668</x:v>
      </x:c>
      <x:c r="E142" s="30" t="n">
        <x:v>2082.350188</x:v>
      </x:c>
      <x:c r="F142" s="2"/>
      <x:c r="G142" s="2"/>
    </x:row>
    <x:row r="143" ht="23" customHeight="1">
      <x:c r="A143" s="4" t="n">
        <x:v>42401</x:v>
      </x:c>
      <x:c r="B143" s="30" t="n">
        <x:v>11731.845101</x:v>
      </x:c>
      <x:c r="C143" s="30" t="n">
        <x:v>5012.872809</x:v>
      </x:c>
      <x:c r="D143" s="30" t="n">
        <x:v>4674.575348</x:v>
      </x:c>
      <x:c r="E143" s="30" t="n">
        <x:v>2044.396944</x:v>
      </x:c>
      <x:c r="F143" s="2"/>
      <x:c r="G143" s="2"/>
    </x:row>
    <x:row r="144" ht="23" customHeight="1">
      <x:c r="A144" s="4" t="n">
        <x:v>42430</x:v>
      </x:c>
      <x:c r="B144" s="30" t="n">
        <x:v>10461.47592</x:v>
      </x:c>
      <x:c r="C144" s="30" t="n">
        <x:v>4021.324887</x:v>
      </x:c>
      <x:c r="D144" s="30" t="n">
        <x:v>4327.849414</x:v>
      </x:c>
      <x:c r="E144" s="30" t="n">
        <x:v>2112.301619</x:v>
      </x:c>
      <x:c r="F144" s="2"/>
      <x:c r="G144" s="2"/>
    </x:row>
    <x:row r="145" ht="23" customHeight="1">
      <x:c r="A145" s="4" t="n">
        <x:v>42461</x:v>
      </x:c>
      <x:c r="B145" s="30" t="n">
        <x:v>10292.000856</x:v>
      </x:c>
      <x:c r="C145" s="30" t="n">
        <x:v>4104.173856</x:v>
      </x:c>
      <x:c r="D145" s="30" t="n">
        <x:v>4148.353996</x:v>
      </x:c>
      <x:c r="E145" s="30" t="n">
        <x:v>2039.473004</x:v>
      </x:c>
      <x:c r="F145" s="2"/>
      <x:c r="G145" s="2"/>
    </x:row>
    <x:row r="146" ht="23" customHeight="1">
      <x:c r="A146" s="4" t="n">
        <x:v>42491</x:v>
      </x:c>
      <x:c r="B146" s="30" t="n">
        <x:v>11358.011628</x:v>
      </x:c>
      <x:c r="C146" s="30" t="n">
        <x:v>4941.165168</x:v>
      </x:c>
      <x:c r="D146" s="30" t="n">
        <x:v>4359.505856</x:v>
      </x:c>
      <x:c r="E146" s="30" t="n">
        <x:v>2057.340604</x:v>
      </x:c>
      <x:c r="F146" s="2"/>
      <x:c r="G146" s="2"/>
    </x:row>
    <x:row r="147" ht="23" customHeight="1">
      <x:c r="A147" s="4" t="n">
        <x:v>42522</x:v>
      </x:c>
      <x:c r="B147" s="30" t="n">
        <x:v>11812.94705</x:v>
      </x:c>
      <x:c r="C147" s="30" t="n">
        <x:v>5634.190447</x:v>
      </x:c>
      <x:c r="D147" s="30" t="n">
        <x:v>4282.498971</x:v>
      </x:c>
      <x:c r="E147" s="30" t="n">
        <x:v>1896.257632</x:v>
      </x:c>
      <x:c r="F147" s="2"/>
      <x:c r="G147" s="2"/>
    </x:row>
    <x:row r="148" ht="23" customHeight="1">
      <x:c r="A148" s="4" t="n">
        <x:v>42552</x:v>
      </x:c>
      <x:c r="B148" s="30" t="n">
        <x:v>11929.645375</x:v>
      </x:c>
      <x:c r="C148" s="30" t="n">
        <x:v>5614.534651</x:v>
      </x:c>
      <x:c r="D148" s="30" t="n">
        <x:v>4365.764848</x:v>
      </x:c>
      <x:c r="E148" s="30" t="n">
        <x:v>1949.345876</x:v>
      </x:c>
      <x:c r="F148" s="2"/>
      <x:c r="G148" s="2"/>
    </x:row>
    <x:row r="149" ht="23" customHeight="1">
      <x:c r="A149" s="4" t="n">
        <x:v>42583</x:v>
      </x:c>
      <x:c r="B149" s="30" t="n">
        <x:v>10855.441952</x:v>
      </x:c>
      <x:c r="C149" s="30" t="n">
        <x:v>4663.796035</x:v>
      </x:c>
      <x:c r="D149" s="30" t="n">
        <x:v>4249.089462</x:v>
      </x:c>
      <x:c r="E149" s="30" t="n">
        <x:v>1942.556455</x:v>
      </x:c>
      <x:c r="F149" s="2"/>
      <x:c r="G149" s="2"/>
    </x:row>
    <x:row r="150" ht="23" customHeight="1">
      <x:c r="A150" s="4" t="n">
        <x:v>42614</x:v>
      </x:c>
      <x:c r="B150" s="30" t="n">
        <x:v>10382.081134</x:v>
      </x:c>
      <x:c r="C150" s="30" t="n">
        <x:v>4351.181774</x:v>
      </x:c>
      <x:c r="D150" s="30" t="n">
        <x:v>4063.593245</x:v>
      </x:c>
      <x:c r="E150" s="30" t="n">
        <x:v>1967.306115</x:v>
      </x:c>
      <x:c r="F150" s="2"/>
      <x:c r="G150" s="2"/>
    </x:row>
    <x:row r="151" ht="23" customHeight="1">
      <x:c r="A151" s="4" t="n">
        <x:v>42644</x:v>
      </x:c>
      <x:c r="B151" s="30" t="n">
        <x:v>9956.038875</x:v>
      </x:c>
      <x:c r="C151" s="30" t="n">
        <x:v>3953.447552</x:v>
      </x:c>
      <x:c r="D151" s="30" t="n">
        <x:v>3985.43731</x:v>
      </x:c>
      <x:c r="E151" s="30" t="n">
        <x:v>2017.154013</x:v>
      </x:c>
      <x:c r="F151" s="2"/>
      <x:c r="G151" s="2"/>
    </x:row>
    <x:row r="152" ht="23" customHeight="1">
      <x:c r="A152" s="4" t="n">
        <x:v>42675</x:v>
      </x:c>
      <x:c r="B152" s="30" t="n">
        <x:v>10132.540584</x:v>
      </x:c>
      <x:c r="C152" s="30" t="n">
        <x:v>3970.327674</x:v>
      </x:c>
      <x:c r="D152" s="30" t="n">
        <x:v>4142.364061</x:v>
      </x:c>
      <x:c r="E152" s="30" t="n">
        <x:v>2019.848849</x:v>
      </x:c>
      <x:c r="F152" s="2"/>
      <x:c r="G152" s="2"/>
    </x:row>
    <x:row r="153" ht="23" customHeight="1">
      <x:c r="A153" s="4" t="n">
        <x:v>42705</x:v>
      </x:c>
      <x:c r="B153" s="30" t="n">
        <x:v>11853.854388</x:v>
      </x:c>
      <x:c r="C153" s="30" t="n">
        <x:v>5148.81767</x:v>
      </x:c>
      <x:c r="D153" s="30" t="n">
        <x:v>4687.28346</x:v>
      </x:c>
      <x:c r="E153" s="30" t="n">
        <x:v>2017.753258</x:v>
      </x:c>
      <x:c r="F153" s="2"/>
      <x:c r="G153" s="2"/>
    </x:row>
    <x:row r="154" ht="23" customHeight="1">
      <x:c r="A154" s="4" t="n">
        <x:v>42736</x:v>
      </x:c>
      <x:c r="B154" s="30" t="n">
        <x:v>12524.865646</x:v>
      </x:c>
      <x:c r="C154" s="30" t="n">
        <x:v>5681.816626</x:v>
      </x:c>
      <x:c r="D154" s="30" t="n">
        <x:v>4849.477855</x:v>
      </x:c>
      <x:c r="E154" s="30" t="n">
        <x:v>1993.571165</x:v>
      </x:c>
      <x:c r="F154" s="2"/>
      <x:c r="G154" s="2"/>
    </x:row>
    <x:row r="155" ht="23" customHeight="1">
      <x:c r="A155" s="4" t="n">
        <x:v>42767</x:v>
      </x:c>
      <x:c r="B155" s="30" t="n">
        <x:v>11074.906499</x:v>
      </x:c>
      <x:c r="C155" s="30" t="n">
        <x:v>4618.2261</x:v>
      </x:c>
      <x:c r="D155" s="30" t="n">
        <x:v>4551.831478</x:v>
      </x:c>
      <x:c r="E155" s="30" t="n">
        <x:v>1904.848921</x:v>
      </x:c>
      <x:c r="F155" s="2"/>
      <x:c r="G155" s="2"/>
    </x:row>
    <x:row r="156" ht="23" customHeight="1">
      <x:c r="A156" s="4" t="n">
        <x:v>42795</x:v>
      </x:c>
      <x:c r="B156" s="30" t="n">
        <x:v>11122.231555</x:v>
      </x:c>
      <x:c r="C156" s="30" t="n">
        <x:v>4470.715122</x:v>
      </x:c>
      <x:c r="D156" s="30" t="n">
        <x:v>4514.651091</x:v>
      </x:c>
      <x:c r="E156" s="30" t="n">
        <x:v>2136.865342</x:v>
      </x:c>
      <x:c r="F156" s="2"/>
      <x:c r="G156" s="2"/>
    </x:row>
    <x:row r="157" ht="23" customHeight="1">
      <x:c r="A157" s="4" t="n">
        <x:v>42826</x:v>
      </x:c>
      <x:c r="B157" s="30" t="n">
        <x:v>9793.758585</x:v>
      </x:c>
      <x:c r="C157" s="30" t="n">
        <x:v>3754.330119</x:v>
      </x:c>
      <x:c r="D157" s="30" t="n">
        <x:v>3986.450327</x:v>
      </x:c>
      <x:c r="E157" s="30" t="n">
        <x:v>2052.978139</x:v>
      </x:c>
      <x:c r="F157" s="2"/>
      <x:c r="G157" s="2"/>
    </x:row>
    <x:row r="158" ht="23" customHeight="1">
      <x:c r="A158" s="4" t="n">
        <x:v>42856</x:v>
      </x:c>
      <x:c r="B158" s="30" t="n">
        <x:v>10795.213415</x:v>
      </x:c>
      <x:c r="C158" s="30" t="n">
        <x:v>4524.024791</x:v>
      </x:c>
      <x:c r="D158" s="30" t="n">
        <x:v>4136.934659</x:v>
      </x:c>
      <x:c r="E158" s="30" t="n">
        <x:v>2134.253965</x:v>
      </x:c>
      <x:c r="F158" s="2"/>
      <x:c r="G158" s="2"/>
    </x:row>
    <x:row r="159" ht="23" customHeight="1">
      <x:c r="A159" s="4" t="n">
        <x:v>42887</x:v>
      </x:c>
      <x:c r="B159" s="30" t="n">
        <x:v>11359.330662</x:v>
      </x:c>
      <x:c r="C159" s="30" t="n">
        <x:v>5180.585335</x:v>
      </x:c>
      <x:c r="D159" s="30" t="n">
        <x:v>4150.183839</x:v>
      </x:c>
      <x:c r="E159" s="30" t="n">
        <x:v>2028.561488</x:v>
      </x:c>
      <x:c r="F159" s="2"/>
      <x:c r="G159" s="2"/>
    </x:row>
    <x:row r="160" ht="23" customHeight="1">
      <x:c r="A160" s="4" t="n">
        <x:v>42917</x:v>
      </x:c>
      <x:c r="B160" s="30" t="n">
        <x:v>11796.425757</x:v>
      </x:c>
      <x:c r="C160" s="30" t="n">
        <x:v>5460.615925</x:v>
      </x:c>
      <x:c r="D160" s="30" t="n">
        <x:v>4259.709195</x:v>
      </x:c>
      <x:c r="E160" s="30" t="n">
        <x:v>2076.100637</x:v>
      </x:c>
      <x:c r="F160" s="2"/>
      <x:c r="G160" s="2"/>
    </x:row>
    <x:row r="161" ht="23" customHeight="1">
      <x:c r="A161" s="4" t="n">
        <x:v>42948</x:v>
      </x:c>
      <x:c r="B161" s="30" t="n">
        <x:v>11107.250705</x:v>
      </x:c>
      <x:c r="C161" s="30" t="n">
        <x:v>4767.354968</x:v>
      </x:c>
      <x:c r="D161" s="30" t="n">
        <x:v>4209.854414</x:v>
      </x:c>
      <x:c r="E161" s="30" t="n">
        <x:v>2130.041323</x:v>
      </x:c>
      <x:c r="F161" s="2"/>
      <x:c r="G161" s="2"/>
    </x:row>
    <x:row r="162" ht="23" customHeight="1">
      <x:c r="A162" s="4" t="n">
        <x:v>42979</x:v>
      </x:c>
      <x:c r="B162" s="30" t="n">
        <x:v>10348.584548</x:v>
      </x:c>
      <x:c r="C162" s="30" t="n">
        <x:v>4217.808567</x:v>
      </x:c>
      <x:c r="D162" s="30" t="n">
        <x:v>4047.932339</x:v>
      </x:c>
      <x:c r="E162" s="30" t="n">
        <x:v>2082.843642</x:v>
      </x:c>
      <x:c r="F162" s="2"/>
      <x:c r="G162" s="2"/>
    </x:row>
    <x:row r="163" ht="23" customHeight="1">
      <x:c r="A163" s="4" t="n">
        <x:v>43009</x:v>
      </x:c>
      <x:c r="B163" s="30" t="n">
        <x:v>10227.329313</x:v>
      </x:c>
      <x:c r="C163" s="30" t="n">
        <x:v>3979.729611</x:v>
      </x:c>
      <x:c r="D163" s="30" t="n">
        <x:v>4116.218026</x:v>
      </x:c>
      <x:c r="E163" s="30" t="n">
        <x:v>2131.381676</x:v>
      </x:c>
      <x:c r="F163" s="2"/>
      <x:c r="G163" s="2"/>
    </x:row>
    <x:row r="164" ht="23" customHeight="1">
      <x:c r="A164" s="4" t="n">
        <x:v>43040</x:v>
      </x:c>
      <x:c r="B164" s="30" t="n">
        <x:v>10355.727486</x:v>
      </x:c>
      <x:c r="C164" s="30" t="n">
        <x:v>4035.43194</x:v>
      </x:c>
      <x:c r="D164" s="30" t="n">
        <x:v>4172.293125</x:v>
      </x:c>
      <x:c r="E164" s="30" t="n">
        <x:v>2148.002421</x:v>
      </x:c>
      <x:c r="F164" s="2"/>
      <x:c r="G164" s="2"/>
    </x:row>
    <x:row r="165" ht="23" customHeight="1">
      <x:c r="A165" s="4" t="n">
        <x:v>43070</x:v>
      </x:c>
      <x:c r="B165" s="30" t="n">
        <x:v>12024.595461</x:v>
      </x:c>
      <x:c r="C165" s="30" t="n">
        <x:v>5216.357134</x:v>
      </x:c>
      <x:c r="D165" s="30" t="n">
        <x:v>4700.319169</x:v>
      </x:c>
      <x:c r="E165" s="30" t="n">
        <x:v>2107.919158</x:v>
      </x:c>
      <x:c r="F165" s="2"/>
      <x:c r="G165" s="2"/>
    </x:row>
    <x:row r="166" ht="23" customHeight="1">
      <x:c r="A166" s="4" t="n">
        <x:v>43101</x:v>
      </x:c>
      <x:c r="B166" s="30" t="n">
        <x:v>12350.183342</x:v>
      </x:c>
      <x:c r="C166" s="30" t="n">
        <x:v>5468.676184</x:v>
      </x:c>
      <x:c r="D166" s="30" t="n">
        <x:v>4781.389061</x:v>
      </x:c>
      <x:c r="E166" s="30" t="n">
        <x:v>2100.118097</x:v>
      </x:c>
      <x:c r="F166" s="2"/>
      <x:c r="G166" s="2"/>
    </x:row>
    <x:row r="167" ht="23" customHeight="1">
      <x:c r="A167" s="4" t="n">
        <x:v>43132</x:v>
      </x:c>
      <x:c r="B167" s="30" t="n">
        <x:v>11404.202907</x:v>
      </x:c>
      <x:c r="C167" s="30" t="n">
        <x:v>4963.984865</x:v>
      </x:c>
      <x:c r="D167" s="30" t="n">
        <x:v>4409.163668</x:v>
      </x:c>
      <x:c r="E167" s="30" t="n">
        <x:v>2031.054374</x:v>
      </x:c>
      <x:c r="F167" s="2"/>
      <x:c r="G167" s="2"/>
    </x:row>
    <x:row r="168" ht="23" customHeight="1">
      <x:c r="A168" s="4" t="n">
        <x:v>43160</x:v>
      </x:c>
      <x:c r="B168" s="30" t="n">
        <x:v>11247.242147</x:v>
      </x:c>
      <x:c r="C168" s="30" t="n">
        <x:v>4493.104135</x:v>
      </x:c>
      <x:c r="D168" s="30" t="n">
        <x:v>4549.204478</x:v>
      </x:c>
      <x:c r="E168" s="30" t="n">
        <x:v>2204.933534</x:v>
      </x:c>
      <x:c r="F168" s="2"/>
      <x:c r="G168" s="2"/>
    </x:row>
    <x:row r="169" ht="23" customHeight="1">
      <x:c r="A169" s="4" t="n">
        <x:v>43191</x:v>
      </x:c>
      <x:c r="B169" s="30" t="n">
        <x:v>10493.314602</x:v>
      </x:c>
      <x:c r="C169" s="30" t="n">
        <x:v>4084.283375</x:v>
      </x:c>
      <x:c r="D169" s="30" t="n">
        <x:v>4264.484832</x:v>
      </x:c>
      <x:c r="E169" s="30" t="n">
        <x:v>2144.546395</x:v>
      </x:c>
      <x:c r="F169" s="2"/>
      <x:c r="G169" s="2"/>
    </x:row>
    <x:row r="170" ht="23" customHeight="1">
      <x:c r="A170" s="4" t="n">
        <x:v>43221</x:v>
      </x:c>
      <x:c r="B170" s="30" t="n">
        <x:v>10665.461535</x:v>
      </x:c>
      <x:c r="C170" s="30" t="n">
        <x:v>4282.854741</x:v>
      </x:c>
      <x:c r="D170" s="30" t="n">
        <x:v>4232.135998</x:v>
      </x:c>
      <x:c r="E170" s="30" t="n">
        <x:v>2150.470796</x:v>
      </x:c>
      <x:c r="F170" s="2"/>
      <x:c r="G170" s="2"/>
    </x:row>
    <x:row r="171" ht="23" customHeight="1">
      <x:c r="A171" s="4" t="n">
        <x:v>43252</x:v>
      </x:c>
      <x:c r="B171" s="30" t="n">
        <x:v>11925.912373</x:v>
      </x:c>
      <x:c r="C171" s="30" t="n">
        <x:v>5589.928854</x:v>
      </x:c>
      <x:c r="D171" s="30" t="n">
        <x:v>4314.391923</x:v>
      </x:c>
      <x:c r="E171" s="30" t="n">
        <x:v>2021.591596</x:v>
      </x:c>
      <x:c r="F171" s="2"/>
      <x:c r="G171" s="2"/>
    </x:row>
    <x:row r="172" ht="23" customHeight="1">
      <x:c r="A172" s="4" t="n">
        <x:v>43282</x:v>
      </x:c>
      <x:c r="B172" s="30" t="n">
        <x:v>12607.552746</x:v>
      </x:c>
      <x:c r="C172" s="30" t="n">
        <x:v>6193.356918</x:v>
      </x:c>
      <x:c r="D172" s="30" t="n">
        <x:v>4395.42939</x:v>
      </x:c>
      <x:c r="E172" s="30" t="n">
        <x:v>2018.766438</x:v>
      </x:c>
      <x:c r="F172" s="2"/>
      <x:c r="G172" s="2"/>
    </x:row>
    <x:row r="173" ht="23" customHeight="1">
      <x:c r="A173" s="4" t="n">
        <x:v>43313</x:v>
      </x:c>
      <x:c r="B173" s="30" t="n">
        <x:v>11721.305146</x:v>
      </x:c>
      <x:c r="C173" s="30" t="n">
        <x:v>5381.905856</x:v>
      </x:c>
      <x:c r="D173" s="30" t="n">
        <x:v>4291.441737</x:v>
      </x:c>
      <x:c r="E173" s="30" t="n">
        <x:v>2047.957553</x:v>
      </x:c>
      <x:c r="F173" s="2"/>
      <x:c r="G173" s="2"/>
    </x:row>
    <x:row r="174" ht="23" customHeight="1">
      <x:c r="A174" s="4" t="n">
        <x:v>43344</x:v>
      </x:c>
      <x:c r="B174" s="30" t="n">
        <x:v>9792.369117</x:v>
      </x:c>
      <x:c r="C174" s="30" t="n">
        <x:v>3928.162283</x:v>
      </x:c>
      <x:c r="D174" s="30" t="n">
        <x:v>3907.997234</x:v>
      </x:c>
      <x:c r="E174" s="30" t="n">
        <x:v>1956.2096</x:v>
      </x:c>
      <x:c r="F174" s="2"/>
      <x:c r="G174" s="2"/>
    </x:row>
    <x:row r="175" ht="23" customHeight="1">
      <x:c r="A175" s="4" t="n">
        <x:v>43374</x:v>
      </x:c>
      <x:c r="B175" s="30" t="n">
        <x:v>9904.218691</x:v>
      </x:c>
      <x:c r="C175" s="30" t="n">
        <x:v>3944.594703</x:v>
      </x:c>
      <x:c r="D175" s="30" t="n">
        <x:v>3978.8901</x:v>
      </x:c>
      <x:c r="E175" s="30" t="n">
        <x:v>1980.733888</x:v>
      </x:c>
      <x:c r="F175" s="2"/>
      <x:c r="G175" s="2"/>
    </x:row>
    <x:row r="176" ht="23" customHeight="1">
      <x:c r="A176" s="4" t="n">
        <x:v>43405</x:v>
      </x:c>
      <x:c r="B176" s="30" t="n">
        <x:v>10035.149399</x:v>
      </x:c>
      <x:c r="C176" s="30" t="n">
        <x:v>4001.581048</x:v>
      </x:c>
      <x:c r="D176" s="30" t="n">
        <x:v>4041.072386</x:v>
      </x:c>
      <x:c r="E176" s="30" t="n">
        <x:v>1992.495965</x:v>
      </x:c>
      <x:c r="F176" s="2"/>
      <x:c r="G176" s="2"/>
    </x:row>
    <x:row r="177" ht="23" customHeight="1">
      <x:c r="A177" s="4" t="n">
        <x:v>43435</x:v>
      </x:c>
      <x:c r="B177" s="30" t="n">
        <x:v>10863.012561</x:v>
      </x:c>
      <x:c r="C177" s="30" t="n">
        <x:v>4687.899371</x:v>
      </x:c>
      <x:c r="D177" s="30" t="n">
        <x:v>4305.440229</x:v>
      </x:c>
      <x:c r="E177" s="30" t="n">
        <x:v>1869.672961</x:v>
      </x:c>
      <x:c r="F177" s="2"/>
      <x:c r="G177" s="2"/>
    </x:row>
    <x:row r="178" ht="23" customHeight="1">
      <x:c r="A178" s="4" t="n">
        <x:v>43466</x:v>
      </x:c>
      <x:c r="B178" s="30" t="n">
        <x:v>11698.820402</x:v>
      </x:c>
      <x:c r="C178" s="30" t="n">
        <x:v>5280.257409</x:v>
      </x:c>
      <x:c r="D178" s="30" t="n">
        <x:v>4507.317265</x:v>
      </x:c>
      <x:c r="E178" s="30" t="n">
        <x:v>1911.245728</x:v>
      </x:c>
      <x:c r="F178" s="2"/>
      <x:c r="G178" s="2"/>
    </x:row>
    <x:row r="179" ht="23" customHeight="1">
      <x:c r="A179" s="4" t="n">
        <x:v>43497</x:v>
      </x:c>
      <x:c r="B179" s="30" t="n">
        <x:v>10706.955317</x:v>
      </x:c>
      <x:c r="C179" s="30" t="n">
        <x:v>4640.570779</x:v>
      </x:c>
      <x:c r="D179" s="30" t="n">
        <x:v>4236.763494</x:v>
      </x:c>
      <x:c r="E179" s="30" t="n">
        <x:v>1829.621044</x:v>
      </x:c>
      <x:c r="F179" s="2"/>
      <x:c r="G179" s="2"/>
    </x:row>
    <x:row r="180" ht="23" customHeight="1">
      <x:c r="A180" s="4" t="n">
        <x:v>43525</x:v>
      </x:c>
      <x:c r="B180" s="30" t="n">
        <x:v>10120.057936</x:v>
      </x:c>
      <x:c r="C180" s="30" t="n">
        <x:v>3995.742961</x:v>
      </x:c>
      <x:c r="D180" s="30" t="n">
        <x:v>4155.841684</x:v>
      </x:c>
      <x:c r="E180" s="30" t="n">
        <x:v>1968.473291</x:v>
      </x:c>
      <x:c r="F180" s="2"/>
      <x:c r="G180" s="2"/>
    </x:row>
    <x:row r="181" ht="23" customHeight="1">
      <x:c r="A181" s="4" t="n">
        <x:v>43556</x:v>
      </x:c>
      <x:c r="B181" s="30" t="n">
        <x:v>9572.130645</x:v>
      </x:c>
      <x:c r="C181" s="30" t="n">
        <x:v>3647.81235</x:v>
      </x:c>
      <x:c r="D181" s="30" t="n">
        <x:v>3971.245175</x:v>
      </x:c>
      <x:c r="E181" s="30" t="n">
        <x:v>1953.07312</x:v>
      </x:c>
      <x:c r="F181" s="2"/>
      <x:c r="G181" s="2"/>
    </x:row>
    <x:row r="182" ht="23" customHeight="1">
      <x:c r="A182" s="4" t="n">
        <x:v>43586</x:v>
      </x:c>
      <x:c r="B182" s="30" t="n">
        <x:v>10382.062156</x:v>
      </x:c>
      <x:c r="C182" s="30" t="n">
        <x:v>4358.227351</x:v>
      </x:c>
      <x:c r="D182" s="30" t="n">
        <x:v>4051.568954</x:v>
      </x:c>
      <x:c r="E182" s="30" t="n">
        <x:v>1972.265851</x:v>
      </x:c>
      <x:c r="F182" s="2"/>
      <x:c r="G182" s="2"/>
    </x:row>
    <x:row r="183" ht="23" customHeight="1">
      <x:c r="A183" s="4" t="n">
        <x:v>43617</x:v>
      </x:c>
      <x:c r="B183" s="30" t="n">
        <x:v>10649.85454</x:v>
      </x:c>
      <x:c r="C183" s="30" t="n">
        <x:v>4815.895191</x:v>
      </x:c>
      <x:c r="D183" s="30" t="n">
        <x:v>3985.740596</x:v>
      </x:c>
      <x:c r="E183" s="30" t="n">
        <x:v>1848.218753</x:v>
      </x:c>
      <x:c r="F183" s="2"/>
      <x:c r="G183" s="2"/>
    </x:row>
    <x:row r="184" ht="23" customHeight="1">
      <x:c r="A184" s="4" t="n">
        <x:v>43647</x:v>
      </x:c>
      <x:c r="B184" s="30" t="n">
        <x:v>12004.210187</x:v>
      </x:c>
      <x:c r="C184" s="30" t="n">
        <x:v>5807.8299</x:v>
      </x:c>
      <x:c r="D184" s="30" t="n">
        <x:v>4257.407791</x:v>
      </x:c>
      <x:c r="E184" s="30" t="n">
        <x:v>1938.972496</x:v>
      </x:c>
      <x:c r="F184" s="2"/>
      <x:c r="G184" s="2"/>
    </x:row>
    <x:row r="185" ht="23" customHeight="1">
      <x:c r="A185" s="4" t="n">
        <x:v>43678</x:v>
      </x:c>
      <x:c r="B185" s="30" t="n">
        <x:v>11465.483299</x:v>
      </x:c>
      <x:c r="C185" s="30" t="n">
        <x:v>5201.899286</x:v>
      </x:c>
      <x:c r="D185" s="30" t="n">
        <x:v>4206.692542</x:v>
      </x:c>
      <x:c r="E185" s="30" t="n">
        <x:v>2056.891471</x:v>
      </x:c>
      <x:c r="F185" s="2"/>
      <x:c r="G185" s="2"/>
    </x:row>
    <x:row r="186" ht="23" customHeight="1">
      <x:c r="A186" s="4" t="n">
        <x:v>43709</x:v>
      </x:c>
      <x:c r="B186" s="30" t="n">
        <x:v>10218.087823</x:v>
      </x:c>
      <x:c r="C186" s="30" t="n">
        <x:v>4267.476337</x:v>
      </x:c>
      <x:c r="D186" s="30" t="n">
        <x:v>3934.53795</x:v>
      </x:c>
      <x:c r="E186" s="30" t="n">
        <x:v>2016.073536</x:v>
      </x:c>
      <x:c r="F186" s="2"/>
      <x:c r="G186" s="2"/>
    </x:row>
    <x:row r="187" ht="23" customHeight="1">
      <x:c r="A187" s="4" t="n">
        <x:v>43739</x:v>
      </x:c>
      <x:c r="B187" s="30" t="n">
        <x:v>10380.686879</x:v>
      </x:c>
      <x:c r="C187" s="30" t="n">
        <x:v>4222.295957</x:v>
      </x:c>
      <x:c r="D187" s="30" t="n">
        <x:v>4012.432789</x:v>
      </x:c>
      <x:c r="E187" s="30" t="n">
        <x:v>2145.958133</x:v>
      </x:c>
      <x:c r="F187" s="2"/>
      <x:c r="G187" s="2"/>
    </x:row>
    <x:row r="188" ht="23" customHeight="1">
      <x:c r="A188" s="4" t="n">
        <x:v>43770</x:v>
      </x:c>
      <x:c r="B188" s="30" t="n">
        <x:v>10559.966155</x:v>
      </x:c>
      <x:c r="C188" s="30" t="n">
        <x:v>4378.76383</x:v>
      </x:c>
      <x:c r="D188" s="30" t="n">
        <x:v>4144.930896</x:v>
      </x:c>
      <x:c r="E188" s="30" t="n">
        <x:v>2036.271429</x:v>
      </x:c>
      <x:c r="F188" s="2"/>
      <x:c r="G188" s="2"/>
    </x:row>
    <x:row r="189" ht="23" customHeight="1">
      <x:c r="A189" s="4" t="n">
        <x:v>43800</x:v>
      </x:c>
      <x:c r="B189" s="30" t="n">
        <x:v>11187.742677</x:v>
      </x:c>
      <x:c r="C189" s="30" t="n">
        <x:v>4911.899215</x:v>
      </x:c>
      <x:c r="D189" s="30" t="n">
        <x:v>4406.841075</x:v>
      </x:c>
      <x:c r="E189" s="30" t="n">
        <x:v>1869.002387</x:v>
      </x:c>
      <x:c r="F189" s="2"/>
      <x:c r="G189" s="2"/>
    </x:row>
    <x:row r="190" ht="23" customHeight="1">
      <x:c r="A190" s="4" t="n">
        <x:v>43831</x:v>
      </x:c>
      <x:c r="B190" s="30" t="n">
        <x:v>11993.867057</x:v>
      </x:c>
      <x:c r="C190" s="30" t="n">
        <x:v>5593.4474</x:v>
      </x:c>
      <x:c r="D190" s="30" t="n">
        <x:v>4494.597629</x:v>
      </x:c>
      <x:c r="E190" s="30" t="n">
        <x:v>1905.822028</x:v>
      </x:c>
      <x:c r="F190" s="2"/>
      <x:c r="G190" s="2"/>
    </x:row>
    <x:row r="191" ht="23" customHeight="1">
      <x:c r="A191" s="4" t="n">
        <x:v>43862</x:v>
      </x:c>
      <x:c r="B191" s="30" t="n">
        <x:v>10843.47443</x:v>
      </x:c>
      <x:c r="C191" s="30" t="n">
        <x:v>4751.384719</x:v>
      </x:c>
      <x:c r="D191" s="30" t="n">
        <x:v>4218.645382</x:v>
      </x:c>
      <x:c r="E191" s="30" t="n">
        <x:v>1873.444329</x:v>
      </x:c>
      <x:c r="F191" s="2"/>
      <x:c r="G191" s="2"/>
    </x:row>
    <x:row r="192" ht="23" customHeight="1">
      <x:c r="A192" s="4" t="n">
        <x:v>43891</x:v>
      </x:c>
      <x:c r="B192" s="30" t="n">
        <x:v>11144.232192</x:v>
      </x:c>
      <x:c r="C192" s="30" t="n">
        <x:v>5034.641888</x:v>
      </x:c>
      <x:c r="D192" s="30" t="n">
        <x:v>4318.451977</x:v>
      </x:c>
      <x:c r="E192" s="30" t="n">
        <x:v>1791.138327</x:v>
      </x:c>
      <x:c r="F192" s="2"/>
      <x:c r="G192" s="2"/>
    </x:row>
    <x:row r="193" ht="23" customHeight="1">
      <x:c r="A193" s="4" t="n">
        <x:v>43922</x:v>
      </x:c>
      <x:c r="B193" s="30" t="n">
        <x:v>8537.200407</x:v>
      </x:c>
      <x:c r="C193" s="30" t="n">
        <x:v>3863.630775</x:v>
      </x:c>
      <x:c r="D193" s="30" t="n">
        <x:v>3269.808148</x:v>
      </x:c>
      <x:c r="E193" s="30" t="n">
        <x:v>1403.761484</x:v>
      </x:c>
      <x:c r="F193" s="2"/>
      <x:c r="G193" s="2"/>
    </x:row>
    <x:row r="194" ht="23" customHeight="1">
      <x:c r="A194" s="4" t="n">
        <x:v>43952</x:v>
      </x:c>
      <x:c r="B194" s="30" t="n">
        <x:v>9617.328172</x:v>
      </x:c>
      <x:c r="C194" s="30" t="n">
        <x:v>4687.33238</x:v>
      </x:c>
      <x:c r="D194" s="30" t="n">
        <x:v>3424.44383</x:v>
      </x:c>
      <x:c r="E194" s="30" t="n">
        <x:v>1505.551962</x:v>
      </x:c>
      <x:c r="F194" s="2"/>
      <x:c r="G194" s="2"/>
    </x:row>
    <x:row r="195" ht="23" customHeight="1">
      <x:c r="A195" s="4" t="n">
        <x:v>43983</x:v>
      </x:c>
      <x:c r="B195" s="30" t="n">
        <x:v>10781.714873</x:v>
      </x:c>
      <x:c r="C195" s="30" t="n">
        <x:v>5591.261968</x:v>
      </x:c>
      <x:c r="D195" s="30" t="n">
        <x:v>3635.874084</x:v>
      </x:c>
      <x:c r="E195" s="30" t="n">
        <x:v>1554.578821</x:v>
      </x:c>
      <x:c r="F195" s="2"/>
      <x:c r="G195" s="2"/>
    </x:row>
    <x:row r="196" ht="23" customHeight="1">
      <x:c r="A196" s="4" t="n">
        <x:v>44013</x:v>
      </x:c>
      <x:c r="B196" s="30" t="n">
        <x:v>12183.852641</x:v>
      </x:c>
      <x:c r="C196" s="30" t="n">
        <x:v>6521.31556</x:v>
      </x:c>
      <x:c r="D196" s="30" t="n">
        <x:v>4001.408076</x:v>
      </x:c>
      <x:c r="E196" s="30" t="n">
        <x:v>1661.129005</x:v>
      </x:c>
      <x:c r="F196" s="2"/>
      <x:c r="G196" s="2"/>
    </x:row>
    <x:row r="197" ht="23" customHeight="1">
      <x:c r="A197" s="4" t="n">
        <x:v>44044</x:v>
      </x:c>
      <x:c r="B197" s="30" t="n">
        <x:v>10728.379158</x:v>
      </x:c>
      <x:c r="C197" s="30" t="n">
        <x:v>5267.341752</x:v>
      </x:c>
      <x:c r="D197" s="30" t="n">
        <x:v>3741.760249</x:v>
      </x:c>
      <x:c r="E197" s="30" t="n">
        <x:v>1719.277157</x:v>
      </x:c>
      <x:c r="F197" s="2"/>
      <x:c r="G197" s="2"/>
    </x:row>
    <x:row r="198" ht="23" customHeight="1">
      <x:c r="A198" s="4" t="n">
        <x:v>44075</x:v>
      </x:c>
      <x:c r="B198" s="30" t="n">
        <x:v>10045.02285</x:v>
      </x:c>
      <x:c r="C198" s="30" t="n">
        <x:v>4693.462034</x:v>
      </x:c>
      <x:c r="D198" s="30" t="n">
        <x:v>3638.96298</x:v>
      </x:c>
      <x:c r="E198" s="30" t="n">
        <x:v>1712.597836</x:v>
      </x:c>
      <x:c r="F198" s="2"/>
      <x:c r="G198" s="2"/>
    </x:row>
    <x:row r="199" ht="23" customHeight="1">
      <x:c r="A199" s="4" t="n">
        <x:v>44105</x:v>
      </x:c>
      <x:c r="B199" s="30" t="n">
        <x:v>10013.844018</x:v>
      </x:c>
      <x:c r="C199" s="30" t="n">
        <x:v>4428.481525</x:v>
      </x:c>
      <x:c r="D199" s="30" t="n">
        <x:v>3758.740572</x:v>
      </x:c>
      <x:c r="E199" s="30" t="n">
        <x:v>1826.621921</x:v>
      </x:c>
      <x:c r="F199" s="2"/>
      <x:c r="G199" s="2"/>
    </x:row>
    <x:row r="200" ht="23" customHeight="1">
      <x:c r="A200" s="4" t="n">
        <x:v>44136</x:v>
      </x:c>
      <x:c r="B200" s="30" t="n">
        <x:v>10087.844439</x:v>
      </x:c>
      <x:c r="C200" s="30" t="n">
        <x:v>4330.623877</x:v>
      </x:c>
      <x:c r="D200" s="30" t="n">
        <x:v>3851.369101</x:v>
      </x:c>
      <x:c r="E200" s="30" t="n">
        <x:v>1905.851461</x:v>
      </x:c>
      <x:c r="F200" s="2"/>
      <x:c r="G200" s="2"/>
    </x:row>
    <x:row r="201" ht="23" customHeight="1">
      <x:c r="A201" s="4" t="n">
        <x:v>44166</x:v>
      </x:c>
      <x:c r="B201" s="30" t="n">
        <x:v>11330.177614</x:v>
      </x:c>
      <x:c r="C201" s="30" t="n">
        <x:v>5258.408928</x:v>
      </x:c>
      <x:c r="D201" s="30" t="n">
        <x:v>4193.858494</x:v>
      </x:c>
      <x:c r="E201" s="30" t="n">
        <x:v>1877.910192</x:v>
      </x:c>
      <x:c r="F201" s="2"/>
      <x:c r="G201" s="2"/>
    </x:row>
    <x:row r="202" ht="23" customHeight="1">
      <x:c r="A202" s="4" t="n">
        <x:v>44197</x:v>
      </x:c>
      <x:c r="B202" s="30" t="n">
        <x:v>11941.580986</x:v>
      </x:c>
      <x:c r="C202" s="30" t="n">
        <x:v>5661.216932</x:v>
      </x:c>
      <x:c r="D202" s="30" t="n">
        <x:v>4331.948859</x:v>
      </x:c>
      <x:c r="E202" s="30" t="n">
        <x:v>1948.415195</x:v>
      </x:c>
      <x:c r="F202" s="2"/>
      <x:c r="G202" s="2"/>
    </x:row>
    <x:row r="203" ht="23" customHeight="1">
      <x:c r="A203" s="4" t="n">
        <x:v>44228</x:v>
      </x:c>
      <x:c r="B203" s="30" t="n">
        <x:v>10090.389298</x:v>
      </x:c>
      <x:c r="C203" s="30" t="n">
        <x:v>4363.836276</x:v>
      </x:c>
      <x:c r="D203" s="30" t="n">
        <x:v>3880.340804</x:v>
      </x:c>
      <x:c r="E203" s="30" t="n">
        <x:v>1846.212218</x:v>
      </x:c>
      <x:c r="F203" s="2"/>
      <x:c r="G203" s="2"/>
    </x:row>
    <x:row r="204" ht="23" customHeight="1">
      <x:c r="A204" s="4" t="n">
        <x:v>44256</x:v>
      </x:c>
      <x:c r="B204" s="30" t="n">
        <x:v>11055.214503</x:v>
      </x:c>
      <x:c r="C204" s="30" t="n">
        <x:v>4718.154621</x:v>
      </x:c>
      <x:c r="D204" s="30" t="n">
        <x:v>4239.221819</x:v>
      </x:c>
      <x:c r="E204" s="30" t="n">
        <x:v>2097.838063</x:v>
      </x:c>
      <x:c r="F204" s="2"/>
      <x:c r="G204" s="2"/>
    </x:row>
    <x:row r="205" ht="23" customHeight="1">
      <x:c r="A205" s="4" t="n">
        <x:v>44287</x:v>
      </x:c>
      <x:c r="B205" s="30" t="n">
        <x:v>9817.737877</x:v>
      </x:c>
      <x:c r="C205" s="30" t="n">
        <x:v>3891.458974</x:v>
      </x:c>
      <x:c r="D205" s="30" t="n">
        <x:v>3909.054427</x:v>
      </x:c>
      <x:c r="E205" s="30" t="n">
        <x:v>2017.224476</x:v>
      </x:c>
      <x:c r="F205" s="2"/>
      <x:c r="G205" s="2"/>
    </x:row>
    <x:row r="206" ht="23" customHeight="1">
      <x:c r="A206" s="4" t="n">
        <x:v>44317</x:v>
      </x:c>
      <x:c r="B206" s="30" t="n">
        <x:v>10986.114068</x:v>
      </x:c>
      <x:c r="C206" s="30" t="n">
        <x:v>5010.924044</x:v>
      </x:c>
      <x:c r="D206" s="30" t="n">
        <x:v>3995.054976</x:v>
      </x:c>
      <x:c r="E206" s="30" t="n">
        <x:v>1980.135048</x:v>
      </x:c>
      <x:c r="F206" s="2"/>
      <x:c r="G206" s="2"/>
    </x:row>
    <x:row r="207" ht="23" customHeight="1">
      <x:c r="A207" s="4" t="n">
        <x:v>44348</x:v>
      </x:c>
      <x:c r="B207" s="30" t="n">
        <x:v>12053.804232</x:v>
      </x:c>
      <x:c r="C207" s="30" t="n">
        <x:v>6070.270051</x:v>
      </x:c>
      <x:c r="D207" s="30" t="n">
        <x:v>4011.805038</x:v>
      </x:c>
      <x:c r="E207" s="30" t="n">
        <x:v>1971.729143</x:v>
      </x:c>
      <x:c r="F207" s="2"/>
      <x:c r="G207" s="2"/>
    </x:row>
    <x:row r="208" ht="23" customHeight="1">
      <x:c r="A208" s="4" t="n">
        <x:v>44378</x:v>
      </x:c>
      <x:c r="B208" s="30" t="n">
        <x:v>12418.960365</x:v>
      </x:c>
      <x:c r="C208" s="30" t="n">
        <x:v>6268.417449</x:v>
      </x:c>
      <x:c r="D208" s="30" t="n">
        <x:v>4148.275478</x:v>
      </x:c>
      <x:c r="E208" s="30" t="n">
        <x:v>2002.267438</x:v>
      </x:c>
      <x:c r="F208" s="2"/>
      <x:c r="G208" s="2"/>
    </x:row>
    <x:row r="209" ht="23" customHeight="1">
      <x:c r="A209" s="4" t="n">
        <x:v>44409</x:v>
      </x:c>
      <x:c r="B209" s="30" t="n">
        <x:v>11660.287778</x:v>
      </x:c>
      <x:c r="C209" s="30" t="n">
        <x:v>5534.851944</x:v>
      </x:c>
      <x:c r="D209" s="30" t="n">
        <x:v>4087.353908</x:v>
      </x:c>
      <x:c r="E209" s="30" t="n">
        <x:v>2038.081926</x:v>
      </x:c>
      <x:c r="F209" s="2"/>
      <x:c r="G209" s="2"/>
    </x:row>
    <x:row r="210" ht="23" customHeight="1">
      <x:c r="A210" s="4" t="n">
        <x:v>44440</x:v>
      </x:c>
      <x:c r="B210" s="30" t="n">
        <x:v>10374.79406</x:v>
      </x:c>
      <x:c r="C210" s="30" t="n">
        <x:v>4460.019197</x:v>
      </x:c>
      <x:c r="D210" s="30" t="n">
        <x:v>3894.843471</x:v>
      </x:c>
      <x:c r="E210" s="30" t="n">
        <x:v>2019.931392</x:v>
      </x:c>
      <x:c r="F210" s="2"/>
      <x:c r="G210" s="2"/>
    </x:row>
    <x:row r="211" ht="23" customHeight="1">
      <x:c r="A211" s="4" t="n">
        <x:v>44470</x:v>
      </x:c>
      <x:c r="B211" s="30" t="n">
        <x:v>10451.324175</x:v>
      </x:c>
      <x:c r="C211" s="30" t="n">
        <x:v>4481.150233</x:v>
      </x:c>
      <x:c r="D211" s="30" t="n">
        <x:v>4023.809999</x:v>
      </x:c>
      <x:c r="E211" s="30" t="n">
        <x:v>1946.363943</x:v>
      </x:c>
      <x:c r="F211" s="2"/>
      <x:c r="G211" s="2"/>
    </x:row>
    <x:row r="212" ht="23" customHeight="1">
      <x:c r="A212" s="4" t="n">
        <x:v>44501</x:v>
      </x:c>
      <x:c r="B212" s="30" t="n">
        <x:v>10569.433719</x:v>
      </x:c>
      <x:c r="C212" s="30" t="n">
        <x:v>4450.331245</x:v>
      </x:c>
      <x:c r="D212" s="30" t="n">
        <x:v>4120.005402</x:v>
      </x:c>
      <x:c r="E212" s="30" t="n">
        <x:v>1999.097072</x:v>
      </x:c>
      <x:c r="F212" s="2"/>
      <x:c r="G212" s="2"/>
    </x:row>
    <x:row r="213" ht="23" customHeight="1">
      <x:c r="A213" s="4" t="n">
        <x:v>44531</x:v>
      </x:c>
      <x:c r="B213" s="30" t="n">
        <x:v>12457.845452</x:v>
      </x:c>
      <x:c r="C213" s="30" t="n">
        <x:v>5875.231036</x:v>
      </x:c>
      <x:c r="D213" s="30" t="n">
        <x:v>4637.279511</x:v>
      </x:c>
      <x:c r="E213" s="30" t="n">
        <x:v>1945.334905</x:v>
      </x:c>
      <x:c r="F213" s="2"/>
      <x:c r="G213" s="2"/>
    </x:row>
    <x:row r="214" ht="23" customHeight="1">
      <x:c r="A214" s="4" t="n">
        <x:v>44562</x:v>
      </x:c>
      <x:c r="B214" s="30" t="n">
        <x:v>13067.604932</x:v>
      </x:c>
      <x:c r="C214" s="30" t="n">
        <x:v>6464.484064</x:v>
      </x:c>
      <x:c r="D214" s="30" t="n">
        <x:v>4801.009871</x:v>
      </x:c>
      <x:c r="E214" s="30" t="n">
        <x:v>1802.110997</x:v>
      </x:c>
      <x:c r="F214" s="2"/>
      <x:c r="G214" s="2"/>
    </x:row>
    <x:row r="215" ht="23" customHeight="1">
      <x:c r="A215" s="4" t="n">
        <x:v>44593</x:v>
      </x:c>
      <x:c r="B215" s="30" t="n">
        <x:v>10567.756899</x:v>
      </x:c>
      <x:c r="C215" s="30" t="n">
        <x:v>4612.567414</x:v>
      </x:c>
      <x:c r="D215" s="30" t="n">
        <x:v>4185.905605</x:v>
      </x:c>
      <x:c r="E215" s="30" t="n">
        <x:v>1769.28388</x:v>
      </x:c>
      <x:c r="F215" s="2"/>
      <x:c r="G215" s="2"/>
    </x:row>
    <x:row r="216" ht="23" customHeight="1">
      <x:c r="A216" s="4" t="n">
        <x:v>44621</x:v>
      </x:c>
      <x:c r="B216" s="30" t="n">
        <x:v>10881.578983</x:v>
      </x:c>
      <x:c r="C216" s="30" t="n">
        <x:v>4481.118657</x:v>
      </x:c>
      <x:c r="D216" s="30" t="n">
        <x:v>4393.401085</x:v>
      </x:c>
      <x:c r="E216" s="30" t="n">
        <x:v>2007.059241</x:v>
      </x:c>
      <x:c r="F216" s="2"/>
      <x:c r="G216" s="2"/>
    </x:row>
    <x:row r="217" ht="23" customHeight="1">
      <x:c r="A217" s="4" t="n">
        <x:v>44652</x:v>
      </x:c>
      <x:c r="B217" s="30" t="n">
        <x:v>10147.364071</x:v>
      </x:c>
      <x:c r="C217" s="30" t="n">
        <x:v>3999.097408</x:v>
      </x:c>
      <x:c r="D217" s="30" t="n">
        <x:v>4100.350536</x:v>
      </x:c>
      <x:c r="E217" s="30" t="n">
        <x:v>2047.916127</x:v>
      </x:c>
      <x:c r="F217" s="2"/>
      <x:c r="G217" s="2"/>
    </x:row>
    <x:row r="218" ht="23" customHeight="1">
      <x:c r="A218" s="4" t="n">
        <x:v>44682</x:v>
      </x:c>
      <x:c r="B218" s="30" t="n">
        <x:v>11727.995001</x:v>
      </x:c>
      <x:c r="C218" s="30" t="n">
        <x:v>5346.350927</x:v>
      </x:c>
      <x:c r="D218" s="30" t="n">
        <x:v>4327.068463</x:v>
      </x:c>
      <x:c r="E218" s="30" t="n">
        <x:v>2054.575611</x:v>
      </x:c>
      <x:c r="F218" s="2"/>
      <x:c r="G218" s="2"/>
    </x:row>
    <x:row r="219" ht="23" customHeight="1">
      <x:c r="A219" s="4" t="n">
        <x:v>44713</x:v>
      </x:c>
      <x:c r="B219" s="30" t="n">
        <x:v>13074.470378</x:v>
      </x:c>
      <x:c r="C219" s="30" t="n">
        <x:v>6686.629888</x:v>
      </x:c>
      <x:c r="D219" s="30" t="n">
        <x:v>4432.274611</x:v>
      </x:c>
      <x:c r="E219" s="30" t="n">
        <x:v>1955.565879</x:v>
      </x:c>
      <x:c r="F219" s="2"/>
      <x:c r="G219" s="2"/>
    </x:row>
    <x:row r="220" ht="23" customHeight="1">
      <x:c r="A220" s="4" t="n">
        <x:v>44743</x:v>
      </x:c>
      <x:c r="B220" s="30" t="n">
        <x:v>12639.619366</x:v>
      </x:c>
      <x:c r="C220" s="30" t="n">
        <x:v>6277.761203</x:v>
      </x:c>
      <x:c r="D220" s="30" t="n">
        <x:v>4421.696106</x:v>
      </x:c>
      <x:c r="E220" s="30" t="n">
        <x:v>1940.162057</x:v>
      </x:c>
      <x:c r="F220" s="2"/>
      <x:c r="G220" s="2"/>
    </x:row>
    <x:row r="221" ht="23" customHeight="1">
      <x:c r="A221" s="4" t="n">
        <x:v>44774</x:v>
      </x:c>
      <x:c r="B221" s="30" t="n">
        <x:v>11782.419631</x:v>
      </x:c>
      <x:c r="C221" s="30" t="n">
        <x:v>5480.926603</x:v>
      </x:c>
      <x:c r="D221" s="30" t="n">
        <x:v>4344.918827</x:v>
      </x:c>
      <x:c r="E221" s="30" t="n">
        <x:v>1956.574201</x:v>
      </x:c>
      <x:c r="F221" s="2"/>
      <x:c r="G221" s="2"/>
    </x:row>
    <x:row r="222" ht="23" customHeight="1">
      <x:c r="A222" s="4" t="n">
        <x:v>44805</x:v>
      </x:c>
      <x:c r="B222" s="30" t="n">
        <x:v>10314.000247</x:v>
      </x:c>
      <x:c r="C222" s="30" t="n">
        <x:v>4294.969294</x:v>
      </x:c>
      <x:c r="D222" s="30" t="n">
        <x:v>4060.319054</x:v>
      </x:c>
      <x:c r="E222" s="30" t="n">
        <x:v>1958.711899</x:v>
      </x:c>
      <x:c r="F222" s="2"/>
      <x:c r="G222" s="2"/>
    </x:row>
    <x:row r="223" ht="23" customHeight="1">
      <x:c r="A223" s="4" t="n">
        <x:v>44835</x:v>
      </x:c>
      <x:c r="B223" s="30" t="n">
        <x:v>10221.298638</x:v>
      </x:c>
      <x:c r="C223" s="30" t="n">
        <x:v>4191.800322</x:v>
      </x:c>
      <x:c r="D223" s="30" t="n">
        <x:v>4056.286863</x:v>
      </x:c>
      <x:c r="E223" s="30" t="n">
        <x:v>1973.211453</x:v>
      </x:c>
      <x:c r="F223" s="2"/>
      <x:c r="G223" s="2"/>
    </x:row>
    <x:row r="224" ht="23" customHeight="1">
      <x:c r="A224" s="4" t="n">
        <x:v>44866</x:v>
      </x:c>
      <x:c r="B224" s="30" t="n">
        <x:v>11323.713162</x:v>
      </x:c>
      <x:c r="C224" s="30" t="n">
        <x:v>4999.888377</x:v>
      </x:c>
      <x:c r="D224" s="30" t="n">
        <x:v>4287.904184</x:v>
      </x:c>
      <x:c r="E224" s="30" t="n">
        <x:v>2035.920601</x:v>
      </x:c>
      <x:c r="F224" s="2"/>
      <x:c r="G224" s="2"/>
    </x:row>
    <x:row r="225" ht="23" customHeight="1">
      <x:c r="A225" s="4" t="n">
        <x:v>44896</x:v>
      </x:c>
      <x:c r="B225" s="30" t="n">
        <x:v>13027.412096</x:v>
      </x:c>
      <x:c r="C225" s="30" t="n">
        <x:v>6321.388548</x:v>
      </x:c>
      <x:c r="D225" s="30" t="n">
        <x:v>4713.01096</x:v>
      </x:c>
      <x:c r="E225" s="30" t="n">
        <x:v>1993.012588</x:v>
      </x:c>
      <x:c r="F225" s="2"/>
      <x:c r="G225" s="2"/>
    </x:row>
    <x:row r="226" ht="23" customHeight="1">
      <x:c r="A226" s="4" t="n">
        <x:v>44927</x:v>
      </x:c>
      <x:c r="B226" s="30" t="n">
        <x:v>13593.482594</x:v>
      </x:c>
      <x:c r="C226" s="30" t="n">
        <x:v>6817.409084</x:v>
      </x:c>
      <x:c r="D226" s="30" t="n">
        <x:v>4831.820802</x:v>
      </x:c>
      <x:c r="E226" s="30" t="n">
        <x:v>1944.252708</x:v>
      </x:c>
      <x:c r="F226" s="2"/>
      <x:c r="G226" s="2"/>
    </x:row>
    <x:row r="227" ht="23" customHeight="1">
      <x:c r="A227" s="4" t="n">
        <x:v>44958</x:v>
      </x:c>
      <x:c r="B227" s="30" t="n">
        <x:v>11906.275882</x:v>
      </x:c>
      <x:c r="C227" s="30" t="n">
        <x:v>5684.562915</x:v>
      </x:c>
      <x:c r="D227" s="30" t="n">
        <x:v>4409.54575</x:v>
      </x:c>
      <x:c r="E227" s="30" t="n">
        <x:v>1812.167217</x:v>
      </x:c>
      <x:c r="F227" s="2"/>
      <x:c r="G227" s="2"/>
    </x:row>
    <x:row r="228" ht="23" customHeight="1">
      <x:c r="A228" s="4" t="n">
        <x:v>44986</x:v>
      </x:c>
      <x:c r="B228" s="30" t="n">
        <x:v>13996.904605</x:v>
      </x:c>
      <x:c r="C228" s="30" t="n">
        <x:v>6927.376352</x:v>
      </x:c>
      <x:c r="D228" s="30" t="n">
        <x:v>5016.569766</x:v>
      </x:c>
      <x:c r="E228" s="30" t="n">
        <x:v>2052.958487</x:v>
      </x:c>
      <x:c r="F228" s="2"/>
      <x:c r="G228" s="2"/>
    </x:row>
    <x:row r="229" ht="23" customHeight="1">
      <x:c r="A229" s="4" t="n">
        <x:v>45017</x:v>
      </x:c>
      <x:c r="B229" s="30" t="n">
        <x:v>10046.212478</x:v>
      </x:c>
      <x:c r="C229" s="30" t="n">
        <x:v>3985.954278</x:v>
      </x:c>
      <x:c r="D229" s="30" t="n">
        <x:v>4131.210056</x:v>
      </x:c>
      <x:c r="E229" s="30" t="n">
        <x:v>1929.048144</x:v>
      </x:c>
      <x:c r="F229" s="2"/>
      <x:c r="G229" s="2"/>
    </x:row>
    <x:row r="230" ht="23" customHeight="1">
      <x:c r="A230" s="4" t="n">
        <x:v>45047</x:v>
      </x:c>
      <x:c r="B230" s="30" t="n">
        <x:v>10815.469724</x:v>
      </x:c>
      <x:c r="C230" s="30" t="n">
        <x:v>4656.383154</x:v>
      </x:c>
      <x:c r="D230" s="30" t="n">
        <x:v>4164.095397</x:v>
      </x:c>
      <x:c r="E230" s="30" t="n">
        <x:v>1994.991173</x:v>
      </x:c>
      <x:c r="F230" s="2"/>
      <x:c r="G230" s="2"/>
    </x:row>
    <x:row r="231" ht="23" customHeight="1">
      <x:c r="A231" s="4" t="n">
        <x:v>45078</x:v>
      </x:c>
      <x:c r="B231" s="30" t="n">
        <x:v>12071.781236</x:v>
      </x:c>
      <x:c r="C231" s="30" t="n">
        <x:v>5835.774393</x:v>
      </x:c>
      <x:c r="D231" s="30" t="n">
        <x:v>4197.267627</x:v>
      </x:c>
      <x:c r="E231" s="30" t="n">
        <x:v>2038.739216</x:v>
      </x:c>
      <x:c r="F231" s="2"/>
      <x:c r="G231" s="2"/>
    </x:row>
    <x:row r="232" ht="23" customHeight="1">
      <x:c r="A232" s="4" t="n">
        <x:v>45108</x:v>
      </x:c>
      <x:c r="B232" s="30" t="n">
        <x:v>12477.225903</x:v>
      </x:c>
      <x:c r="C232" s="30" t="n">
        <x:v>6277.161519</x:v>
      </x:c>
      <x:c r="D232" s="30" t="n">
        <x:v>4321.338783</x:v>
      </x:c>
      <x:c r="E232" s="30" t="n">
        <x:v>1878.725601</x:v>
      </x:c>
      <x:c r="F232" s="2"/>
      <x:c r="G232" s="2"/>
    </x:row>
    <x:row r="233" ht="23" customHeight="1">
      <x:c r="A233" s="4" t="n">
        <x:v>45139</x:v>
      </x:c>
      <x:c r="B233" s="30" t="n">
        <x:v>11756.000499</x:v>
      </x:c>
      <x:c r="C233" s="30" t="n">
        <x:v>5501.921764</x:v>
      </x:c>
      <x:c r="D233" s="30" t="n">
        <x:v>4286.131279</x:v>
      </x:c>
      <x:c r="E233" s="30" t="n">
        <x:v>1967.947456</x:v>
      </x:c>
      <x:c r="F233" s="2"/>
      <x:c r="G233" s="2"/>
    </x:row>
    <x:row r="234" ht="23" customHeight="1">
      <x:c r="A234" s="4" t="n">
        <x:v>45170</x:v>
      </x:c>
      <x:c r="B234" s="30" t="n">
        <x:v>10962.244457</x:v>
      </x:c>
      <x:c r="C234" s="30" t="n">
        <x:v>4894.324626</x:v>
      </x:c>
      <x:c r="D234" s="30" t="n">
        <x:v>4095.419129</x:v>
      </x:c>
      <x:c r="E234" s="30" t="n">
        <x:v>1972.500702</x:v>
      </x:c>
      <x:c r="F234" s="2"/>
      <x:c r="G234" s="2"/>
    </x:row>
    <x:row r="235" ht="23" customHeight="1">
      <x:c r="A235" s="4" t="n">
        <x:v>45200</x:v>
      </x:c>
      <x:c r="B235" s="30" t="n">
        <x:v>10454.125794</x:v>
      </x:c>
      <x:c r="C235" s="30" t="n">
        <x:v>4396.246597</x:v>
      </x:c>
      <x:c r="D235" s="30" t="n">
        <x:v>4095.463271</x:v>
      </x:c>
      <x:c r="E235" s="30" t="n">
        <x:v>1962.415926</x:v>
      </x:c>
      <x:c r="F235" s="2"/>
      <x:c r="G235" s="2"/>
    </x:row>
    <x:row r="236" ht="23" customHeight="1">
      <x:c r="A236" s="4" t="n">
        <x:v>45231</x:v>
      </x:c>
      <x:c r="B236" s="30" t="n">
        <x:v>11040.811143</x:v>
      </x:c>
      <x:c r="C236" s="30" t="n">
        <x:v>4843.967604</x:v>
      </x:c>
      <x:c r="D236" s="30" t="n">
        <x:v>4237.822727</x:v>
      </x:c>
      <x:c r="E236" s="30" t="n">
        <x:v>1959.020812</x:v>
      </x:c>
      <x:c r="F236" s="2"/>
      <x:c r="G236" s="2"/>
    </x:row>
    <x:row r="237" ht="23" customHeight="1">
      <x:c r="A237" s="4" t="n">
        <x:v>45261</x:v>
      </x:c>
      <x:c r="B237" s="30" t="n">
        <x:v>11763.004028</x:v>
      </x:c>
      <x:c r="C237" s="30" t="n">
        <x:v>5475.149278</x:v>
      </x:c>
      <x:c r="D237" s="30" t="n">
        <x:v>4416.089382</x:v>
      </x:c>
      <x:c r="E237" s="30" t="n">
        <x:v>1871.765368</x:v>
      </x:c>
      <x:c r="F237" s="2"/>
      <x:c r="G237" s="2"/>
    </x:row>
    <x:row r="238" ht="23" customHeight="1">
      <x:c r="A238" s="4" t="n">
        <x:v>45292</x:v>
      </x:c>
      <x:c r="B238" s="30" t="n">
        <x:v>13090.206981</x:v>
      </x:c>
      <x:c r="C238" s="30" t="n">
        <x:v>6486.224939</x:v>
      </x:c>
      <x:c r="D238" s="30" t="n">
        <x:v>4701.121721</x:v>
      </x:c>
      <x:c r="E238" s="30" t="n">
        <x:v>1902.860321</x:v>
      </x:c>
      <x:c r="F238" s="2"/>
      <x:c r="G238" s="2"/>
    </x:row>
    <x:row r="239" ht="23" customHeight="1">
      <x:c r="A239" s="4" t="n">
        <x:v>45323</x:v>
      </x:c>
      <x:c r="B239" s="30" t="n">
        <x:v>12851.124118</x:v>
      </x:c>
      <x:c r="C239" s="30" t="n">
        <x:v>6343.135653</x:v>
      </x:c>
      <x:c r="D239" s="30" t="n">
        <x:v>4619.141978</x:v>
      </x:c>
      <x:c r="E239" s="30" t="n">
        <x:v>1888.846487</x:v>
      </x:c>
      <x:c r="F239" s="2"/>
      <x:c r="G239" s="2"/>
    </x:row>
    <x:row r="240" ht="23" customHeight="1">
      <x:c r="A240" s="4" t="n">
        <x:v>45352</x:v>
      </x:c>
      <x:c r="B240" s="30" t="n">
        <x:v>11956.626841</x:v>
      </x:c>
      <x:c r="C240" s="30" t="n">
        <x:v>5484.609658</x:v>
      </x:c>
      <x:c r="D240" s="30" t="n">
        <x:v>4534.521938</x:v>
      </x:c>
      <x:c r="E240" s="30" t="n">
        <x:v>1937.495245</x:v>
      </x:c>
      <x:c r="F240" s="2"/>
      <x:c r="G240" s="2"/>
    </x:row>
    <x:row r="241" ht="23" customHeight="1">
      <x:c r="A241" s="4" t="n">
        <x:v>45383</x:v>
      </x:c>
      <x:c r="B241" s="30" t="n">
        <x:v>10004.921217</x:v>
      </x:c>
      <x:c r="C241" s="30" t="n">
        <x:v>4253.02067</x:v>
      </x:c>
      <x:c r="D241" s="30" t="n">
        <x:v>3934.545397</x:v>
      </x:c>
      <x:c r="E241" s="30" t="n">
        <x:v>1817.35515</x:v>
      </x:c>
      <x:c r="F241" s="2"/>
      <x:c r="G241" s="2"/>
    </x:row>
    <x:row r="242" ht="23" customHeight="1">
      <x:c r="A242" s="4" t="n">
        <x:v>45413</x:v>
      </x:c>
      <x:c r="B242" s="30" t="n">
        <x:v>12213.338451</x:v>
      </x:c>
      <x:c r="C242" s="30" t="n">
        <x:v>6041.515054</x:v>
      </x:c>
      <x:c r="D242" s="30" t="n">
        <x:v>4202.501044</x:v>
      </x:c>
      <x:c r="E242" s="30" t="n">
        <x:v>1969.322353</x:v>
      </x:c>
      <x:c r="F242" s="2"/>
      <x:c r="G242" s="2"/>
    </x:row>
    <x:row r="243" ht="23" customHeight="1">
      <x:c r="A243" s="4" t="n">
        <x:v>45444</x:v>
      </x:c>
      <x:c r="B243" s="30" t="n">
        <x:v>11226.223824</x:v>
      </x:c>
      <x:c r="C243" s="30" t="n">
        <x:v>5345.517419</x:v>
      </x:c>
      <x:c r="D243" s="30" t="n">
        <x:v>3986.352408</x:v>
      </x:c>
      <x:c r="E243" s="30" t="n">
        <x:v>1894.353997</x:v>
      </x:c>
      <x:c r="F243" s="2"/>
      <x:c r="G243" s="2"/>
    </x:row>
    <x:row r="244" ht="23" customHeight="1">
      <x:c r="A244" s="4" t="n">
        <x:v>45474</x:v>
      </x:c>
      <x:c r="B244" s="30" t="n">
        <x:v>13226.304292</x:v>
      </x:c>
      <x:c r="C244" s="30" t="n">
        <x:v>6891.402589</x:v>
      </x:c>
      <x:c r="D244" s="30" t="n">
        <x:v>4322.631488</x:v>
      </x:c>
      <x:c r="E244" s="30" t="n">
        <x:v>2012.270215</x:v>
      </x:c>
      <x:c r="F244" s="2"/>
      <x:c r="G244" s="2"/>
    </x:row>
    <x:row r="245" ht="23" customHeight="1">
      <x:c r="A245" s="4" t="n">
        <x:v>45505</x:v>
      </x:c>
      <x:c r="B245" s="30" t="n">
        <x:v>12171.606645</x:v>
      </x:c>
      <x:c r="C245" s="30" t="n">
        <x:v>5900.98305</x:v>
      </x:c>
      <x:c r="D245" s="30" t="n">
        <x:v>4241.513376</x:v>
      </x:c>
      <x:c r="E245" s="30" t="n">
        <x:v>2029.110219</x:v>
      </x:c>
      <x:c r="F245" s="2"/>
      <x:c r="G245" s="2"/>
    </x:row>
    <x:row r="246" ht="23" customHeight="1">
      <x:c r="A246" s="4" t="n">
        <x:v>45536</x:v>
      </x:c>
      <x:c r="B246" s="30" t="n">
        <x:v>10237.192793</x:v>
      </x:c>
      <x:c r="C246" s="30" t="n">
        <x:v>4320.586552</x:v>
      </x:c>
      <x:c r="D246" s="30" t="n">
        <x:v>3943.76805</x:v>
      </x:c>
      <x:c r="E246" s="30" t="n">
        <x:v>1972.838191</x:v>
      </x:c>
      <x:c r="F246" s="2"/>
      <x:c r="G246" s="2"/>
    </x:row>
    <x:row r="247" ht="23" customHeight="1">
      <x:c r="A247" s="4" t="n">
        <x:v>45566</x:v>
      </x:c>
      <x:c r="B247" s="30" t="n">
        <x:v>10678.921134</x:v>
      </x:c>
      <x:c r="C247" s="30" t="n">
        <x:v>4548.71839</x:v>
      </x:c>
      <x:c r="D247" s="30" t="n">
        <x:v>4151.263378</x:v>
      </x:c>
      <x:c r="E247" s="30" t="n">
        <x:v>1978.939366</x:v>
      </x:c>
      <x:c r="F247" s="2"/>
      <x:c r="G247" s="2"/>
    </x:row>
    <x:row r="248" ht="23" customHeight="1">
      <x:c r="A248" s="4" t="n">
        <x:v>45597</x:v>
      </x:c>
      <x:c r="B248" s="30" t="n">
        <x:v>11064.005964</x:v>
      </x:c>
      <x:c r="C248" s="30" t="n">
        <x:v>4796.444767</x:v>
      </x:c>
      <x:c r="D248" s="30" t="n">
        <x:v>4254.044165</x:v>
      </x:c>
      <x:c r="E248" s="30" t="n">
        <x:v>2013.517032</x:v>
      </x:c>
      <x:c r="F248" s="2"/>
      <x:c r="G248" s="2"/>
    </x:row>
    <x:row r="249" ht="23" customHeight="1">
      <x:c r="A249" s="4" t="n">
        <x:v>45627</x:v>
      </x:c>
      <x:c r="B249" s="30" t="n">
        <x:v>11498.928525</x:v>
      </x:c>
      <x:c r="C249" s="30" t="n">
        <x:v>5178.579117</x:v>
      </x:c>
      <x:c r="D249" s="30" t="n">
        <x:v>4441.356097</x:v>
      </x:c>
      <x:c r="E249" s="30" t="n">
        <x:v>1878.993311</x:v>
      </x:c>
      <x:c r="F249" s="2"/>
      <x:c r="G249" s="2"/>
    </x:row>
    <x:row r="250" ht="23" customHeight="1">
      <x:c r="A250" s="4" t="n">
        <x:v>45658</x:v>
      </x:c>
      <x:c r="B250" s="30" t="n">
        <x:v>13605.512563</x:v>
      </x:c>
      <x:c r="C250" s="30" t="n">
        <x:v>6855.336501</x:v>
      </x:c>
      <x:c r="D250" s="30" t="n">
        <x:v>4830.369119</x:v>
      </x:c>
      <x:c r="E250" s="30" t="n">
        <x:v>1919.806943</x:v>
      </x:c>
      <x:c r="F250" s="2"/>
      <x:c r="G250" s="2"/>
    </x:row>
    <x:row r="251" ht="23" customHeight="1">
      <x:c r="A251" s="4" t="n">
        <x:v>45689</x:v>
      </x:c>
      <x:c r="B251" s="30" t="n">
        <x:v>12908.058921</x:v>
      </x:c>
      <x:c r="C251" s="30" t="n">
        <x:v>6269.121595</x:v>
      </x:c>
      <x:c r="D251" s="30" t="n">
        <x:v>4692.326965</x:v>
      </x:c>
      <x:c r="E251" s="30" t="n">
        <x:v>1946.610361</x:v>
      </x:c>
      <x:c r="F251" s="2"/>
      <x:c r="G251" s="2"/>
    </x:row>
    <x:row r="252" ht="23" customHeight="1">
      <x:c r="A252" s="4" t="n">
        <x:v>45717</x:v>
      </x:c>
      <x:c r="B252" s="30" t="n">
        <x:v>11653.169774</x:v>
      </x:c>
      <x:c r="C252" s="30" t="n">
        <x:v>5266.22306</x:v>
      </x:c>
      <x:c r="D252" s="30" t="n">
        <x:v>4403.502136</x:v>
      </x:c>
      <x:c r="E252" s="30" t="n">
        <x:v>1983.444578</x:v>
      </x:c>
      <x:c r="F252" s="2"/>
      <x:c r="G252" s="2"/>
    </x:row>
    <x:row r="253" ht="23" customHeight="1">
      <x:c r="A253" s="4" t="n">
        <x:v>45748</x:v>
      </x:c>
      <x:c r="B253" s="30" t="n">
        <x:v>9822.82491</x:v>
      </x:c>
      <x:c r="C253" s="30" t="n">
        <x:v>3991.322629</x:v>
      </x:c>
      <x:c r="D253" s="30" t="n">
        <x:v>3917.565116</x:v>
      </x:c>
      <x:c r="E253" s="30" t="n">
        <x:v>1913.937165</x:v>
      </x:c>
      <x:c r="F253" s="2"/>
      <x:c r="G253" s="2"/>
    </x:row>
    <x:row r="254" ht="23" customHeight="1">
      <x:c r="A254" s="4" t="n">
        <x:v>45778</x:v>
      </x:c>
      <x:c r="B254" s="30" t="n">
        <x:v>10944.561146</x:v>
      </x:c>
      <x:c r="C254" s="30" t="n">
        <x:v>4887.294621</x:v>
      </x:c>
      <x:c r="D254" s="30" t="n">
        <x:v>4071.122618</x:v>
      </x:c>
      <x:c r="E254" s="30" t="n">
        <x:v>1986.143907</x:v>
      </x:c>
      <x:c r="F254" s="2"/>
      <x:c r="G254" s="2"/>
    </x:row>
    <x:row r="255" ht="23" customHeight="1">
      <x:c r="A255" s="4" t="n">
        <x:v>45809</x:v>
      </x:c>
      <x:c r="B255" s="30" t="n">
        <x:v>12685.14374</x:v>
      </x:c>
      <x:c r="C255" s="30" t="n">
        <x:v>6598.754185</x:v>
      </x:c>
      <x:c r="D255" s="30" t="n">
        <x:v>4157.164483</x:v>
      </x:c>
      <x:c r="E255" s="30" t="n">
        <x:v>1929.225072</x:v>
      </x:c>
      <x:c r="F255" s="2"/>
      <x:c r="G255" s="2"/>
    </x:row>
    <x:row r="256" ht="23" customHeight="1">
      <x:c r="A256" s="4" t="n">
        <x:v>45839</x:v>
      </x:c>
      <x:c r="B256" s="30" t="n">
        <x:v>12901.61855</x:v>
      </x:c>
      <x:c r="C256" s="30" t="n">
        <x:v>6564.070558</x:v>
      </x:c>
      <x:c r="D256" s="30" t="n">
        <x:v>4293.969131</x:v>
      </x:c>
      <x:c r="E256" s="30" t="n">
        <x:v>2043.578861</x:v>
      </x:c>
      <x:c r="F256" s="2"/>
      <x:c r="G256" s="2"/>
    </x:row>
    <x:row r="257" ht="23" customHeight="1">
      <x:c r="A257" s="4" t="n">
        <x:v>45870</x:v>
      </x:c>
      <x:c r="B257" s="30" t="n">
        <x:v>11718.756339</x:v>
      </x:c>
      <x:c r="C257" s="30" t="n">
        <x:v>5598.129769</x:v>
      </x:c>
      <x:c r="D257" s="30" t="n">
        <x:v>4122.105814</x:v>
      </x:c>
      <x:c r="E257" s="30" t="n">
        <x:v>1998.520756</x:v>
      </x:c>
      <x:c r="F257" s="2"/>
      <x:c r="G257" s="2"/>
    </x:row>
    <x:row r="258" ht="23" customHeight="1">
      <x:c r="A258" s="4" t="n">
        <x:v>45901</x:v>
      </x:c>
      <x:c r="B258" s="30" t="n">
        <x:v>10631.54053</x:v>
      </x:c>
      <x:c r="C258" s="30" t="n">
        <x:v>4674.102166</x:v>
      </x:c>
      <x:c r="D258" s="30" t="n">
        <x:v>3922.582062</x:v>
      </x:c>
      <x:c r="E258" s="30" t="n">
        <x:v>2034.856302</x:v>
      </x:c>
      <x:c r="F258" s="2"/>
      <x:c r="G258" s="2"/>
    </x:row>
    <x:row r="259" ht="23" customHeight="1">
      <x:c r="A259" s="4" t="n">
        <x:v>45931</x:v>
      </x:c>
      <x:c r="B259" s="30" t="n">
        <x:v>10591.335541</x:v>
      </x:c>
      <x:c r="C259" s="30" t="n">
        <x:v>4469.04875</x:v>
      </x:c>
      <x:c r="D259" s="30" t="n">
        <x:v>4046.719766</x:v>
      </x:c>
      <x:c r="E259" s="30" t="n">
        <x:v>2075.567025</x:v>
      </x:c>
      <x:c r="F259" s="2"/>
      <x:c r="G259" s="2"/>
    </x:row>
    <x:row r="260" ht="23" customHeight="1">
      <x:c r="A260" s="4" t="n">
        <x:v>45962</x:v>
      </x:c>
      <x:c r="B260" s="30" t="n">
        <x:v>10711.334192</x:v>
      </x:c>
      <x:c r="C260" s="30" t="n">
        <x:v>4656.511036</x:v>
      </x:c>
      <x:c r="D260" s="30" t="n">
        <x:v>4027.227775</x:v>
      </x:c>
      <x:c r="E260" s="30" t="n">
        <x:v>2027.595381</x:v>
      </x:c>
      <x:c r="F260" s="2"/>
      <x:c r="G260" s="2"/>
    </x:row>
    <x:row r="261" ht="23" customHeight="1">
      <x:c r="A261" s="4" t="n">
        <x:v>45992</x:v>
      </x:c>
      <x:c r="B261" s="30" t="n">
        <x:v>13077.047231</x:v>
      </x:c>
      <x:c r="C261" s="30" t="n">
        <x:v>6562.09712</x:v>
      </x:c>
      <x:c r="D261" s="30" t="n">
        <x:v>4537.296748</x:v>
      </x:c>
      <x:c r="E261" s="30" t="n">
        <x:v>1977.653363</x:v>
      </x:c>
      <x:c r="F261" s="2"/>
      <x:c r="G261" s="2"/>
    </x:row>
    <x:row r="262" ht="23" customHeight="1">
      <x:c r="A262" s="4" t="n">
        <x:v>46023</x:v>
      </x:c>
      <x:c r="B262" s="30" t="n">
        <x:v>13145.374526</x:v>
      </x:c>
      <x:c r="C262" s="30" t="n">
        <x:v>6497.141379</x:v>
      </x:c>
      <x:c r="D262" s="30" t="n">
        <x:v>4635.405535</x:v>
      </x:c>
      <x:c r="E262" s="30" t="n">
        <x:v>2012.827612</x:v>
      </x:c>
      <x:c r="F262" s="2"/>
      <x:c r="G262" s="2"/>
    </x:row>
    <x:row r="263" ht="23" customHeight="1">
      <x:c r="A263" s="4" t="n">
        <x:v>46054</x:v>
      </x:c>
      <x:c r="B263" s="30" t="n">
        <x:v>11780.616317</x:v>
      </x:c>
      <x:c r="C263" s="30" t="n">
        <x:v>5561.497525</x:v>
      </x:c>
      <x:c r="D263" s="30" t="n">
        <x:v>4284.903268</x:v>
      </x:c>
      <x:c r="E263" s="30" t="n">
        <x:v>1934.215524</x:v>
      </x:c>
      <x:c r="F263" s="2"/>
      <x:c r="G263" s="2"/>
    </x:row>
    <x:row r="264" ht="23" customHeight="1">
      <x:c r="A264" s="4" t="n">
        <x:v>46082</x:v>
      </x:c>
      <x:c r="B264" s="30" t="n">
        <x:v>11945.035338</x:v>
      </x:c>
      <x:c r="C264" s="30" t="n">
        <x:v>5323.151414</x:v>
      </x:c>
      <x:c r="D264" s="30" t="n">
        <x:v>4382.336102</x:v>
      </x:c>
      <x:c r="E264" s="30" t="n">
        <x:v>2239.547822</x:v>
      </x:c>
      <x:c r="F264" s="2"/>
      <x:c r="G264" s="2"/>
    </x:row>
    <x:row r="265" ht="23" customHeight="1">
      <x:c r="A265" s="4" t="n">
        <x:v>46113</x:v>
      </x:c>
      <x:c r="B265" s="30" t="n">
        <x:v>10579.342832</x:v>
      </x:c>
      <x:c r="C265" s="30" t="n">
        <x:v>4463.562615</x:v>
      </x:c>
      <x:c r="D265" s="30" t="n">
        <x:v>3969.723032</x:v>
      </x:c>
      <x:c r="E265" s="30" t="n">
        <x:v>2146.057185</x:v>
      </x:c>
      <x:c r="F265" s="2"/>
      <x:c r="G265" s="2"/>
    </x:row>
    <x:row r="266" ht="23" customHeight="1">
      <x:c r="A266" s="4" t="n">
        <x:v>46143</x:v>
      </x:c>
      <x:c r="B266" s="30" t="n">
        <x:v>12151.531183</x:v>
      </x:c>
      <x:c r="C266" s="30" t="n">
        <x:v>5825.605102</x:v>
      </x:c>
      <x:c r="D266" s="30" t="n">
        <x:v>4075.780308</x:v>
      </x:c>
      <x:c r="E266" s="30" t="n">
        <x:v>2250.145773</x:v>
      </x:c>
      <x:c r="F266" s="2"/>
      <x:c r="G266" s="2"/>
    </x:row>
    <x:row r="267" ht="23" customHeight="1">
      <x:c r="A267" s="4" t="n">
        <x:v>46174</x:v>
      </x:c>
      <x:c r="B267" s="30" t="n">
        <x:v>12641.171137</x:v>
      </x:c>
      <x:c r="C267" s="30" t="n">
        <x:v>6339.790452</x:v>
      </x:c>
      <x:c r="D267" s="30" t="n">
        <x:v>4114.308993</x:v>
      </x:c>
      <x:c r="E267" s="30" t="n">
        <x:v>2187.071692</x:v>
      </x:c>
      <x:c r="F267" s="2"/>
      <x:c r="G267" s="2"/>
    </x:row>
    <x:row r="268" ht="23" customHeight="1">
      <x:c r="A268" s="4" t="n">
        <x:v>46204</x:v>
      </x:c>
      <x:c r="B268" s="30" t="n">
        <x:v>13063.214629</x:v>
      </x:c>
      <x:c r="C268" s="30" t="n">
        <x:v>6643.194389</x:v>
      </x:c>
      <x:c r="D268" s="30" t="n">
        <x:v>4211.154804</x:v>
      </x:c>
      <x:c r="E268" s="30" t="n">
        <x:v>2208.865436</x:v>
      </x:c>
      <x:c r="F268" s="2"/>
      <x:c r="G268" s="2"/>
    </x:row>
    <x:row r="269" ht="23" customHeight="1">
      <x:c r="A269" s="4" t="n">
        <x:v>46235</x:v>
      </x:c>
      <x:c r="B269" s="30" t="n">
        <x:v>12432.027715</x:v>
      </x:c>
      <x:c r="C269" s="30" t="n">
        <x:v>6093.065132</x:v>
      </x:c>
      <x:c r="D269" s="30" t="n">
        <x:v>4100.504724</x:v>
      </x:c>
      <x:c r="E269" s="30" t="n">
        <x:v>2238.457859</x:v>
      </x:c>
      <x:c r="F269" s="2"/>
      <x:c r="G269" s="2"/>
    </x:row>
  </x:sheetData>
  <x:pageMargins left="0.7" right="0.7" top="0.75" bottom="0.75" header="0.3" footer="0.3"/>
  <x:tableParts count="1">
    <x:tablePart xmlns:r="http://schemas.openxmlformats.org/officeDocument/2006/relationships" r:id="Re4cb09143a1d4a27"/>
  </x:tableParts>
</x:worksheet>
</file>