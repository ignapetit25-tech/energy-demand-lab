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f8daffa68c41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e" sheetId="1" r:id="R4f566175fc4340ee"/>
    <x:sheet xmlns:r="http://schemas.openxmlformats.org/officeDocument/2006/relationships" name="Datos" sheetId="2" r:id="R73dc8e9da7594994"/>
    <x:sheet xmlns:r="http://schemas.openxmlformats.org/officeDocument/2006/relationships" name="IA y energía" sheetId="3" r:id="Rdcde817532474147"/>
    <x:sheet xmlns:r="http://schemas.openxmlformats.org/officeDocument/2006/relationships" name="Concentración" sheetId="4" r:id="R15867b391ede4ce6"/>
    <x:sheet xmlns:r="http://schemas.openxmlformats.org/officeDocument/2006/relationships" name="Aluar" sheetId="5" r:id="R6246ce3052ae403f"/>
    <x:sheet xmlns:r="http://schemas.openxmlformats.org/officeDocument/2006/relationships" name="Actividades" sheetId="6" r:id="Rf7e0a5f4a78f44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mmm yyyy"/>
    <x:numFmt numFmtId="201" formatCode="#,##0.0;[Red](#,##0.0);0.0"/>
    <x:numFmt numFmtId="202" formatCode="+0.0%;[Red]-0.0%;0.0%"/>
    <x:numFmt numFmtId="203" formatCode="0.0%"/>
    <x:numFmt numFmtId="204" formatCode="+0.00;[Red]-0.00;0.00"/>
    <x:numFmt numFmtId="205" formatCode="0.000000"/>
    <x:numFmt numFmtId="206" formatCode="#,##0.000"/>
    <x:numFmt numFmtId="207" formatCode="0"/>
    <x:numFmt numFmtId="208" formatCode="#,##0"/>
    <x:numFmt numFmtId="209" formatCode="0%"/>
    <x:numFmt numFmtId="210" formatCode="#,##0.0"/>
    <x:numFmt numFmtId="211" formatCode="mmm yyyy&quot;  &quot;"/>
    <x:numFmt numFmtId="212" formatCode="0&quot;  &quot;"/>
  </x:numFmts>
  <x:fonts count="5">
    <x:font>
      <x:sz val="11"/>
      <x:name val="Carlito"/>
    </x:font>
    <x:font>
      <x:sz val="11"/>
      <x:color rgb="FF203B35"/>
      <x:name val="Arial"/>
    </x:font>
    <x:font>
      <x:b/>
      <x:sz val="17"/>
      <x:color rgb="FF175E4B"/>
      <x:name val="Arial"/>
    </x:font>
    <x:font>
      <x:b/>
      <x:sz val="11"/>
      <x:color rgb="FFFFFFFF"/>
      <x:name val="Arial"/>
    </x:font>
    <x:font>
      <x:b/>
      <x:sz val="11"/>
      <x:color rgb="FF203B35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0BF"/>
      </x:patternFill>
    </x:fill>
    <x:fill>
      <x:patternFill patternType="solid">
        <x:fgColor rgb="FF175E4B"/>
      </x:patternFill>
    </x:fill>
    <x:fill>
      <x:patternFill patternType="solid">
        <x:fgColor rgb="FFE8EDDF"/>
      </x:patternFill>
    </x:fill>
    <x:fill>
      <x:patternFill patternType="solid">
        <x:fgColor rgb="FF175E4B"/>
      </x:patternFill>
    </x:fill>
    <x:fill>
      <x:patternFill patternType="solid">
        <x:fgColor rgb="FF175E4B"/>
      </x:patternFill>
    </x:fill>
    <x:fill>
      <x:patternFill patternType="solid">
        <x:fgColor rgb="FF175E4B"/>
      </x:patternFill>
    </x:fill>
  </x:fills>
  <x:borders count="2">
    <x:border/>
    <x:border>
      <x:top style="thin">
        <x:color rgb="FF9CAF9F"/>
      </x:top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1" fontId="4" fillId="4" borderId="0" xfId="0" applyNumberFormat="1" applyFont="1" applyFill="1" applyBorder="1" applyAlignment="1">
      <x:alignment vertical="center"/>
    </x:xf>
    <x:xf numFmtId="202" fontId="4" fillId="4" borderId="0" xfId="0" applyNumberFormat="1" applyFont="1" applyFill="1" applyBorder="1" applyAlignment="1">
      <x:alignment vertical="center"/>
    </x:xf>
    <x:xf numFmtId="204" fontId="4" fillId="4" borderId="0" xfId="0" applyNumberFormat="1" applyFont="1" applyFill="1" applyBorder="1" applyAlignment="1">
      <x:alignment vertical="center"/>
    </x:xf>
    <x:xf numFmtId="203" fontId="4" fillId="4" borderId="0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201" fontId="4" fillId="4" borderId="1" xfId="0" applyNumberFormat="1" applyFont="1" applyFill="1" applyBorder="1" applyAlignment="1">
      <x:alignment vertical="center"/>
    </x:xf>
    <x:xf numFmtId="202" fontId="4" fillId="4" borderId="1" xfId="0" applyNumberFormat="1" applyFont="1" applyFill="1" applyBorder="1" applyAlignment="1">
      <x:alignment vertical="center"/>
    </x:xf>
    <x:xf numFmtId="204" fontId="4" fillId="4" borderId="1" xfId="0" applyNumberFormat="1" applyFont="1" applyFill="1" applyBorder="1" applyAlignment="1">
      <x:alignment vertical="center"/>
    </x:xf>
    <x:xf numFmtId="203" fontId="4" fillId="4" borderId="1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207" fontId="1" fillId="2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208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4" fillId="6" borderId="0" xfId="0" applyNumberFormat="1" applyFont="1" applyFill="1" applyBorder="1" applyAlignment="1">
      <x:alignment horizontal="center" vertical="center" wrapText="1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 wrapText="1"/>
    </x:xf>
    <x:xf numFmtId="21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horizontal="right" vertical="center"/>
    </x:xf>
    <x:xf numFmtId="0" fontId="4" fillId="7" borderId="0" xfId="0" applyNumberFormat="1" applyFont="1" applyFill="1" applyBorder="1" applyAlignment="1">
      <x:alignment horizontal="center"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211" fontId="1" fillId="0" borderId="0" xfId="0" applyNumberFormat="1" applyFont="1" applyFill="1" applyBorder="1" applyAlignment="1">
      <x:alignment vertical="center"/>
    </x:xf>
    <x:xf numFmtId="212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8176058f86a44d4" /><Relationship Type="http://schemas.openxmlformats.org/officeDocument/2006/relationships/theme" Target="/xl/theme/theme1.xml" Id="Rbc516e6fb1f64293" /><Relationship Type="http://schemas.openxmlformats.org/officeDocument/2006/relationships/sharedStrings" Target="/xl/sharedStrings.xml" Id="R372b4c48c6f34cdb" /><Relationship Type="http://schemas.openxmlformats.org/officeDocument/2006/relationships/worksheet" Target="/xl/worksheets/sheet1.xml" Id="R4f566175fc4340ee" /><Relationship Type="http://schemas.openxmlformats.org/officeDocument/2006/relationships/worksheet" Target="/xl/worksheets/sheet2.xml" Id="R73dc8e9da7594994" /><Relationship Type="http://schemas.openxmlformats.org/officeDocument/2006/relationships/worksheet" Target="/xl/worksheets/sheet3.xml" Id="Rdcde817532474147" /><Relationship Type="http://schemas.openxmlformats.org/officeDocument/2006/relationships/worksheet" Target="/xl/worksheets/sheet4.xml" Id="R15867b391ede4ce6" /><Relationship Type="http://schemas.openxmlformats.org/officeDocument/2006/relationships/worksheet" Target="/xl/worksheets/sheet5.xml" Id="R6246ce3052ae403f" /><Relationship Type="http://schemas.openxmlformats.org/officeDocument/2006/relationships/worksheet" Target="/xl/worksheets/sheet6.xml" Id="Rf7e0a5f4a78f44e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49b1650975346d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Demanda por sector: mes actual y año anterior (GWh)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Actual GWh</c:v>
          </c:tx>
          <c:spPr>
            <a:solidFill xmlns:a="http://schemas.openxmlformats.org/drawingml/2006/main">
              <a:srgbClr val="175E4B"/>
            </a:solidFill>
          </c:spPr>
          <c:cat>
            <c:strRef>
              <c:f>'Informe'!$A$10:$A$12</c:f>
              <c:strCache>
                <c:ptCount val="0"/>
              </c:strCache>
            </c:strRef>
          </c:cat>
          <c:val>
            <c:numRef>
              <c:f>'Informe'!$B$10:$B$12</c:f>
              <c:numCache>
                <c:formatCode>#,##0.0;[Red](#,##0.0);0.0</c:formatCode>
                <c:ptCount val="0"/>
              </c:numCache>
            </c:numRef>
          </c:val>
        </c:ser>
        <c:ser>
          <c:idx val="1"/>
          <c:order val="1"/>
          <c:tx>
            <c:v>Anterior GWh</c:v>
          </c:tx>
          <c:spPr>
            <a:solidFill xmlns:a="http://schemas.openxmlformats.org/drawingml/2006/main">
              <a:srgbClr val="98ABA0"/>
            </a:solidFill>
          </c:spPr>
          <c:cat>
            <c:strRef>
              <c:f>'Informe'!$A$10:$A$12</c:f>
              <c:strCache>
                <c:ptCount val="0"/>
              </c:strCache>
            </c:strRef>
          </c:cat>
          <c:val>
            <c:numRef>
              <c:f>'Informe'!$C$10:$C$12</c:f>
              <c:numCache>
                <c:formatCode>#,##0.0;[Red](#,##0.0);0.0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7</xdr:col>
      <xdr:colOff>0</xdr:colOff>
      <xdr:row>37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9b1650975346da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emandaMensual" displayName="DemandaMensual" ref="A9:E269" headerRowCount="1" totalsRowCount="0" totalsRowShown="0">
  <x:autoFilter ref="A9:E269"/>
  <x:tableColumns count="5">
    <x:tableColumn id="1" name="Mes"/>
    <x:tableColumn id="2" name="Total GWh"/>
    <x:tableColumn id="3" name="Residencial GWh"/>
    <x:tableColumn id="4" name="Comercio e industria GWh"/>
    <x:tableColumn id="5" name="Grandes usuarios GW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istoriaActividades" displayName="HistoriaActividades" ref="A9:J807" headerRowCount="1" totalsRowCount="0" totalsRowShown="0">
  <x:autoFilter ref="A9:J807"/>
  <x:tableColumns count="10">
    <x:tableColumn id="1" name="Mes"/>
    <x:tableColumn id="2" name="Actividad"/>
    <x:tableColumn id="3" name="Rama"/>
    <x:tableColumn id="4" name="Días"/>
    <x:tableColumn id="5" name="Período"/>
    <x:tableColumn id="6" name="MW medios"/>
    <x:tableColumn id="7" name="MW año anterior"/>
    <x:tableColumn id="8" name="Interanual"/>
    <x:tableColumn id="9" name="% de rama"/>
    <x:tableColumn id="10" name="Rama MW medio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9a66b06b3b14d1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f9a0b95f5a14fa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2.xml" Id="Rd7c272abd0c04878" /></Relationships>
</file>

<file path=xl/worksheets/sheet1.xml><?xml version="1.0" encoding="utf-8"?>
<x:worksheet xmlns:x="http://schemas.openxmlformats.org/spreadsheetml/2006/main">
  <x:sheetPr>
    <x:tabColor rgb="FF175E4B"/>
  </x:sheetPr>
  <x:sheetViews>
    <x:sheetView showGridLines="0" workbookViewId="0"/>
  </x:sheetViews>
  <x:sheetFormatPr defaultRowHeight="15"/>
  <x:cols>
    <x:col min="1" max="1" width="2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23" customHeight="1">
      <x:c r="A2" s="3" t="str">
        <x:v>Demanda eléctrica argentina</x:v>
      </x:c>
      <x:c r="B2" s="2"/>
      <x:c r="C2" s="2"/>
      <x:c r="D2" s="2"/>
      <x:c r="E2" s="2"/>
      <x:c r="F2" s="2"/>
      <x:c r="G2" s="2"/>
    </x:row>
    <x:row r="3" ht="23" customHeight="1">
      <x:c r="A3" s="2" t="str">
        <x:v>Diagnóstico mensual por sector · GWh</x:v>
      </x:c>
      <x:c r="B3" s="2"/>
      <x:c r="C3" s="2"/>
      <x:c r="D3" s="2"/>
      <x:c r="E3" s="2"/>
      <x:c r="F3" s="2"/>
      <x:c r="G3" s="2"/>
    </x:row>
    <x:row r="4" ht="23" customHeight="1">
      <x:c r="A4" s="2" t="str">
        <x:v>Mes editable (amarillo)</x:v>
      </x:c>
      <x:c r="B4" s="5" t="n">
        <x:v>46235</x:v>
      </x:c>
      <x:c r="C4" s="2"/>
      <x:c r="D4" s="2" t="str">
        <x:v>Mes de comparación</x:v>
      </x:c>
      <x:c r="E4" s="4" t="n">
        <x:f>DATE(YEAR(B4)-1,MONTH(B4),1)</x:f>
        <x:v>45870</x:v>
      </x:c>
      <x:c r="F4" s="2"/>
      <x:c r="G4" s="2"/>
    </x:row>
    <x:row r="5" ht="23" customHeight="1">
      <x:c r="A5" s="2" t="str">
        <x:v>Elegí un mes desde ene 2006 hasta ago 2026. Los cálculos y el gráfico se actualizan.</x:v>
      </x:c>
      <x:c r="B5" s="2"/>
      <x:c r="C5" s="2"/>
      <x:c r="D5" s="2"/>
      <x:c r="E5" s="2"/>
      <x:c r="F5" s="2"/>
      <x:c r="G5" s="2"/>
    </x:row>
    <x:row r="6" ht="23" customHeight="1">
      <x:c r="A6" s="2" t="str">
        <x:v>Cobertura mensual</x:v>
      </x:c>
      <x:c r="B6" s="2" t="str">
        <x:f>IF(AND(COUNTIFS('Datos'!$A$10:$A$269,B4)=1,COUNTIFS('Datos'!$A$10:$A$269,E4)=1),"Disponible","Mes sin cobertura")</x:f>
        <x:v>Disponible</x:v>
      </x:c>
      <x:c r="C6" s="2"/>
      <x:c r="D6" s="2"/>
      <x:c r="E6" s="2"/>
      <x:c r="F6" s="2"/>
      <x:c r="G6" s="2"/>
    </x:row>
    <x:row r="7" ht="23" customHeight="1">
      <x:c r="A7" s="2"/>
      <x:c r="B7" s="2"/>
      <x:c r="C7" s="2"/>
      <x:c r="D7" s="2"/>
      <x:c r="E7" s="2"/>
      <x:c r="F7" s="2"/>
      <x:c r="G7" s="2"/>
    </x:row>
    <x:row r="8" ht="23" customHeight="1">
      <x:c r="A8" s="2"/>
      <x:c r="B8" s="2"/>
      <x:c r="C8" s="2"/>
      <x:c r="D8" s="2"/>
      <x:c r="E8" s="2"/>
      <x:c r="F8" s="2"/>
      <x:c r="G8" s="2"/>
    </x:row>
    <x:row r="9" ht="38" customHeight="1">
      <x:c r="A9" s="9" t="str">
        <x:v>Sector</x:v>
      </x:c>
      <x:c r="B9" s="9" t="str">
        <x:v>Actual GWh</x:v>
      </x:c>
      <x:c r="C9" s="9" t="str">
        <x:v>Anterior GWh</x:v>
      </x:c>
      <x:c r="D9" s="9" t="str">
        <x:v>Cambio GWh</x:v>
      </x:c>
      <x:c r="E9" s="9" t="str">
        <x:v>Interanual %</x:v>
      </x:c>
      <x:c r="F9" s="9" t="str">
        <x:v>Aporte (pp)</x:v>
      </x:c>
      <x:c r="G9" s="9" t="str">
        <x:v>Peso actual %</x:v>
      </x:c>
    </x:row>
    <x:row r="10" ht="23" customHeight="1">
      <x:c r="A10" s="2" t="str">
        <x:v>Residencial</x:v>
      </x:c>
      <x:c r="B10" s="10" t="n">
        <x:f>IF($B$6="Disponible",SUMIFS('Datos'!$C$10:$C$269,'Datos'!$A$10:$A$269,$B$4),"n.a.")</x:f>
        <x:v>6093.065132</x:v>
      </x:c>
      <x:c r="C10" s="10" t="n">
        <x:f>IF($B$6="Disponible",SUMIFS('Datos'!$C$10:$C$269,'Datos'!$A$10:$A$269,$E$4),"n.a.")</x:f>
        <x:v>5598.129769</x:v>
      </x:c>
      <x:c r="D10" s="10" t="n">
        <x:f>IF($B$6="Disponible",B10-C10,"n.a.")</x:f>
        <x:v>494.9353629999996</x:v>
      </x:c>
      <x:c r="E10" s="11" t="n">
        <x:f>IF($B$6="Disponible",IF(C10=0,"n.a.",D10/C10),"n.a.")</x:f>
        <x:v>0.08841084137433464</x:v>
      </x:c>
      <x:c r="F10" s="13" t="n">
        <x:f>IF($B$6="Disponible",D10/$C$13*100,"n.a.")</x:f>
        <x:v>4.223446146353052</x:v>
      </x:c>
      <x:c r="G10" s="12" t="n">
        <x:f>IF($B$6="Disponible",B10/$B$13,"n.a.")</x:f>
        <x:v>0.4901103240502227</x:v>
      </x:c>
    </x:row>
    <x:row r="11" ht="23" customHeight="1">
      <x:c r="A11" s="2" t="str">
        <x:v>Comercio e industria</x:v>
      </x:c>
      <x:c r="B11" s="10" t="n">
        <x:f>IF($B$6="Disponible",SUMIFS('Datos'!$D$10:$D$269,'Datos'!$A$10:$A$269,$B$4),"n.a.")</x:f>
        <x:v>4100.504724</x:v>
      </x:c>
      <x:c r="C11" s="10" t="n">
        <x:f>IF($B$6="Disponible",SUMIFS('Datos'!$D$10:$D$269,'Datos'!$A$10:$A$269,$E$4),"n.a.")</x:f>
        <x:v>4122.105814</x:v>
      </x:c>
      <x:c r="D11" s="10" t="n">
        <x:f>IF($B$6="Disponible",B11-C11,"n.a.")</x:f>
        <x:v>-21.601089999999203</x:v>
      </x:c>
      <x:c r="E11" s="11" t="n">
        <x:f>IF($B$6="Disponible",IF(C11=0,"n.a.",D11/C11),"n.a.")</x:f>
        <x:v>-0.00524030458573745</x:v>
      </x:c>
      <x:c r="F11" s="13" t="n">
        <x:f>IF($B$6="Disponible",D11/$C$13*100,"n.a.")</x:f>
        <x:v>-0.18432920162450017</x:v>
      </x:c>
      <x:c r="G11" s="12" t="n">
        <x:f>IF($B$6="Disponible",B11/$B$13,"n.a.")</x:f>
        <x:v>0.32983394326353466</x:v>
      </x:c>
    </x:row>
    <x:row r="12" ht="23" customHeight="1">
      <x:c r="A12" s="2" t="str">
        <x:v>Grandes usuarios</x:v>
      </x:c>
      <x:c r="B12" s="10" t="n">
        <x:f>IF($B$6="Disponible",SUMIFS('Datos'!$E$10:$E$269,'Datos'!$A$10:$A$269,$B$4),"n.a.")</x:f>
        <x:v>2238.457859</x:v>
      </x:c>
      <x:c r="C12" s="10" t="n">
        <x:f>IF($B$6="Disponible",SUMIFS('Datos'!$E$10:$E$269,'Datos'!$A$10:$A$269,$E$4),"n.a.")</x:f>
        <x:v>1998.520756</x:v>
      </x:c>
      <x:c r="D12" s="10" t="n">
        <x:f>IF($B$6="Disponible",B12-C12,"n.a.")</x:f>
        <x:v>239.9371030000002</x:v>
      </x:c>
      <x:c r="E12" s="11" t="n">
        <x:f>IF($B$6="Disponible",IF(C12=0,"n.a.",D12/C12),"n.a.")</x:f>
        <x:v>0.12005734855625398</x:v>
      </x:c>
      <x:c r="F12" s="13" t="n">
        <x:f>IF($B$6="Disponible",D12/$C$13*100,"n.a.")</x:f>
        <x:v>2.047462171403718</x:v>
      </x:c>
      <x:c r="G12" s="12" t="n">
        <x:f>IF($B$6="Disponible",B12/$B$13,"n.a.")</x:f>
        <x:v>0.18005573268624264</x:v>
      </x:c>
    </x:row>
    <x:row r="13" ht="23" customHeight="1">
      <x:c r="A13" s="24" t="str">
        <x:v>Total</x:v>
      </x:c>
      <x:c r="B13" s="25" t="n">
        <x:f>IF(B6="Disponible",SUM(B10:B12),"n.a.")</x:f>
        <x:v>12432.027715</x:v>
      </x:c>
      <x:c r="C13" s="25" t="n">
        <x:f>IF(B6="Disponible",SUM(C10:C12),"n.a.")</x:f>
        <x:v>11718.756339</x:v>
      </x:c>
      <x:c r="D13" s="25" t="n">
        <x:f>IF(B6="Disponible",SUM(D10:D12),"n.a.")</x:f>
        <x:v>713.2713760000006</x:v>
      </x:c>
      <x:c r="E13" s="26" t="n">
        <x:f>IF(B6="Disponible",D13/C13,"n.a.")</x:f>
        <x:v>0.06086579116132271</x:v>
      </x:c>
      <x:c r="F13" s="27" t="n">
        <x:f>IF(B6="Disponible",SUM(F10:F12),"n.a.")</x:f>
        <x:v>6.08657911613227</x:v>
      </x:c>
      <x:c r="G13" s="28" t="n">
        <x:f>IF(B6="Disponible",SUM(G10:G12),"n.a.")</x:f>
        <x:v>1</x:v>
      </x:c>
    </x:row>
    <x:row r="14" ht="23" customHeight="1">
      <x:c r="A14" s="2"/>
      <x:c r="B14" s="2"/>
      <x:c r="C14" s="2"/>
      <x:c r="D14" s="2"/>
      <x:c r="E14" s="2"/>
      <x:c r="F14" s="2"/>
      <x:c r="G14" s="2"/>
    </x:row>
    <x:row r="15" ht="23" customHeight="1">
      <x:c r="A15" s="2" t="str">
        <x:v>Acumulado de enero al mes seleccionado frente al mismo período del año anterior</x:v>
      </x:c>
      <x:c r="B15" s="2"/>
      <x:c r="C15" s="2"/>
      <x:c r="D15" s="2"/>
      <x:c r="E15" s="2"/>
      <x:c r="F15" s="2"/>
      <x:c r="G15" s="2"/>
    </x:row>
    <x:row r="16" ht="23" customHeight="1">
      <x:c r="A16" s="2" t="str">
        <x:v>Cobertura acumulado</x:v>
      </x:c>
      <x:c r="B16" s="2" t="str">
        <x:f>IF(AND(COUNTIFS('Datos'!$A$10:$A$269,"&gt;="&amp;DATE(YEAR(B4),1,1),'Datos'!$A$10:$A$269,"&lt;="&amp;B4)=MONTH(B4),COUNTIFS('Datos'!$A$10:$A$269,"&gt;="&amp;DATE(YEAR(E4),1,1),'Datos'!$A$10:$A$269,"&lt;="&amp;E4)=MONTH(E4)),"Disponible","Faltan meses")</x:f>
        <x:v>Disponible</x:v>
      </x:c>
      <x:c r="C16" s="2"/>
      <x:c r="D16" s="2"/>
      <x:c r="E16" s="2"/>
      <x:c r="F16" s="2"/>
      <x:c r="G16" s="2"/>
    </x:row>
    <x:row r="17" ht="23" customHeight="1">
      <x:c r="A17" s="2"/>
      <x:c r="B17" s="2"/>
      <x:c r="C17" s="2"/>
      <x:c r="D17" s="2"/>
      <x:c r="E17" s="2"/>
      <x:c r="F17" s="2"/>
      <x:c r="G17" s="2"/>
    </x:row>
    <x:row r="18" ht="38" customHeight="1">
      <x:c r="A18" s="9" t="str">
        <x:v>Sector</x:v>
      </x:c>
      <x:c r="B18" s="9" t="str">
        <x:v>Actual GWh</x:v>
      </x:c>
      <x:c r="C18" s="9" t="str">
        <x:v>Anterior GWh</x:v>
      </x:c>
      <x:c r="D18" s="9" t="str">
        <x:v>Cambio GWh</x:v>
      </x:c>
      <x:c r="E18" s="9" t="str">
        <x:v>Interanual %</x:v>
      </x:c>
      <x:c r="F18" s="9" t="str">
        <x:v>Aporte (pp)</x:v>
      </x:c>
      <x:c r="G18" s="9" t="str">
        <x:v>Peso actual %</x:v>
      </x:c>
    </x:row>
    <x:row r="19" ht="23" customHeight="1">
      <x:c r="A19" s="2" t="str">
        <x:v>Residencial</x:v>
      </x:c>
      <x:c r="B19" s="10" t="n">
        <x:f>IF($B$16="Disponible",SUMIFS('Datos'!$C$10:$C$269,'Datos'!$A$10:$A$269,"&gt;="&amp;DATE(YEAR($B$4),1,1),'Datos'!$A$10:$A$269,"&lt;="&amp;$B$4),"n.a.")</x:f>
        <x:v>46747.008008000004</x:v>
      </x:c>
      <x:c r="C19" s="10" t="n">
        <x:f>IF($B$16="Disponible",SUMIFS('Datos'!$C$10:$C$269,'Datos'!$A$10:$A$269,"&gt;="&amp;DATE(YEAR($E$4),1,1),'Datos'!$A$10:$A$269,"&lt;="&amp;$E$4),"n.a.")</x:f>
        <x:v>46030.252918</x:v>
      </x:c>
      <x:c r="D19" s="10" t="n">
        <x:f>IF($B$16="Disponible",B19-C19,"n.a.")</x:f>
        <x:v>716.755090000006</x:v>
      </x:c>
      <x:c r="E19" s="11" t="n">
        <x:f>IF($B$16="Disponible",IF(C19=0,"n.a.",D19/C19),"n.a.")</x:f>
        <x:v>0.015571391521068983</x:v>
      </x:c>
      <x:c r="F19" s="13" t="n">
        <x:f>IF($B$16="Disponible",D19/$C$22*100,"n.a.")</x:f>
        <x:v>0.7447607303382221</x:v>
      </x:c>
      <x:c r="G19" s="12" t="n">
        <x:f>IF($B$16="Disponible",B19/$B$22,"n.a.")</x:f>
        <x:v>0.478287441734332</x:v>
      </x:c>
    </x:row>
    <x:row r="20" ht="23" customHeight="1">
      <x:c r="A20" s="2" t="str">
        <x:v>Comercio e industria</x:v>
      </x:c>
      <x:c r="B20" s="10" t="n">
        <x:f>IF($B$16="Disponible",SUMIFS('Datos'!$D$10:$D$269,'Datos'!$A$10:$A$269,"&gt;="&amp;DATE(YEAR($B$4),1,1),'Datos'!$A$10:$A$269,"&lt;="&amp;$B$4),"n.a.")</x:f>
        <x:v>33774.116766</x:v>
      </x:c>
      <x:c r="C20" s="10" t="n">
        <x:f>IF($B$16="Disponible",SUMIFS('Datos'!$D$10:$D$269,'Datos'!$A$10:$A$269,"&gt;="&amp;DATE(YEAR($E$4),1,1),'Datos'!$A$10:$A$269,"&lt;="&amp;$E$4),"n.a.")</x:f>
        <x:v>34488.125382000006</x:v>
      </x:c>
      <x:c r="D20" s="10" t="n">
        <x:f>IF($B$16="Disponible",B20-C20,"n.a.")</x:f>
        <x:v>-714.0086160000064</x:v>
      </x:c>
      <x:c r="E20" s="11" t="n">
        <x:f>IF($B$16="Disponible",IF(C20=0,"n.a.",D20/C20),"n.a.")</x:f>
        <x:v>-0.02070302772596219</x:v>
      </x:c>
      <x:c r="F20" s="13" t="n">
        <x:f>IF($B$16="Disponible",D20/$C$22*100,"n.a.")</x:f>
        <x:v>-0.7419069438627126</x:v>
      </x:c>
      <x:c r="G20" s="12" t="n">
        <x:f>IF($B$16="Disponible",B20/$B$22,"n.a.")</x:f>
        <x:v>0.34555657341925067</x:v>
      </x:c>
    </x:row>
    <x:row r="21" ht="23" customHeight="1">
      <x:c r="A21" s="2" t="str">
        <x:v>Grandes usuarios</x:v>
      </x:c>
      <x:c r="B21" s="10" t="n">
        <x:f>IF($B$16="Disponible",SUMIFS('Datos'!$E$10:$E$269,'Datos'!$A$10:$A$269,"&gt;="&amp;DATE(YEAR($B$4),1,1),'Datos'!$A$10:$A$269,"&lt;="&amp;$B$4),"n.a.")</x:f>
        <x:v>17217.188903000002</x:v>
      </x:c>
      <x:c r="C21" s="10" t="n">
        <x:f>IF($B$16="Disponible",SUMIFS('Datos'!$E$10:$E$269,'Datos'!$A$10:$A$269,"&gt;="&amp;DATE(YEAR($E$4),1,1),'Datos'!$A$10:$A$269,"&lt;="&amp;$E$4),"n.a.")</x:f>
        <x:v>15721.267643</x:v>
      </x:c>
      <x:c r="D21" s="10" t="n">
        <x:f>IF($B$16="Disponible",B21-C21,"n.a.")</x:f>
        <x:v>1495.9212600000028</x:v>
      </x:c>
      <x:c r="E21" s="11" t="n">
        <x:f>IF($B$16="Disponible",IF(C21=0,"n.a.",D21/C21),"n.a.")</x:f>
        <x:v>0.09515271248919116</x:v>
      </x:c>
      <x:c r="F21" s="13" t="n">
        <x:f>IF($B$16="Disponible",D21/$C$22*100,"n.a.")</x:f>
        <x:v>1.5543711173729735</x:v>
      </x:c>
      <x:c r="G21" s="12" t="n">
        <x:f>IF($B$16="Disponible",B21/$B$22,"n.a.")</x:f>
        <x:v>0.1761559848464174</x:v>
      </x:c>
    </x:row>
    <x:row r="22" ht="23" customHeight="1">
      <x:c r="A22" s="24" t="str">
        <x:v>Total</x:v>
      </x:c>
      <x:c r="B22" s="25" t="n">
        <x:f>IF(B16="Disponible",SUM(B19:B21),"n.a.")</x:f>
        <x:v>97738.313677</x:v>
      </x:c>
      <x:c r="C22" s="25" t="n">
        <x:f>IF(B16="Disponible",SUM(C19:C21),"n.a.")</x:f>
        <x:v>96239.64594300001</x:v>
      </x:c>
      <x:c r="D22" s="25" t="n">
        <x:f>IF(B16="Disponible",SUM(D19:D21),"n.a.")</x:f>
        <x:v>1498.6677340000024</x:v>
      </x:c>
      <x:c r="E22" s="26" t="n">
        <x:f>IF(B16="Disponible",D22/C22,"n.a.")</x:f>
        <x:v>0.01557224903848483</x:v>
      </x:c>
      <x:c r="F22" s="27" t="n">
        <x:f>IF(B16="Disponible",SUM(F19:F21),"n.a.")</x:f>
        <x:v>1.5572249038484829</x:v>
      </x:c>
      <x:c r="G22" s="28" t="n">
        <x:f>IF(B16="Disponible",SUM(G19:G21),"n.a.")</x:f>
        <x:v>1</x:v>
      </x:c>
    </x:row>
    <x:row r="23" ht="23" customHeight="1">
      <x:c r="A23" s="2"/>
      <x:c r="B23" s="2"/>
      <x:c r="C23" s="2"/>
      <x:c r="D23" s="2"/>
      <x:c r="E23" s="2"/>
      <x:c r="F23" s="2"/>
      <x:c r="G23" s="2"/>
    </x:row>
    <x:row r="24" ht="23" customHeight="1">
      <x:c r="A24" s="2"/>
      <x:c r="B24" s="2"/>
      <x:c r="C24" s="2"/>
      <x:c r="D24" s="2"/>
      <x:c r="E24" s="2"/>
      <x:c r="F24" s="2"/>
      <x:c r="G24" s="2"/>
    </x:row>
    <x:row r="25" ht="23" customHeight="1">
      <x:c r="A25" s="2"/>
      <x:c r="B25" s="2"/>
      <x:c r="C25" s="2"/>
      <x:c r="D25" s="2"/>
      <x:c r="E25" s="2"/>
      <x:c r="F25" s="2"/>
      <x:c r="G25" s="2"/>
    </x:row>
    <x:row r="26" ht="23" customHeight="1">
      <x:c r="A26" s="2"/>
      <x:c r="B26" s="2"/>
      <x:c r="C26" s="2"/>
      <x:c r="D26" s="2"/>
      <x:c r="E26" s="2"/>
      <x:c r="F26" s="2"/>
      <x:c r="G26" s="2"/>
    </x:row>
    <x:row r="27" ht="23" customHeight="1">
      <x:c r="A27" s="2"/>
      <x:c r="B27" s="2"/>
      <x:c r="C27" s="2"/>
      <x:c r="D27" s="2"/>
      <x:c r="E27" s="2"/>
      <x:c r="F27" s="2"/>
      <x:c r="G27" s="2"/>
    </x:row>
    <x:row r="28" ht="23" customHeight="1">
      <x:c r="A28" s="2"/>
      <x:c r="B28" s="2"/>
      <x:c r="C28" s="2"/>
      <x:c r="D28" s="2"/>
      <x:c r="E28" s="2"/>
      <x:c r="F28" s="2"/>
      <x:c r="G28" s="2"/>
    </x:row>
    <x:row r="29" ht="23" customHeight="1">
      <x:c r="A29" s="2"/>
      <x:c r="B29" s="2"/>
      <x:c r="C29" s="2"/>
      <x:c r="D29" s="2"/>
      <x:c r="E29" s="2"/>
      <x:c r="F29" s="2"/>
      <x:c r="G29" s="2"/>
    </x:row>
    <x:row r="30" ht="23" customHeight="1">
      <x:c r="A30" s="2"/>
      <x:c r="B30" s="2"/>
      <x:c r="C30" s="2"/>
      <x:c r="D30" s="2"/>
      <x:c r="E30" s="2"/>
      <x:c r="F30" s="2"/>
      <x:c r="G30" s="2"/>
    </x:row>
    <x:row r="31" ht="23" customHeight="1">
      <x:c r="A31" s="2"/>
      <x:c r="B31" s="2"/>
      <x:c r="C31" s="2"/>
      <x:c r="D31" s="2"/>
      <x:c r="E31" s="2"/>
      <x:c r="F31" s="2"/>
      <x:c r="G31" s="2"/>
    </x:row>
    <x:row r="32" ht="23" customHeight="1">
      <x:c r="A32" s="2"/>
      <x:c r="B32" s="2"/>
      <x:c r="C32" s="2"/>
      <x:c r="D32" s="2"/>
      <x:c r="E32" s="2"/>
      <x:c r="F32" s="2"/>
      <x:c r="G32" s="2"/>
    </x:row>
    <x:row r="33" ht="23" customHeight="1">
      <x:c r="A33" s="2"/>
      <x:c r="B33" s="2"/>
      <x:c r="C33" s="2"/>
      <x:c r="D33" s="2"/>
      <x:c r="E33" s="2"/>
      <x:c r="F33" s="2"/>
      <x:c r="G33" s="2"/>
    </x:row>
    <x:row r="34" ht="23" customHeight="1">
      <x:c r="A34" s="2"/>
      <x:c r="B34" s="2"/>
      <x:c r="C34" s="2"/>
      <x:c r="D34" s="2"/>
      <x:c r="E34" s="2"/>
      <x:c r="F34" s="2"/>
      <x:c r="G34" s="2"/>
    </x:row>
    <x:row r="35" ht="23" customHeight="1">
      <x:c r="A35" s="2"/>
      <x:c r="B35" s="2"/>
      <x:c r="C35" s="2"/>
      <x:c r="D35" s="2"/>
      <x:c r="E35" s="2"/>
      <x:c r="F35" s="2"/>
      <x:c r="G35" s="2"/>
    </x:row>
    <x:row r="36" ht="23" customHeight="1">
      <x:c r="A36" s="2"/>
      <x:c r="B36" s="2"/>
      <x:c r="C36" s="2"/>
      <x:c r="D36" s="2"/>
      <x:c r="E36" s="2"/>
      <x:c r="F36" s="2"/>
      <x:c r="G36" s="2"/>
    </x:row>
    <x:row r="37" ht="23" customHeight="1">
      <x:c r="A37" s="2"/>
      <x:c r="B37" s="2"/>
      <x:c r="C37" s="2"/>
      <x:c r="D37" s="2"/>
      <x:c r="E37" s="2"/>
      <x:c r="F37" s="2"/>
      <x:c r="G37" s="2"/>
    </x:row>
    <x:row r="38" ht="23" customHeight="1">
      <x:c r="A38" s="2" t="str">
        <x:v>Aporte (pp): cambio del sector / total del período anterior × 100. No es su propia tasa de crecimiento.</x:v>
      </x:c>
      <x:c r="B38" s="2"/>
      <x:c r="C38" s="2"/>
      <x:c r="D38" s="2"/>
      <x:c r="E38" s="2"/>
      <x:c r="F38" s="2"/>
      <x:c r="G38" s="2"/>
    </x:row>
    <x:row r="39" ht="23" customHeight="1">
      <x:c r="A39" s="2" t="str">
        <x:v>Datos sin ajuste climático ni estacional. Los aportes son contables y no identifican causas.</x:v>
      </x:c>
      <x:c r="B39" s="2"/>
      <x:c r="C39" s="2"/>
      <x:c r="D39" s="2"/>
      <x:c r="E39" s="2"/>
      <x:c r="F39" s="2"/>
      <x:c r="G39" s="2"/>
    </x:row>
    <x:row r="40" ht="23" customHeight="1">
      <x:c r="A40" s="2" t="str">
        <x:v>Conciliación con fuente (GWh)</x:v>
      </x:c>
      <x:c r="B40" s="29" t="n">
        <x:f>IF(B6="Disponible",B13-SUMIFS('Datos'!$B$10:$B$269,'Datos'!$A$10:$A$269,B4),"n.a.")</x:f>
        <x:v>0</x:v>
      </x:c>
      <x:c r="C40" s="2"/>
      <x:c r="D40" s="2"/>
      <x:c r="E40" s="2"/>
      <x:c r="F40" s="2"/>
      <x:c r="G40" s="2"/>
    </x:row>
    <x:row r="41" ht="23" customHeight="1">
      <x:c r="A41" s="2" t="str">
        <x:v>Datos originales y fuente en la hoja Datos. El archivo no descarga publicaciones nuevas.</x:v>
      </x:c>
      <x:c r="B41" s="2"/>
      <x:c r="C41" s="2"/>
      <x:c r="D41" s="2"/>
      <x:c r="E41" s="2"/>
      <x:c r="F41" s="2"/>
      <x:c r="G41" s="2"/>
    </x:row>
    <x:row r="42" ht="23" customHeight="1">
      <x:c r="A42" s="2" t="str">
        <x:v>IA y electricidad: evidencia internacional y límites de atribución en la hoja IA y energía.</x:v>
      </x:c>
      <x:c r="B42" s="2"/>
      <x:c r="C42" s="2"/>
      <x:c r="D42" s="2"/>
      <x:c r="E42" s="2"/>
      <x:c r="F42" s="2"/>
      <x:c r="G42" s="2"/>
    </x:row>
  </x:sheetData>
  <x:dataValidations count="1">
    <x:dataValidation type="list" sqref="B4">
      <x:formula1>INDIRECT("'Datos'!$A$22:$A$269")</x:formula1>
    </x:dataValidation>
  </x:dataValidations>
  <x:pageMargins left="0.7" right="0.7" top="0.75" bottom="0.75" header="0.3" footer="0.3"/>
  <x:drawing xmlns:r="http://schemas.openxmlformats.org/officeDocument/2006/relationships" r:id="R49a66b06b3b14d1e"/>
</x:worksheet>
</file>

<file path=xl/worksheets/sheet2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23" customHeight="1">
      <x:c r="A2" s="3" t="str">
        <x:v>Datos mensuales originales (GWh)</x:v>
      </x:c>
      <x:c r="B2" s="2"/>
      <x:c r="C2" s="2"/>
      <x:c r="D2" s="2"/>
      <x:c r="E2" s="2"/>
      <x:c r="F2" s="2"/>
      <x:c r="G2" s="2"/>
    </x:row>
    <x:row r="3" ht="23" customHeight="1">
      <x:c r="A3" s="2" t="str">
        <x:v>Fuente: Datos Argentina / CAMMESA. Consulta oficial en el enlace de A4.</x:v>
      </x:c>
      <x:c r="B3" s="2"/>
      <x:c r="C3" s="2"/>
      <x:c r="D3" s="2"/>
      <x:c r="E3" s="2"/>
      <x:c r="F3" s="2"/>
      <x:c r="G3" s="2"/>
    </x:row>
    <x:row r="4" ht="23" customHeight="1">
      <x:c r="A4" s="2" t="str">
        <x:v>https://datos.gob.ar/dataset/sspm-demanda-electricidad</x:v>
      </x:c>
      <x:c r="B4" s="2"/>
      <x:c r="C4" s="2"/>
      <x:c r="D4" s="2"/>
      <x:c r="E4" s="2"/>
      <x:c r="F4" s="2"/>
      <x:c r="G4" s="2"/>
    </x:row>
    <x:row r="5" ht="23" customHeight="1">
      <x:c r="A5" s="2" t="str">
        <x:v>Descarga: 2026-09-20. Histórico revisable: enero 2005–agosto 2026.</x:v>
      </x:c>
      <x:c r="B5" s="2"/>
      <x:c r="C5" s="2"/>
      <x:c r="D5" s="2"/>
      <x:c r="E5" s="2"/>
      <x:c r="F5" s="2"/>
      <x:c r="G5" s="2"/>
    </x:row>
    <x:row r="6" ht="23" customHeight="1">
      <x:c r="A6" s="2" t="str">
        <x:v>Comercio e industria conserva la categoría conjunta de la fuente. Grandes usuarios no equivale a industria.</x:v>
      </x:c>
      <x:c r="B6" s="2"/>
      <x:c r="C6" s="2"/>
      <x:c r="D6" s="2"/>
      <x:c r="E6" s="2"/>
      <x:c r="F6" s="2"/>
      <x:c r="G6" s="2"/>
    </x:row>
    <x:row r="7" ht="23" customHeight="1">
      <x:c r="A7" s="2" t="str">
        <x:v>SHA-256: 31d390ba985e387f964c213c854979ac39e1d382ee40d7b8b45fbfb7aa90f04b</x:v>
      </x:c>
      <x:c r="B7" s="2"/>
      <x:c r="C7" s="2"/>
      <x:c r="D7" s="2"/>
      <x:c r="E7" s="2"/>
      <x:c r="F7" s="2"/>
      <x:c r="G7" s="2"/>
    </x:row>
    <x:row r="8" ht="23" customHeight="1">
      <x:c r="A8" s="2"/>
      <x:c r="B8" s="2"/>
      <x:c r="C8" s="2"/>
      <x:c r="D8" s="2"/>
      <x:c r="E8" s="2"/>
      <x:c r="F8" s="2"/>
      <x:c r="G8" s="2"/>
    </x:row>
    <x:row r="9" ht="40" customHeight="1">
      <x:c r="A9" s="9" t="str">
        <x:v>Mes</x:v>
      </x:c>
      <x:c r="B9" s="9" t="str">
        <x:v>Total GWh</x:v>
      </x:c>
      <x:c r="C9" s="9" t="str">
        <x:v>Residencial GWh</x:v>
      </x:c>
      <x:c r="D9" s="9" t="str">
        <x:v>Comercio e industria GWh</x:v>
      </x:c>
      <x:c r="E9" s="9" t="str">
        <x:v>Grandes usuarios GWh</x:v>
      </x:c>
      <x:c r="F9" s="2"/>
      <x:c r="G9" s="2"/>
    </x:row>
    <x:row r="10" ht="23" customHeight="1">
      <x:c r="A10" s="4" t="n">
        <x:v>38353</x:v>
      </x:c>
      <x:c r="B10" s="30" t="n">
        <x:v>7983.28</x:v>
      </x:c>
      <x:c r="C10" s="30" t="n">
        <x:v>2717.678</x:v>
      </x:c>
      <x:c r="D10" s="30" t="n">
        <x:v>3750.612</x:v>
      </x:c>
      <x:c r="E10" s="30" t="n">
        <x:v>1514.99</x:v>
      </x:c>
      <x:c r="F10" s="2"/>
      <x:c r="G10" s="2"/>
    </x:row>
    <x:row r="11" ht="23" customHeight="1">
      <x:c r="A11" s="4" t="n">
        <x:v>38384</x:v>
      </x:c>
      <x:c r="B11" s="30" t="n">
        <x:v>7248.88</x:v>
      </x:c>
      <x:c r="C11" s="30" t="n">
        <x:v>2298.744</x:v>
      </x:c>
      <x:c r="D11" s="30" t="n">
        <x:v>3479.876</x:v>
      </x:c>
      <x:c r="E11" s="30" t="n">
        <x:v>1470.26</x:v>
      </x:c>
      <x:c r="F11" s="2"/>
      <x:c r="G11" s="2"/>
    </x:row>
    <x:row r="12" ht="23" customHeight="1">
      <x:c r="A12" s="4" t="n">
        <x:v>38412</x:v>
      </x:c>
      <x:c r="B12" s="30" t="n">
        <x:v>7689.91</x:v>
      </x:c>
      <x:c r="C12" s="30" t="n">
        <x:v>2384.287</x:v>
      </x:c>
      <x:c r="D12" s="30" t="n">
        <x:v>3690.043</x:v>
      </x:c>
      <x:c r="E12" s="30" t="n">
        <x:v>1615.58</x:v>
      </x:c>
      <x:c r="F12" s="2"/>
      <x:c r="G12" s="2"/>
    </x:row>
    <x:row r="13" ht="23" customHeight="1">
      <x:c r="A13" s="4" t="n">
        <x:v>38443</x:v>
      </x:c>
      <x:c r="B13" s="30" t="n">
        <x:v>7213.14</x:v>
      </x:c>
      <x:c r="C13" s="30" t="n">
        <x:v>2184.768</x:v>
      </x:c>
      <x:c r="D13" s="30" t="n">
        <x:v>3492.142</x:v>
      </x:c>
      <x:c r="E13" s="30" t="n">
        <x:v>1536.23</x:v>
      </x:c>
      <x:c r="F13" s="2"/>
      <x:c r="G13" s="2"/>
    </x:row>
    <x:row r="14" ht="23" customHeight="1">
      <x:c r="A14" s="4" t="n">
        <x:v>38473</x:v>
      </x:c>
      <x:c r="B14" s="30" t="n">
        <x:v>7668.55</x:v>
      </x:c>
      <x:c r="C14" s="30" t="n">
        <x:v>2479.291</x:v>
      </x:c>
      <x:c r="D14" s="30" t="n">
        <x:v>3597.299</x:v>
      </x:c>
      <x:c r="E14" s="30" t="n">
        <x:v>1591.96</x:v>
      </x:c>
      <x:c r="F14" s="2"/>
      <x:c r="G14" s="2"/>
    </x:row>
    <x:row r="15" ht="23" customHeight="1">
      <x:c r="A15" s="4" t="n">
        <x:v>38504</x:v>
      </x:c>
      <x:c r="B15" s="30" t="n">
        <x:v>7719.71</x:v>
      </x:c>
      <x:c r="C15" s="30" t="n">
        <x:v>2679.416</x:v>
      </x:c>
      <x:c r="D15" s="30" t="n">
        <x:v>3498.704</x:v>
      </x:c>
      <x:c r="E15" s="30" t="n">
        <x:v>1541.59</x:v>
      </x:c>
      <x:c r="F15" s="2"/>
      <x:c r="G15" s="2"/>
    </x:row>
    <x:row r="16" ht="23" customHeight="1">
      <x:c r="A16" s="4" t="n">
        <x:v>38534</x:v>
      </x:c>
      <x:c r="B16" s="30" t="n">
        <x:v>8061.62</x:v>
      </x:c>
      <x:c r="C16" s="30" t="n">
        <x:v>2896.148</x:v>
      </x:c>
      <x:c r="D16" s="30" t="n">
        <x:v>3628.562</x:v>
      </x:c>
      <x:c r="E16" s="30" t="n">
        <x:v>1536.91</x:v>
      </x:c>
      <x:c r="F16" s="2"/>
      <x:c r="G16" s="2"/>
    </x:row>
    <x:row r="17" ht="23" customHeight="1">
      <x:c r="A17" s="4" t="n">
        <x:v>38565</x:v>
      </x:c>
      <x:c r="B17" s="30" t="n">
        <x:v>7953.5</x:v>
      </x:c>
      <x:c r="C17" s="30" t="n">
        <x:v>2737.632</x:v>
      </x:c>
      <x:c r="D17" s="30" t="n">
        <x:v>3587.508</x:v>
      </x:c>
      <x:c r="E17" s="30" t="n">
        <x:v>1628.36</x:v>
      </x:c>
      <x:c r="F17" s="2"/>
      <x:c r="G17" s="2"/>
    </x:row>
    <x:row r="18" ht="23" customHeight="1">
      <x:c r="A18" s="4" t="n">
        <x:v>38596</x:v>
      </x:c>
      <x:c r="B18" s="30" t="n">
        <x:v>7508.4</x:v>
      </x:c>
      <x:c r="C18" s="30" t="n">
        <x:v>2454.398</x:v>
      </x:c>
      <x:c r="D18" s="30" t="n">
        <x:v>3449.992</x:v>
      </x:c>
      <x:c r="E18" s="30" t="n">
        <x:v>1604.01</x:v>
      </x:c>
      <x:c r="F18" s="2"/>
      <x:c r="G18" s="2"/>
    </x:row>
    <x:row r="19" ht="23" customHeight="1">
      <x:c r="A19" s="4" t="n">
        <x:v>38626</x:v>
      </x:c>
      <x:c r="B19" s="30" t="n">
        <x:v>7403.31</x:v>
      </x:c>
      <x:c r="C19" s="30" t="n">
        <x:v>2266.127</x:v>
      </x:c>
      <x:c r="D19" s="30" t="n">
        <x:v>3495.353</x:v>
      </x:c>
      <x:c r="E19" s="30" t="n">
        <x:v>1641.83</x:v>
      </x:c>
      <x:c r="F19" s="2"/>
      <x:c r="G19" s="2"/>
    </x:row>
    <x:row r="20" ht="23" customHeight="1">
      <x:c r="A20" s="4" t="n">
        <x:v>38657</x:v>
      </x:c>
      <x:c r="B20" s="30" t="n">
        <x:v>7784.34</x:v>
      </x:c>
      <x:c r="C20" s="30" t="n">
        <x:v>2415.443</x:v>
      </x:c>
      <x:c r="D20" s="30" t="n">
        <x:v>3642.277</x:v>
      </x:c>
      <x:c r="E20" s="30" t="n">
        <x:v>1726.62</x:v>
      </x:c>
      <x:c r="F20" s="2"/>
      <x:c r="G20" s="2"/>
    </x:row>
    <x:row r="21" ht="23" customHeight="1">
      <x:c r="A21" s="4" t="n">
        <x:v>38687</x:v>
      </x:c>
      <x:c r="B21" s="30" t="n">
        <x:v>8098.31</x:v>
      </x:c>
      <x:c r="C21" s="30" t="n">
        <x:v>2572.563</x:v>
      </x:c>
      <x:c r="D21" s="30" t="n">
        <x:v>3790.507</x:v>
      </x:c>
      <x:c r="E21" s="30" t="n">
        <x:v>1735.24</x:v>
      </x:c>
      <x:c r="F21" s="2"/>
      <x:c r="G21" s="2"/>
    </x:row>
    <x:row r="22" ht="23" customHeight="1">
      <x:c r="A22" s="4" t="n">
        <x:v>38718</x:v>
      </x:c>
      <x:c r="B22" s="30" t="n">
        <x:v>7957.9</x:v>
      </x:c>
      <x:c r="C22" s="30" t="n">
        <x:v>2830.373</x:v>
      </x:c>
      <x:c r="D22" s="30" t="n">
        <x:v>3428.727</x:v>
      </x:c>
      <x:c r="E22" s="30" t="n">
        <x:v>1698.8</x:v>
      </x:c>
      <x:c r="F22" s="2"/>
      <x:c r="G22" s="2"/>
    </x:row>
    <x:row r="23" ht="23" customHeight="1">
      <x:c r="A23" s="4" t="n">
        <x:v>38749</x:v>
      </x:c>
      <x:c r="B23" s="30" t="n">
        <x:v>7395.7</x:v>
      </x:c>
      <x:c r="C23" s="30" t="n">
        <x:v>2515.396</x:v>
      </x:c>
      <x:c r="D23" s="30" t="n">
        <x:v>3261.454</x:v>
      </x:c>
      <x:c r="E23" s="30" t="n">
        <x:v>1618.85</x:v>
      </x:c>
      <x:c r="F23" s="2"/>
      <x:c r="G23" s="2"/>
    </x:row>
    <x:row r="24" ht="23" customHeight="1">
      <x:c r="A24" s="4" t="n">
        <x:v>38777</x:v>
      </x:c>
      <x:c r="B24" s="30" t="n">
        <x:v>8037.6</x:v>
      </x:c>
      <x:c r="C24" s="30" t="n">
        <x:v>2474.69</x:v>
      </x:c>
      <x:c r="D24" s="30" t="n">
        <x:v>3540.41</x:v>
      </x:c>
      <x:c r="E24" s="30" t="n">
        <x:v>2022.5</x:v>
      </x:c>
      <x:c r="F24" s="2"/>
      <x:c r="G24" s="2"/>
    </x:row>
    <x:row r="25" ht="23" customHeight="1">
      <x:c r="A25" s="4" t="n">
        <x:v>38808</x:v>
      </x:c>
      <x:c r="B25" s="30" t="n">
        <x:v>7555.6</x:v>
      </x:c>
      <x:c r="C25" s="30" t="n">
        <x:v>2258.193</x:v>
      </x:c>
      <x:c r="D25" s="30" t="n">
        <x:v>3318.147</x:v>
      </x:c>
      <x:c r="E25" s="30" t="n">
        <x:v>1979.26</x:v>
      </x:c>
      <x:c r="F25" s="2"/>
      <x:c r="G25" s="2"/>
    </x:row>
    <x:row r="26" ht="23" customHeight="1">
      <x:c r="A26" s="4" t="n">
        <x:v>38838</x:v>
      </x:c>
      <x:c r="B26" s="30" t="n">
        <x:v>8116.1</x:v>
      </x:c>
      <x:c r="C26" s="30" t="n">
        <x:v>2696.051</x:v>
      </x:c>
      <x:c r="D26" s="30" t="n">
        <x:v>3416.579</x:v>
      </x:c>
      <x:c r="E26" s="30" t="n">
        <x:v>2003.47</x:v>
      </x:c>
      <x:c r="F26" s="2"/>
      <x:c r="G26" s="2"/>
    </x:row>
    <x:row r="27" ht="23" customHeight="1">
      <x:c r="A27" s="4" t="n">
        <x:v>38869</x:v>
      </x:c>
      <x:c r="B27" s="30" t="n">
        <x:v>8248.9</x:v>
      </x:c>
      <x:c r="C27" s="30" t="n">
        <x:v>2963.715</x:v>
      </x:c>
      <x:c r="D27" s="30" t="n">
        <x:v>3374.495</x:v>
      </x:c>
      <x:c r="E27" s="30" t="n">
        <x:v>1910.69</x:v>
      </x:c>
      <x:c r="F27" s="2"/>
      <x:c r="G27" s="2"/>
    </x:row>
    <x:row r="28" ht="23" customHeight="1">
      <x:c r="A28" s="4" t="n">
        <x:v>38899</x:v>
      </x:c>
      <x:c r="B28" s="30" t="n">
        <x:v>8313.5</x:v>
      </x:c>
      <x:c r="C28" s="30" t="n">
        <x:v>2993.796</x:v>
      </x:c>
      <x:c r="D28" s="30" t="n">
        <x:v>3392.594</x:v>
      </x:c>
      <x:c r="E28" s="30" t="n">
        <x:v>1927.11</x:v>
      </x:c>
      <x:c r="F28" s="2"/>
      <x:c r="G28" s="2"/>
    </x:row>
    <x:row r="29" ht="23" customHeight="1">
      <x:c r="A29" s="4" t="n">
        <x:v>38930</x:v>
      </x:c>
      <x:c r="B29" s="30" t="n">
        <x:v>8497</x:v>
      </x:c>
      <x:c r="C29" s="30" t="n">
        <x:v>3107.201</x:v>
      </x:c>
      <x:c r="D29" s="30" t="n">
        <x:v>3472.059</x:v>
      </x:c>
      <x:c r="E29" s="30" t="n">
        <x:v>1917.74</x:v>
      </x:c>
      <x:c r="F29" s="2"/>
      <x:c r="G29" s="2"/>
    </x:row>
    <x:row r="30" ht="23" customHeight="1">
      <x:c r="A30" s="4" t="n">
        <x:v>38961</x:v>
      </x:c>
      <x:c r="B30" s="30" t="n">
        <x:v>7828.4</x:v>
      </x:c>
      <x:c r="C30" s="30" t="n">
        <x:v>2614.886</x:v>
      </x:c>
      <x:c r="D30" s="30" t="n">
        <x:v>3291.477</x:v>
      </x:c>
      <x:c r="E30" s="30" t="n">
        <x:v>1922.037</x:v>
      </x:c>
      <x:c r="F30" s="2"/>
      <x:c r="G30" s="2"/>
    </x:row>
    <x:row r="31" ht="23" customHeight="1">
      <x:c r="A31" s="4" t="n">
        <x:v>38991</x:v>
      </x:c>
      <x:c r="B31" s="30" t="n">
        <x:v>8025.1</x:v>
      </x:c>
      <x:c r="C31" s="30" t="n">
        <x:v>2530.829</x:v>
      </x:c>
      <x:c r="D31" s="30" t="n">
        <x:v>3503.241</x:v>
      </x:c>
      <x:c r="E31" s="30" t="n">
        <x:v>1991.03</x:v>
      </x:c>
      <x:c r="F31" s="2"/>
      <x:c r="G31" s="2"/>
    </x:row>
    <x:row r="32" ht="23" customHeight="1">
      <x:c r="A32" s="4" t="n">
        <x:v>39022</x:v>
      </x:c>
      <x:c r="B32" s="30" t="n">
        <x:v>7998.1</x:v>
      </x:c>
      <x:c r="C32" s="30" t="n">
        <x:v>2551.555</x:v>
      </x:c>
      <x:c r="D32" s="30" t="n">
        <x:v>3489.625</x:v>
      </x:c>
      <x:c r="E32" s="30" t="n">
        <x:v>1956.92</x:v>
      </x:c>
      <x:c r="F32" s="2"/>
      <x:c r="G32" s="2"/>
    </x:row>
    <x:row r="33" ht="23" customHeight="1">
      <x:c r="A33" s="4" t="n">
        <x:v>39052</x:v>
      </x:c>
      <x:c r="B33" s="30" t="n">
        <x:v>8838.9</x:v>
      </x:c>
      <x:c r="C33" s="30" t="n">
        <x:v>3071.673</x:v>
      </x:c>
      <x:c r="D33" s="30" t="n">
        <x:v>3802.947</x:v>
      </x:c>
      <x:c r="E33" s="30" t="n">
        <x:v>1964.28</x:v>
      </x:c>
      <x:c r="F33" s="2"/>
      <x:c r="G33" s="2"/>
    </x:row>
    <x:row r="34" ht="23" customHeight="1">
      <x:c r="A34" s="4" t="n">
        <x:v>39083</x:v>
      </x:c>
      <x:c r="B34" s="30" t="n">
        <x:v>8743.2</x:v>
      </x:c>
      <x:c r="C34" s="30" t="n">
        <x:v>3079.471</x:v>
      </x:c>
      <x:c r="D34" s="30" t="n">
        <x:v>3735.829</x:v>
      </x:c>
      <x:c r="E34" s="30" t="n">
        <x:v>1927.9</x:v>
      </x:c>
      <x:c r="F34" s="2"/>
      <x:c r="G34" s="2"/>
    </x:row>
    <x:row r="35" ht="23" customHeight="1">
      <x:c r="A35" s="4" t="n">
        <x:v>39114</x:v>
      </x:c>
      <x:c r="B35" s="30" t="n">
        <x:v>8158.2</x:v>
      </x:c>
      <x:c r="C35" s="30" t="n">
        <x:v>2790.054</x:v>
      </x:c>
      <x:c r="D35" s="30" t="n">
        <x:v>3574.996</x:v>
      </x:c>
      <x:c r="E35" s="30" t="n">
        <x:v>1793.15</x:v>
      </x:c>
      <x:c r="F35" s="2"/>
      <x:c r="G35" s="2"/>
    </x:row>
    <x:row r="36" ht="23" customHeight="1">
      <x:c r="A36" s="4" t="n">
        <x:v>39142</x:v>
      </x:c>
      <x:c r="B36" s="30" t="n">
        <x:v>8637.8</x:v>
      </x:c>
      <x:c r="C36" s="30" t="n">
        <x:v>2853.558</x:v>
      </x:c>
      <x:c r="D36" s="30" t="n">
        <x:v>3795.382</x:v>
      </x:c>
      <x:c r="E36" s="30" t="n">
        <x:v>1988.86</x:v>
      </x:c>
      <x:c r="F36" s="2"/>
      <x:c r="G36" s="2"/>
    </x:row>
    <x:row r="37" ht="23" customHeight="1">
      <x:c r="A37" s="4" t="n">
        <x:v>39173</x:v>
      </x:c>
      <x:c r="B37" s="30" t="n">
        <x:v>8010.4</x:v>
      </x:c>
      <x:c r="C37" s="30" t="n">
        <x:v>2610.215</x:v>
      </x:c>
      <x:c r="D37" s="30" t="n">
        <x:v>3525.255</x:v>
      </x:c>
      <x:c r="E37" s="30" t="n">
        <x:v>1874.93</x:v>
      </x:c>
      <x:c r="F37" s="2"/>
      <x:c r="G37" s="2"/>
    </x:row>
    <x:row r="38" ht="23" customHeight="1">
      <x:c r="A38" s="4" t="n">
        <x:v>39203</x:v>
      </x:c>
      <x:c r="B38" s="30" t="n">
        <x:v>8789.5</x:v>
      </x:c>
      <x:c r="C38" s="30" t="n">
        <x:v>3161.771</x:v>
      </x:c>
      <x:c r="D38" s="30" t="n">
        <x:v>3731.939</x:v>
      </x:c>
      <x:c r="E38" s="30" t="n">
        <x:v>1895.79</x:v>
      </x:c>
      <x:c r="F38" s="2"/>
      <x:c r="G38" s="2"/>
    </x:row>
    <x:row r="39" ht="23" customHeight="1">
      <x:c r="A39" s="4" t="n">
        <x:v>39234</x:v>
      </x:c>
      <x:c r="B39" s="30" t="n">
        <x:v>8851.4</x:v>
      </x:c>
      <x:c r="C39" s="30" t="n">
        <x:v>3576.113</x:v>
      </x:c>
      <x:c r="D39" s="30" t="n">
        <x:v>3535.967</x:v>
      </x:c>
      <x:c r="E39" s="30" t="n">
        <x:v>1739.32</x:v>
      </x:c>
      <x:c r="F39" s="2"/>
      <x:c r="G39" s="2"/>
    </x:row>
    <x:row r="40" ht="23" customHeight="1">
      <x:c r="A40" s="4" t="n">
        <x:v>39264</x:v>
      </x:c>
      <x:c r="B40" s="30" t="n">
        <x:v>9024.5</x:v>
      </x:c>
      <x:c r="C40" s="30" t="n">
        <x:v>3807.798</x:v>
      </x:c>
      <x:c r="D40" s="30" t="n">
        <x:v>3564.032</x:v>
      </x:c>
      <x:c r="E40" s="30" t="n">
        <x:v>1652.67</x:v>
      </x:c>
      <x:c r="F40" s="2"/>
      <x:c r="G40" s="2"/>
    </x:row>
    <x:row r="41" ht="23" customHeight="1">
      <x:c r="A41" s="4" t="n">
        <x:v>39295</x:v>
      </x:c>
      <x:c r="B41" s="30" t="n">
        <x:v>9106.5</x:v>
      </x:c>
      <x:c r="C41" s="30" t="n">
        <x:v>3726.224</x:v>
      </x:c>
      <x:c r="D41" s="30" t="n">
        <x:v>3589.396</x:v>
      </x:c>
      <x:c r="E41" s="30" t="n">
        <x:v>1790.88</x:v>
      </x:c>
      <x:c r="F41" s="2"/>
      <x:c r="G41" s="2"/>
    </x:row>
    <x:row r="42" ht="23" customHeight="1">
      <x:c r="A42" s="4" t="n">
        <x:v>39326</x:v>
      </x:c>
      <x:c r="B42" s="30" t="n">
        <x:v>8082.6</x:v>
      </x:c>
      <x:c r="C42" s="30" t="n">
        <x:v>2838.982</x:v>
      </x:c>
      <x:c r="D42" s="30" t="n">
        <x:v>3370.048</x:v>
      </x:c>
      <x:c r="E42" s="30" t="n">
        <x:v>1873.57</x:v>
      </x:c>
      <x:c r="F42" s="2"/>
      <x:c r="G42" s="2"/>
    </x:row>
    <x:row r="43" ht="23" customHeight="1">
      <x:c r="A43" s="4" t="n">
        <x:v>39356</x:v>
      </x:c>
      <x:c r="B43" s="30" t="n">
        <x:v>8370.4</x:v>
      </x:c>
      <x:c r="C43" s="30" t="n">
        <x:v>2810.846</x:v>
      </x:c>
      <x:c r="D43" s="30" t="n">
        <x:v>3654.304</x:v>
      </x:c>
      <x:c r="E43" s="30" t="n">
        <x:v>1905.25</x:v>
      </x:c>
      <x:c r="F43" s="2"/>
      <x:c r="G43" s="2"/>
    </x:row>
    <x:row r="44" ht="23" customHeight="1">
      <x:c r="A44" s="4" t="n">
        <x:v>39387</x:v>
      </x:c>
      <x:c r="B44" s="30" t="n">
        <x:v>8254.4</x:v>
      </x:c>
      <x:c r="C44" s="30" t="n">
        <x:v>2717.576</x:v>
      </x:c>
      <x:c r="D44" s="30" t="n">
        <x:v>3591.714</x:v>
      </x:c>
      <x:c r="E44" s="30" t="n">
        <x:v>1945.11</x:v>
      </x:c>
      <x:c r="F44" s="2"/>
      <x:c r="G44" s="2"/>
    </x:row>
    <x:row r="45" ht="23" customHeight="1">
      <x:c r="A45" s="4" t="n">
        <x:v>39417</x:v>
      </x:c>
      <x:c r="B45" s="30" t="n">
        <x:v>8921.4</x:v>
      </x:c>
      <x:c r="C45" s="30" t="n">
        <x:v>3138.571</x:v>
      </x:c>
      <x:c r="D45" s="30" t="n">
        <x:v>3815.519</x:v>
      </x:c>
      <x:c r="E45" s="30" t="n">
        <x:v>1967.31</x:v>
      </x:c>
      <x:c r="F45" s="2"/>
      <x:c r="G45" s="2"/>
    </x:row>
    <x:row r="46" ht="23" customHeight="1">
      <x:c r="A46" s="4" t="n">
        <x:v>39448</x:v>
      </x:c>
      <x:c r="B46" s="30" t="n">
        <x:v>9175.1</x:v>
      </x:c>
      <x:c r="C46" s="30" t="n">
        <x:v>3420.283</x:v>
      </x:c>
      <x:c r="D46" s="30" t="n">
        <x:v>3811.277</x:v>
      </x:c>
      <x:c r="E46" s="30" t="n">
        <x:v>1943.54</x:v>
      </x:c>
      <x:c r="F46" s="2"/>
      <x:c r="G46" s="2"/>
    </x:row>
    <x:row r="47" ht="23" customHeight="1">
      <x:c r="A47" s="4" t="n">
        <x:v>39479</x:v>
      </x:c>
      <x:c r="B47" s="30" t="n">
        <x:v>8728.8</x:v>
      </x:c>
      <x:c r="C47" s="30" t="n">
        <x:v>3073.664</x:v>
      </x:c>
      <x:c r="D47" s="30" t="n">
        <x:v>3705.406</x:v>
      </x:c>
      <x:c r="E47" s="30" t="n">
        <x:v>1949.73</x:v>
      </x:c>
      <x:c r="F47" s="2"/>
      <x:c r="G47" s="2"/>
    </x:row>
    <x:row r="48" ht="23" customHeight="1">
      <x:c r="A48" s="4" t="n">
        <x:v>39508</x:v>
      </x:c>
      <x:c r="B48" s="30" t="n">
        <x:v>8594.5</x:v>
      </x:c>
      <x:c r="C48" s="30" t="n">
        <x:v>2894.605</x:v>
      </x:c>
      <x:c r="D48" s="30" t="n">
        <x:v>3678.195</x:v>
      </x:c>
      <x:c r="E48" s="30" t="n">
        <x:v>2021.7</x:v>
      </x:c>
      <x:c r="F48" s="2"/>
      <x:c r="G48" s="2"/>
    </x:row>
    <x:row r="49" ht="23" customHeight="1">
      <x:c r="A49" s="4" t="n">
        <x:v>39539</x:v>
      </x:c>
      <x:c r="B49" s="30" t="n">
        <x:v>8286.6</x:v>
      </x:c>
      <x:c r="C49" s="30" t="n">
        <x:v>2764.962</x:v>
      </x:c>
      <x:c r="D49" s="30" t="n">
        <x:v>3526.868</x:v>
      </x:c>
      <x:c r="E49" s="30" t="n">
        <x:v>1994.77</x:v>
      </x:c>
      <x:c r="F49" s="2"/>
      <x:c r="G49" s="2"/>
    </x:row>
    <x:row r="50" ht="23" customHeight="1">
      <x:c r="A50" s="4" t="n">
        <x:v>39569</x:v>
      </x:c>
      <x:c r="B50" s="30" t="n">
        <x:v>8777.8</x:v>
      </x:c>
      <x:c r="C50" s="30" t="n">
        <x:v>3102.396</x:v>
      </x:c>
      <x:c r="D50" s="30" t="n">
        <x:v>3625.434</x:v>
      </x:c>
      <x:c r="E50" s="30" t="n">
        <x:v>2049.97</x:v>
      </x:c>
      <x:c r="F50" s="2"/>
      <x:c r="G50" s="2"/>
    </x:row>
    <x:row r="51" ht="23" customHeight="1">
      <x:c r="A51" s="4" t="n">
        <x:v>39600</x:v>
      </x:c>
      <x:c r="B51" s="30" t="n">
        <x:v>9209.8</x:v>
      </x:c>
      <x:c r="C51" s="30" t="n">
        <x:v>3699.403</x:v>
      </x:c>
      <x:c r="D51" s="30" t="n">
        <x:v>3582.687</x:v>
      </x:c>
      <x:c r="E51" s="30" t="n">
        <x:v>1927.71</x:v>
      </x:c>
      <x:c r="F51" s="2"/>
      <x:c r="G51" s="2"/>
    </x:row>
    <x:row r="52" ht="23" customHeight="1">
      <x:c r="A52" s="4" t="n">
        <x:v>39630</x:v>
      </x:c>
      <x:c r="B52" s="30" t="n">
        <x:v>9127.1</x:v>
      </x:c>
      <x:c r="C52" s="30" t="n">
        <x:v>3626.348</x:v>
      </x:c>
      <x:c r="D52" s="30" t="n">
        <x:v>3476.582</x:v>
      </x:c>
      <x:c r="E52" s="30" t="n">
        <x:v>2024.17</x:v>
      </x:c>
      <x:c r="F52" s="2"/>
      <x:c r="G52" s="2"/>
    </x:row>
    <x:row r="53" ht="23" customHeight="1">
      <x:c r="A53" s="4" t="n">
        <x:v>39661</x:v>
      </x:c>
      <x:c r="B53" s="30" t="n">
        <x:v>9025.3</x:v>
      </x:c>
      <x:c r="C53" s="30" t="n">
        <x:v>3438.115</x:v>
      </x:c>
      <x:c r="D53" s="30" t="n">
        <x:v>3488.405</x:v>
      </x:c>
      <x:c r="E53" s="30" t="n">
        <x:v>2098.78</x:v>
      </x:c>
      <x:c r="F53" s="2"/>
      <x:c r="G53" s="2"/>
    </x:row>
    <x:row r="54" ht="23" customHeight="1">
      <x:c r="A54" s="4" t="n">
        <x:v>39692</x:v>
      </x:c>
      <x:c r="B54" s="30" t="n">
        <x:v>8587.6</x:v>
      </x:c>
      <x:c r="C54" s="30" t="n">
        <x:v>3061.343</x:v>
      </x:c>
      <x:c r="D54" s="30" t="n">
        <x:v>3375.917</x:v>
      </x:c>
      <x:c r="E54" s="30" t="n">
        <x:v>2150.34</x:v>
      </x:c>
      <x:c r="F54" s="2"/>
      <x:c r="G54" s="2"/>
    </x:row>
    <x:row r="55" ht="23" customHeight="1">
      <x:c r="A55" s="4" t="n">
        <x:v>39722</x:v>
      </x:c>
      <x:c r="B55" s="30" t="n">
        <x:v>8477.2</x:v>
      </x:c>
      <x:c r="C55" s="30" t="n">
        <x:v>2898.784</x:v>
      </x:c>
      <x:c r="D55" s="30" t="n">
        <x:v>3417.156</x:v>
      </x:c>
      <x:c r="E55" s="30" t="n">
        <x:v>2161.26</x:v>
      </x:c>
      <x:c r="F55" s="2"/>
      <x:c r="G55" s="2"/>
    </x:row>
    <x:row r="56" ht="23" customHeight="1">
      <x:c r="A56" s="4" t="n">
        <x:v>39753</x:v>
      </x:c>
      <x:c r="B56" s="30" t="n">
        <x:v>8914.9</x:v>
      </x:c>
      <x:c r="C56" s="30" t="n">
        <x:v>3159.108</x:v>
      </x:c>
      <x:c r="D56" s="30" t="n">
        <x:v>3681.432</x:v>
      </x:c>
      <x:c r="E56" s="30" t="n">
        <x:v>2074.36</x:v>
      </x:c>
      <x:c r="F56" s="2"/>
      <x:c r="G56" s="2"/>
    </x:row>
    <x:row r="57" ht="23" customHeight="1">
      <x:c r="A57" s="4" t="n">
        <x:v>39783</x:v>
      </x:c>
      <x:c r="B57" s="30" t="n">
        <x:v>9053.4</x:v>
      </x:c>
      <x:c r="C57" s="30" t="n">
        <x:v>3471.033</x:v>
      </x:c>
      <x:c r="D57" s="30" t="n">
        <x:v>3691.127</x:v>
      </x:c>
      <x:c r="E57" s="30" t="n">
        <x:v>1891.24</x:v>
      </x:c>
      <x:c r="F57" s="2"/>
      <x:c r="G57" s="2"/>
    </x:row>
    <x:row r="58" ht="23" customHeight="1">
      <x:c r="A58" s="4" t="n">
        <x:v>39814</x:v>
      </x:c>
      <x:c r="B58" s="30" t="n">
        <x:v>9086.1</x:v>
      </x:c>
      <x:c r="C58" s="30" t="n">
        <x:v>3533.299</x:v>
      </x:c>
      <x:c r="D58" s="30" t="n">
        <x:v>3658.961</x:v>
      </x:c>
      <x:c r="E58" s="30" t="n">
        <x:v>1893.84</x:v>
      </x:c>
      <x:c r="F58" s="2"/>
      <x:c r="G58" s="2"/>
    </x:row>
    <x:row r="59" ht="23" customHeight="1">
      <x:c r="A59" s="4" t="n">
        <x:v>39845</x:v>
      </x:c>
      <x:c r="B59" s="30" t="n">
        <x:v>8241.6</x:v>
      </x:c>
      <x:c r="C59" s="30" t="n">
        <x:v>3105.44</x:v>
      </x:c>
      <x:c r="D59" s="30" t="n">
        <x:v>3404.18</x:v>
      </x:c>
      <x:c r="E59" s="30" t="n">
        <x:v>1731.98</x:v>
      </x:c>
      <x:c r="F59" s="2"/>
      <x:c r="G59" s="2"/>
    </x:row>
    <x:row r="60" ht="23" customHeight="1">
      <x:c r="A60" s="4" t="n">
        <x:v>39873</x:v>
      </x:c>
      <x:c r="B60" s="30" t="n">
        <x:v>8955.6</x:v>
      </x:c>
      <x:c r="C60" s="30" t="n">
        <x:v>3336.438</x:v>
      </x:c>
      <x:c r="D60" s="30" t="n">
        <x:v>3769.532</x:v>
      </x:c>
      <x:c r="E60" s="30" t="n">
        <x:v>1849.63</x:v>
      </x:c>
      <x:c r="F60" s="2"/>
      <x:c r="G60" s="2"/>
    </x:row>
    <x:row r="61" ht="23" customHeight="1">
      <x:c r="A61" s="4" t="n">
        <x:v>39904</x:v>
      </x:c>
      <x:c r="B61" s="30" t="n">
        <x:v>8104.7</x:v>
      </x:c>
      <x:c r="C61" s="30" t="n">
        <x:v>2813.071</x:v>
      </x:c>
      <x:c r="D61" s="30" t="n">
        <x:v>3391.869</x:v>
      </x:c>
      <x:c r="E61" s="30" t="n">
        <x:v>1899.76</x:v>
      </x:c>
      <x:c r="F61" s="2"/>
      <x:c r="G61" s="2"/>
    </x:row>
    <x:row r="62" ht="23" customHeight="1">
      <x:c r="A62" s="4" t="n">
        <x:v>39934</x:v>
      </x:c>
      <x:c r="B62" s="30" t="n">
        <x:v>8435.3</x:v>
      </x:c>
      <x:c r="C62" s="30" t="n">
        <x:v>3047.803</x:v>
      </x:c>
      <x:c r="D62" s="30" t="n">
        <x:v>3510.857</x:v>
      </x:c>
      <x:c r="E62" s="30" t="n">
        <x:v>1876.64</x:v>
      </x:c>
      <x:c r="F62" s="2"/>
      <x:c r="G62" s="2"/>
    </x:row>
    <x:row r="63" ht="23" customHeight="1">
      <x:c r="A63" s="4" t="n">
        <x:v>39965</x:v>
      </x:c>
      <x:c r="B63" s="30" t="n">
        <x:v>9114.2</x:v>
      </x:c>
      <x:c r="C63" s="30" t="n">
        <x:v>3721.346</x:v>
      </x:c>
      <x:c r="D63" s="30" t="n">
        <x:v>3529.784</x:v>
      </x:c>
      <x:c r="E63" s="30" t="n">
        <x:v>1863.07</x:v>
      </x:c>
      <x:c r="F63" s="2"/>
      <x:c r="G63" s="2"/>
    </x:row>
    <x:row r="64" ht="23" customHeight="1">
      <x:c r="A64" s="4" t="n">
        <x:v>39995</x:v>
      </x:c>
      <x:c r="B64" s="30" t="n">
        <x:v>9508</x:v>
      </x:c>
      <x:c r="C64" s="30" t="n">
        <x:v>4052.004</x:v>
      </x:c>
      <x:c r="D64" s="30" t="n">
        <x:v>3612.156</x:v>
      </x:c>
      <x:c r="E64" s="30" t="n">
        <x:v>1843.84</x:v>
      </x:c>
      <x:c r="F64" s="2"/>
      <x:c r="G64" s="2"/>
    </x:row>
    <x:row r="65" ht="23" customHeight="1">
      <x:c r="A65" s="4" t="n">
        <x:v>40026</x:v>
      </x:c>
      <x:c r="B65" s="30" t="n">
        <x:v>8738.4</x:v>
      </x:c>
      <x:c r="C65" s="30" t="n">
        <x:v>3502.447</x:v>
      </x:c>
      <x:c r="D65" s="30" t="n">
        <x:v>3400.943</x:v>
      </x:c>
      <x:c r="E65" s="30" t="n">
        <x:v>1835.01</x:v>
      </x:c>
      <x:c r="F65" s="2"/>
      <x:c r="G65" s="2"/>
    </x:row>
    <x:row r="66" ht="23" customHeight="1">
      <x:c r="A66" s="4" t="n">
        <x:v>40057</x:v>
      </x:c>
      <x:c r="B66" s="30" t="n">
        <x:v>8350.2</x:v>
      </x:c>
      <x:c r="C66" s="30" t="n">
        <x:v>3023.058</x:v>
      </x:c>
      <x:c r="D66" s="30" t="n">
        <x:v>3474.772</x:v>
      </x:c>
      <x:c r="E66" s="30" t="n">
        <x:v>1852.37</x:v>
      </x:c>
      <x:c r="F66" s="2"/>
      <x:c r="G66" s="2"/>
    </x:row>
    <x:row r="67" ht="23" customHeight="1">
      <x:c r="A67" s="4" t="n">
        <x:v>40087</x:v>
      </x:c>
      <x:c r="B67" s="30" t="n">
        <x:v>8420.7</x:v>
      </x:c>
      <x:c r="C67" s="30" t="n">
        <x:v>3027.54</x:v>
      </x:c>
      <x:c r="D67" s="30" t="n">
        <x:v>3471.55</x:v>
      </x:c>
      <x:c r="E67" s="30" t="n">
        <x:v>1921.61</x:v>
      </x:c>
      <x:c r="F67" s="2"/>
      <x:c r="G67" s="2"/>
    </x:row>
    <x:row r="68" ht="23" customHeight="1">
      <x:c r="A68" s="4" t="n">
        <x:v>40118</x:v>
      </x:c>
      <x:c r="B68" s="30" t="n">
        <x:v>8644</x:v>
      </x:c>
      <x:c r="C68" s="30" t="n">
        <x:v>3065.794</x:v>
      </x:c>
      <x:c r="D68" s="30" t="n">
        <x:v>3643.166</x:v>
      </x:c>
      <x:c r="E68" s="30" t="n">
        <x:v>1935.04</x:v>
      </x:c>
      <x:c r="F68" s="2"/>
      <x:c r="G68" s="2"/>
    </x:row>
    <x:row r="69" ht="23" customHeight="1">
      <x:c r="A69" s="4" t="n">
        <x:v>40148</x:v>
      </x:c>
      <x:c r="B69" s="30" t="n">
        <x:v>9023.6</x:v>
      </x:c>
      <x:c r="C69" s="30" t="n">
        <x:v>3336.758</x:v>
      </x:c>
      <x:c r="D69" s="30" t="n">
        <x:v>3780.482</x:v>
      </x:c>
      <x:c r="E69" s="30" t="n">
        <x:v>1906.36</x:v>
      </x:c>
      <x:c r="F69" s="2"/>
      <x:c r="G69" s="2"/>
    </x:row>
    <x:row r="70" ht="23" customHeight="1">
      <x:c r="A70" s="4" t="n">
        <x:v>40179</x:v>
      </x:c>
      <x:c r="B70" s="30" t="n">
        <x:v>9740</x:v>
      </x:c>
      <x:c r="C70" s="30" t="n">
        <x:v>3931.898</x:v>
      </x:c>
      <x:c r="D70" s="30" t="n">
        <x:v>3934.752</x:v>
      </x:c>
      <x:c r="E70" s="30" t="n">
        <x:v>1873.35</x:v>
      </x:c>
      <x:c r="F70" s="2"/>
      <x:c r="G70" s="2"/>
    </x:row>
    <x:row r="71" ht="23" customHeight="1">
      <x:c r="A71" s="4" t="n">
        <x:v>40210</x:v>
      </x:c>
      <x:c r="B71" s="30" t="n">
        <x:v>8773.9</x:v>
      </x:c>
      <x:c r="C71" s="30" t="n">
        <x:v>3361.184</x:v>
      </x:c>
      <x:c r="D71" s="30" t="n">
        <x:v>3579.086</x:v>
      </x:c>
      <x:c r="E71" s="30" t="n">
        <x:v>1833.63</x:v>
      </x:c>
      <x:c r="F71" s="2"/>
      <x:c r="G71" s="2"/>
    </x:row>
    <x:row r="72" ht="23" customHeight="1">
      <x:c r="A72" s="4" t="n">
        <x:v>40238</x:v>
      </x:c>
      <x:c r="B72" s="30" t="n">
        <x:v>9518.9</x:v>
      </x:c>
      <x:c r="C72" s="30" t="n">
        <x:v>3540.492</x:v>
      </x:c>
      <x:c r="D72" s="30" t="n">
        <x:v>3911.778</x:v>
      </x:c>
      <x:c r="E72" s="30" t="n">
        <x:v>2066.63</x:v>
      </x:c>
      <x:c r="F72" s="2"/>
      <x:c r="G72" s="2"/>
    </x:row>
    <x:row r="73" ht="23" customHeight="1">
      <x:c r="A73" s="4" t="n">
        <x:v>40269</x:v>
      </x:c>
      <x:c r="B73" s="30" t="n">
        <x:v>8434.1</x:v>
      </x:c>
      <x:c r="C73" s="30" t="n">
        <x:v>2875.625</x:v>
      </x:c>
      <x:c r="D73" s="30" t="n">
        <x:v>3598.085</x:v>
      </x:c>
      <x:c r="E73" s="30" t="n">
        <x:v>1960.39</x:v>
      </x:c>
      <x:c r="F73" s="2"/>
      <x:c r="G73" s="2"/>
    </x:row>
    <x:row r="74" ht="23" customHeight="1">
      <x:c r="A74" s="4" t="n">
        <x:v>40299</x:v>
      </x:c>
      <x:c r="B74" s="30" t="n">
        <x:v>8866.4</x:v>
      </x:c>
      <x:c r="C74" s="30" t="n">
        <x:v>3296.137</x:v>
      </x:c>
      <x:c r="D74" s="30" t="n">
        <x:v>3631.273</x:v>
      </x:c>
      <x:c r="E74" s="30" t="n">
        <x:v>1938.99</x:v>
      </x:c>
      <x:c r="F74" s="2"/>
      <x:c r="G74" s="2"/>
    </x:row>
    <x:row r="75" ht="23" customHeight="1">
      <x:c r="A75" s="4" t="n">
        <x:v>40330</x:v>
      </x:c>
      <x:c r="B75" s="30" t="n">
        <x:v>9367</x:v>
      </x:c>
      <x:c r="C75" s="30" t="n">
        <x:v>3825.755</x:v>
      </x:c>
      <x:c r="D75" s="30" t="n">
        <x:v>3646.075</x:v>
      </x:c>
      <x:c r="E75" s="30" t="n">
        <x:v>1895.17</x:v>
      </x:c>
      <x:c r="F75" s="2"/>
      <x:c r="G75" s="2"/>
    </x:row>
    <x:row r="76" ht="23" customHeight="1">
      <x:c r="A76" s="4" t="n">
        <x:v>40360</x:v>
      </x:c>
      <x:c r="B76" s="30" t="n">
        <x:v>10081.1</x:v>
      </x:c>
      <x:c r="C76" s="30" t="n">
        <x:v>4346.177</x:v>
      </x:c>
      <x:c r="D76" s="30" t="n">
        <x:v>3794.323</x:v>
      </x:c>
      <x:c r="E76" s="30" t="n">
        <x:v>1940.6</x:v>
      </x:c>
      <x:c r="F76" s="2"/>
      <x:c r="G76" s="2"/>
    </x:row>
    <x:row r="77" ht="23" customHeight="1">
      <x:c r="A77" s="4" t="n">
        <x:v>40391</x:v>
      </x:c>
      <x:c r="B77" s="30" t="n">
        <x:v>9733.1</x:v>
      </x:c>
      <x:c r="C77" s="30" t="n">
        <x:v>4043.618</x:v>
      </x:c>
      <x:c r="D77" s="30" t="n">
        <x:v>3702.052</x:v>
      </x:c>
      <x:c r="E77" s="30" t="n">
        <x:v>1987.43</x:v>
      </x:c>
      <x:c r="F77" s="2"/>
      <x:c r="G77" s="2"/>
    </x:row>
    <x:row r="78" ht="23" customHeight="1">
      <x:c r="A78" s="4" t="n">
        <x:v>40422</x:v>
      </x:c>
      <x:c r="B78" s="30" t="n">
        <x:v>8755.9</x:v>
      </x:c>
      <x:c r="C78" s="30" t="n">
        <x:v>3237.488</x:v>
      </x:c>
      <x:c r="D78" s="30" t="n">
        <x:v>3594.482</x:v>
      </x:c>
      <x:c r="E78" s="30" t="n">
        <x:v>1923.93</x:v>
      </x:c>
      <x:c r="F78" s="2"/>
      <x:c r="G78" s="2"/>
    </x:row>
    <x:row r="79" ht="23" customHeight="1">
      <x:c r="A79" s="4" t="n">
        <x:v>40452</x:v>
      </x:c>
      <x:c r="B79" s="30" t="n">
        <x:v>8567.7</x:v>
      </x:c>
      <x:c r="C79" s="30" t="n">
        <x:v>3018.133</x:v>
      </x:c>
      <x:c r="D79" s="30" t="n">
        <x:v>3608.487</x:v>
      </x:c>
      <x:c r="E79" s="30" t="n">
        <x:v>1941.08</x:v>
      </x:c>
      <x:c r="F79" s="2"/>
      <x:c r="G79" s="2"/>
    </x:row>
    <x:row r="80" ht="23" customHeight="1">
      <x:c r="A80" s="4" t="n">
        <x:v>40483</x:v>
      </x:c>
      <x:c r="B80" s="30" t="n">
        <x:v>8834.6</x:v>
      </x:c>
      <x:c r="C80" s="30" t="n">
        <x:v>3155.481</x:v>
      </x:c>
      <x:c r="D80" s="30" t="n">
        <x:v>3715.389</x:v>
      </x:c>
      <x:c r="E80" s="30" t="n">
        <x:v>1963.73</x:v>
      </x:c>
      <x:c r="F80" s="2"/>
      <x:c r="G80" s="2"/>
    </x:row>
    <x:row r="81" ht="23" customHeight="1">
      <x:c r="A81" s="4" t="n">
        <x:v>40513</x:v>
      </x:c>
      <x:c r="B81" s="30" t="n">
        <x:v>10125.7</x:v>
      </x:c>
      <x:c r="C81" s="30" t="n">
        <x:v>4020.361</x:v>
      </x:c>
      <x:c r="D81" s="30" t="n">
        <x:v>4161.809</x:v>
      </x:c>
      <x:c r="E81" s="30" t="n">
        <x:v>1943.53</x:v>
      </x:c>
      <x:c r="F81" s="2"/>
      <x:c r="G81" s="2"/>
    </x:row>
    <x:row r="82" ht="23" customHeight="1">
      <x:c r="A82" s="4" t="n">
        <x:v>40544</x:v>
      </x:c>
      <x:c r="B82" s="30" t="n">
        <x:v>10231</x:v>
      </x:c>
      <x:c r="C82" s="30" t="n">
        <x:v>4215.174</x:v>
      </x:c>
      <x:c r="D82" s="30" t="n">
        <x:v>4056.286</x:v>
      </x:c>
      <x:c r="E82" s="30" t="n">
        <x:v>1959.54</x:v>
      </x:c>
      <x:c r="F82" s="2"/>
      <x:c r="G82" s="2"/>
    </x:row>
    <x:row r="83" ht="23" customHeight="1">
      <x:c r="A83" s="4" t="n">
        <x:v>40575</x:v>
      </x:c>
      <x:c r="B83" s="30" t="n">
        <x:v>9129</x:v>
      </x:c>
      <x:c r="C83" s="30" t="n">
        <x:v>3363.751</x:v>
      </x:c>
      <x:c r="D83" s="30" t="n">
        <x:v>3678.869</x:v>
      </x:c>
      <x:c r="E83" s="30" t="n">
        <x:v>2086.38</x:v>
      </x:c>
      <x:c r="F83" s="2"/>
      <x:c r="G83" s="2"/>
    </x:row>
    <x:row r="84" ht="23" customHeight="1">
      <x:c r="A84" s="4" t="n">
        <x:v>40603</x:v>
      </x:c>
      <x:c r="B84" s="30" t="n">
        <x:v>9863</x:v>
      </x:c>
      <x:c r="C84" s="30" t="n">
        <x:v>3622.66</x:v>
      </x:c>
      <x:c r="D84" s="30" t="n">
        <x:v>3960.43</x:v>
      </x:c>
      <x:c r="E84" s="30" t="n">
        <x:v>2279.91</x:v>
      </x:c>
      <x:c r="F84" s="2"/>
      <x:c r="G84" s="2"/>
    </x:row>
    <x:row r="85" ht="23" customHeight="1">
      <x:c r="A85" s="4" t="n">
        <x:v>40634</x:v>
      </x:c>
      <x:c r="B85" s="30" t="n">
        <x:v>8917.8</x:v>
      </x:c>
      <x:c r="C85" s="30" t="n">
        <x:v>3051.537</x:v>
      </x:c>
      <x:c r="D85" s="30" t="n">
        <x:v>3751.863</x:v>
      </x:c>
      <x:c r="E85" s="30" t="n">
        <x:v>2114.4</x:v>
      </x:c>
      <x:c r="F85" s="2"/>
      <x:c r="G85" s="2"/>
    </x:row>
    <x:row r="86" ht="23" customHeight="1">
      <x:c r="A86" s="4" t="n">
        <x:v>40664</x:v>
      </x:c>
      <x:c r="B86" s="30" t="n">
        <x:v>9560.4</x:v>
      </x:c>
      <x:c r="C86" s="30" t="n">
        <x:v>3561.464</x:v>
      </x:c>
      <x:c r="D86" s="30" t="n">
        <x:v>3833.536</x:v>
      </x:c>
      <x:c r="E86" s="30" t="n">
        <x:v>2165.4</x:v>
      </x:c>
      <x:c r="F86" s="2"/>
      <x:c r="G86" s="2"/>
    </x:row>
    <x:row r="87" ht="23" customHeight="1">
      <x:c r="A87" s="4" t="n">
        <x:v>40695</x:v>
      </x:c>
      <x:c r="B87" s="30" t="n">
        <x:v>10135.8</x:v>
      </x:c>
      <x:c r="C87" s="30" t="n">
        <x:v>4211.284</x:v>
      </x:c>
      <x:c r="D87" s="30" t="n">
        <x:v>3837.306</x:v>
      </x:c>
      <x:c r="E87" s="30" t="n">
        <x:v>2087.21</x:v>
      </x:c>
      <x:c r="F87" s="2"/>
      <x:c r="G87" s="2"/>
    </x:row>
    <x:row r="88" ht="23" customHeight="1">
      <x:c r="A88" s="4" t="n">
        <x:v>40725</x:v>
      </x:c>
      <x:c r="B88" s="30" t="n">
        <x:v>10562.6</x:v>
      </x:c>
      <x:c r="C88" s="30" t="n">
        <x:v>4613.925</x:v>
      </x:c>
      <x:c r="D88" s="30" t="n">
        <x:v>3860.355</x:v>
      </x:c>
      <x:c r="E88" s="30" t="n">
        <x:v>2088.32</x:v>
      </x:c>
      <x:c r="F88" s="2"/>
      <x:c r="G88" s="2"/>
    </x:row>
    <x:row r="89" ht="23" customHeight="1">
      <x:c r="A89" s="4" t="n">
        <x:v>40756</x:v>
      </x:c>
      <x:c r="B89" s="30" t="n">
        <x:v>10311.9</x:v>
      </x:c>
      <x:c r="C89" s="30" t="n">
        <x:v>4289.444</x:v>
      </x:c>
      <x:c r="D89" s="30" t="n">
        <x:v>3880.286</x:v>
      </x:c>
      <x:c r="E89" s="30" t="n">
        <x:v>2142.17</x:v>
      </x:c>
      <x:c r="F89" s="2"/>
      <x:c r="G89" s="2"/>
    </x:row>
    <x:row r="90" ht="23" customHeight="1">
      <x:c r="A90" s="4" t="n">
        <x:v>40787</x:v>
      </x:c>
      <x:c r="B90" s="30" t="n">
        <x:v>9089.5</x:v>
      </x:c>
      <x:c r="C90" s="30" t="n">
        <x:v>3342.414</x:v>
      </x:c>
      <x:c r="D90" s="30" t="n">
        <x:v>3644.416</x:v>
      </x:c>
      <x:c r="E90" s="30" t="n">
        <x:v>2102.67</x:v>
      </x:c>
      <x:c r="F90" s="2"/>
      <x:c r="G90" s="2"/>
    </x:row>
    <x:row r="91" ht="23" customHeight="1">
      <x:c r="A91" s="4" t="n">
        <x:v>40817</x:v>
      </x:c>
      <x:c r="B91" s="30" t="n">
        <x:v>9062.4</x:v>
      </x:c>
      <x:c r="C91" s="30" t="n">
        <x:v>3138.281</x:v>
      </x:c>
      <x:c r="D91" s="30" t="n">
        <x:v>3781.749</x:v>
      </x:c>
      <x:c r="E91" s="30" t="n">
        <x:v>2142.37</x:v>
      </x:c>
      <x:c r="F91" s="2"/>
      <x:c r="G91" s="2"/>
    </x:row>
    <x:row r="92" ht="23" customHeight="1">
      <x:c r="A92" s="4" t="n">
        <x:v>40848</x:v>
      </x:c>
      <x:c r="B92" s="30" t="n">
        <x:v>9505.9</x:v>
      </x:c>
      <x:c r="C92" s="30" t="n">
        <x:v>3485.202</x:v>
      </x:c>
      <x:c r="D92" s="30" t="n">
        <x:v>3950.608</x:v>
      </x:c>
      <x:c r="E92" s="30" t="n">
        <x:v>2070.09</x:v>
      </x:c>
      <x:c r="F92" s="2"/>
      <x:c r="G92" s="2"/>
    </x:row>
    <x:row r="93" ht="23" customHeight="1">
      <x:c r="A93" s="4" t="n">
        <x:v>40878</x:v>
      </x:c>
      <x:c r="B93" s="30" t="n">
        <x:v>10118.6</x:v>
      </x:c>
      <x:c r="C93" s="30" t="n">
        <x:v>3969.237</x:v>
      </x:c>
      <x:c r="D93" s="30" t="n">
        <x:v>4178.333</x:v>
      </x:c>
      <x:c r="E93" s="30" t="n">
        <x:v>1971.03</x:v>
      </x:c>
      <x:c r="F93" s="2"/>
      <x:c r="G93" s="2"/>
    </x:row>
    <x:row r="94" ht="23" customHeight="1">
      <x:c r="A94" s="4" t="n">
        <x:v>40909</x:v>
      </x:c>
      <x:c r="B94" s="30" t="n">
        <x:v>10806.8</x:v>
      </x:c>
      <x:c r="C94" s="30" t="n">
        <x:v>4505.197835</x:v>
      </x:c>
      <x:c r="D94" s="30" t="n">
        <x:v>4381.242165</x:v>
      </x:c>
      <x:c r="E94" s="30" t="n">
        <x:v>1920.36</x:v>
      </x:c>
      <x:c r="F94" s="2"/>
      <x:c r="G94" s="2"/>
    </x:row>
    <x:row r="95" ht="23" customHeight="1">
      <x:c r="A95" s="4" t="n">
        <x:v>40940</x:v>
      </x:c>
      <x:c r="B95" s="30" t="n">
        <x:v>10089.2</x:v>
      </x:c>
      <x:c r="C95" s="30" t="n">
        <x:v>4043.826495</x:v>
      </x:c>
      <x:c r="D95" s="30" t="n">
        <x:v>4020.409505</x:v>
      </x:c>
      <x:c r="E95" s="30" t="n">
        <x:v>2024.964</x:v>
      </x:c>
      <x:c r="F95" s="2"/>
      <x:c r="G95" s="2"/>
    </x:row>
    <x:row r="96" ht="23" customHeight="1">
      <x:c r="A96" s="4" t="n">
        <x:v>40969</x:v>
      </x:c>
      <x:c r="B96" s="30" t="n">
        <x:v>10178</x:v>
      </x:c>
      <x:c r="C96" s="30" t="n">
        <x:v>3799.951418</x:v>
      </x:c>
      <x:c r="D96" s="30" t="n">
        <x:v>4161.500582</x:v>
      </x:c>
      <x:c r="E96" s="30" t="n">
        <x:v>2216.548</x:v>
      </x:c>
      <x:c r="F96" s="2"/>
      <x:c r="G96" s="2"/>
    </x:row>
    <x:row r="97" ht="23" customHeight="1">
      <x:c r="A97" s="4" t="n">
        <x:v>41000</x:v>
      </x:c>
      <x:c r="B97" s="30" t="n">
        <x:v>8970</x:v>
      </x:c>
      <x:c r="C97" s="30" t="n">
        <x:v>3123.399968</x:v>
      </x:c>
      <x:c r="D97" s="30" t="n">
        <x:v>3781.600032</x:v>
      </x:c>
      <x:c r="E97" s="30" t="n">
        <x:v>2065</x:v>
      </x:c>
      <x:c r="F97" s="2"/>
      <x:c r="G97" s="2"/>
    </x:row>
    <x:row r="98" ht="23" customHeight="1">
      <x:c r="A98" s="4" t="n">
        <x:v>41030</x:v>
      </x:c>
      <x:c r="B98" s="30" t="n">
        <x:v>9601.7</x:v>
      </x:c>
      <x:c r="C98" s="30" t="n">
        <x:v>3606.52943</x:v>
      </x:c>
      <x:c r="D98" s="30" t="n">
        <x:v>3804.17057</x:v>
      </x:c>
      <x:c r="E98" s="30" t="n">
        <x:v>2191</x:v>
      </x:c>
      <x:c r="F98" s="2"/>
      <x:c r="G98" s="2"/>
    </x:row>
    <x:row r="99" ht="23" customHeight="1">
      <x:c r="A99" s="4" t="n">
        <x:v>41061</x:v>
      </x:c>
      <x:c r="B99" s="30" t="n">
        <x:v>10297</x:v>
      </x:c>
      <x:c r="C99" s="30" t="n">
        <x:v>4287.290236</x:v>
      </x:c>
      <x:c r="D99" s="30" t="n">
        <x:v>3856.709764</x:v>
      </x:c>
      <x:c r="E99" s="30" t="n">
        <x:v>2153</x:v>
      </x:c>
      <x:c r="F99" s="2"/>
      <x:c r="G99" s="2"/>
    </x:row>
    <x:row r="100" ht="23" customHeight="1">
      <x:c r="A100" s="4" t="n">
        <x:v>41091</x:v>
      </x:c>
      <x:c r="B100" s="30" t="n">
        <x:v>11071.7</x:v>
      </x:c>
      <x:c r="C100" s="30" t="n">
        <x:v>4950.420934</x:v>
      </x:c>
      <x:c r="D100" s="30" t="n">
        <x:v>3998.482066</x:v>
      </x:c>
      <x:c r="E100" s="30" t="n">
        <x:v>2122.797</x:v>
      </x:c>
      <x:c r="F100" s="2"/>
      <x:c r="G100" s="2"/>
    </x:row>
    <x:row r="101" ht="23" customHeight="1">
      <x:c r="A101" s="4" t="n">
        <x:v>41122</x:v>
      </x:c>
      <x:c r="B101" s="30" t="n">
        <x:v>10408.3</x:v>
      </x:c>
      <x:c r="C101" s="30" t="n">
        <x:v>4352.486086</x:v>
      </x:c>
      <x:c r="D101" s="30" t="n">
        <x:v>3859.701914</x:v>
      </x:c>
      <x:c r="E101" s="30" t="n">
        <x:v>2196.112</x:v>
      </x:c>
      <x:c r="F101" s="2"/>
      <x:c r="G101" s="2"/>
    </x:row>
    <x:row r="102" ht="23" customHeight="1">
      <x:c r="A102" s="4" t="n">
        <x:v>41153</x:v>
      </x:c>
      <x:c r="B102" s="30" t="n">
        <x:v>9338.6</x:v>
      </x:c>
      <x:c r="C102" s="30" t="n">
        <x:v>3512.34519</x:v>
      </x:c>
      <x:c r="D102" s="30" t="n">
        <x:v>3653.95481</x:v>
      </x:c>
      <x:c r="E102" s="30" t="n">
        <x:v>2172.3</x:v>
      </x:c>
      <x:c r="F102" s="2"/>
      <x:c r="G102" s="2"/>
    </x:row>
    <x:row r="103" ht="23" customHeight="1">
      <x:c r="A103" s="4" t="n">
        <x:v>41183</x:v>
      </x:c>
      <x:c r="B103" s="30" t="n">
        <x:v>9608</x:v>
      </x:c>
      <x:c r="C103" s="30" t="n">
        <x:v>3532.067419</x:v>
      </x:c>
      <x:c r="D103" s="30" t="n">
        <x:v>3792.432581</x:v>
      </x:c>
      <x:c r="E103" s="30" t="n">
        <x:v>2283.5</x:v>
      </x:c>
      <x:c r="F103" s="2"/>
      <x:c r="G103" s="2"/>
    </x:row>
    <x:row r="104" ht="23" customHeight="1">
      <x:c r="A104" s="4" t="n">
        <x:v>41214</x:v>
      </x:c>
      <x:c r="B104" s="30" t="n">
        <x:v>10031.4</x:v>
      </x:c>
      <x:c r="C104" s="30" t="n">
        <x:v>3759.790749</x:v>
      </x:c>
      <x:c r="D104" s="30" t="n">
        <x:v>3986.909251</x:v>
      </x:c>
      <x:c r="E104" s="30" t="n">
        <x:v>2284.7</x:v>
      </x:c>
      <x:c r="F104" s="2"/>
      <x:c r="G104" s="2"/>
    </x:row>
    <x:row r="105" ht="23" customHeight="1">
      <x:c r="A105" s="4" t="n">
        <x:v>41244</x:v>
      </x:c>
      <x:c r="B105" s="30" t="n">
        <x:v>10824.3</x:v>
      </x:c>
      <x:c r="C105" s="30" t="n">
        <x:v>4285.470382</x:v>
      </x:c>
      <x:c r="D105" s="30" t="n">
        <x:v>4311.929618</x:v>
      </x:c>
      <x:c r="E105" s="30" t="n">
        <x:v>2226.9</x:v>
      </x:c>
      <x:c r="F105" s="2"/>
      <x:c r="G105" s="2"/>
    </x:row>
    <x:row r="106" ht="23" customHeight="1">
      <x:c r="A106" s="4" t="n">
        <x:v>41275</x:v>
      </x:c>
      <x:c r="B106" s="30" t="n">
        <x:v>11134.119345</x:v>
      </x:c>
      <x:c r="C106" s="30" t="n">
        <x:v>4538.446146</x:v>
      </x:c>
      <x:c r="D106" s="30" t="n">
        <x:v>4403.673199</x:v>
      </x:c>
      <x:c r="E106" s="30" t="n">
        <x:v>2192</x:v>
      </x:c>
      <x:c r="F106" s="2"/>
      <x:c r="G106" s="2"/>
    </x:row>
    <x:row r="107" ht="23" customHeight="1">
      <x:c r="A107" s="4" t="n">
        <x:v>41306</x:v>
      </x:c>
      <x:c r="B107" s="30" t="n">
        <x:v>9834.160007</x:v>
      </x:c>
      <x:c r="C107" s="30" t="n">
        <x:v>3961.686119</x:v>
      </x:c>
      <x:c r="D107" s="30" t="n">
        <x:v>3923.973888</x:v>
      </x:c>
      <x:c r="E107" s="30" t="n">
        <x:v>1948.5</x:v>
      </x:c>
      <x:c r="F107" s="2"/>
      <x:c r="G107" s="2"/>
    </x:row>
    <x:row r="108" ht="23" customHeight="1">
      <x:c r="A108" s="4" t="n">
        <x:v>41334</x:v>
      </x:c>
      <x:c r="B108" s="30" t="n">
        <x:v>9756.129308</x:v>
      </x:c>
      <x:c r="C108" s="30" t="n">
        <x:v>3612.835111</x:v>
      </x:c>
      <x:c r="D108" s="30" t="n">
        <x:v>3899.194197</x:v>
      </x:c>
      <x:c r="E108" s="30" t="n">
        <x:v>2244.1</x:v>
      </x:c>
      <x:c r="F108" s="2"/>
      <x:c r="G108" s="2"/>
    </x:row>
    <x:row r="109" ht="23" customHeight="1">
      <x:c r="A109" s="4" t="n">
        <x:v>41365</x:v>
      </x:c>
      <x:c r="B109" s="30" t="n">
        <x:v>9307.334163</x:v>
      </x:c>
      <x:c r="C109" s="30" t="n">
        <x:v>3239.380702</x:v>
      </x:c>
      <x:c r="D109" s="30" t="n">
        <x:v>3852.153461</x:v>
      </x:c>
      <x:c r="E109" s="30" t="n">
        <x:v>2215.8</x:v>
      </x:c>
      <x:c r="F109" s="2"/>
      <x:c r="G109" s="2"/>
    </x:row>
    <x:row r="110" ht="23" customHeight="1">
      <x:c r="A110" s="4" t="n">
        <x:v>41395</x:v>
      </x:c>
      <x:c r="B110" s="30" t="n">
        <x:v>10232.825394</x:v>
      </x:c>
      <x:c r="C110" s="30" t="n">
        <x:v>3919.668996</x:v>
      </x:c>
      <x:c r="D110" s="30" t="n">
        <x:v>4015.256398</x:v>
      </x:c>
      <x:c r="E110" s="30" t="n">
        <x:v>2297.9</x:v>
      </x:c>
      <x:c r="F110" s="2"/>
      <x:c r="G110" s="2"/>
    </x:row>
    <x:row r="111" ht="23" customHeight="1">
      <x:c r="A111" s="4" t="n">
        <x:v>41426</x:v>
      </x:c>
      <x:c r="B111" s="30" t="n">
        <x:v>10360.537194</x:v>
      </x:c>
      <x:c r="C111" s="30" t="n">
        <x:v>4409.51394</x:v>
      </x:c>
      <x:c r="D111" s="30" t="n">
        <x:v>3836.723254</x:v>
      </x:c>
      <x:c r="E111" s="30" t="n">
        <x:v>2114.3</x:v>
      </x:c>
      <x:c r="F111" s="2"/>
      <x:c r="G111" s="2"/>
    </x:row>
    <x:row r="112" ht="23" customHeight="1">
      <x:c r="A112" s="4" t="n">
        <x:v>41456</x:v>
      </x:c>
      <x:c r="B112" s="30" t="n">
        <x:v>11156.173393</x:v>
      </x:c>
      <x:c r="C112" s="30" t="n">
        <x:v>5088.495112</x:v>
      </x:c>
      <x:c r="D112" s="30" t="n">
        <x:v>3929.678281</x:v>
      </x:c>
      <x:c r="E112" s="30" t="n">
        <x:v>2138</x:v>
      </x:c>
      <x:c r="F112" s="2"/>
      <x:c r="G112" s="2"/>
    </x:row>
    <x:row r="113" ht="23" customHeight="1">
      <x:c r="A113" s="4" t="n">
        <x:v>41487</x:v>
      </x:c>
      <x:c r="B113" s="30" t="n">
        <x:v>10904.479243</x:v>
      </x:c>
      <x:c r="C113" s="30" t="n">
        <x:v>4782.603023</x:v>
      </x:c>
      <x:c r="D113" s="30" t="n">
        <x:v>3915.17622</x:v>
      </x:c>
      <x:c r="E113" s="30" t="n">
        <x:v>2206.7</x:v>
      </x:c>
      <x:c r="F113" s="2"/>
      <x:c r="G113" s="2"/>
    </x:row>
    <x:row r="114" ht="23" customHeight="1">
      <x:c r="A114" s="4" t="n">
        <x:v>41518</x:v>
      </x:c>
      <x:c r="B114" s="30" t="n">
        <x:v>10195.872995</x:v>
      </x:c>
      <x:c r="C114" s="30" t="n">
        <x:v>4072.686172</x:v>
      </x:c>
      <x:c r="D114" s="30" t="n">
        <x:v>3909.286823</x:v>
      </x:c>
      <x:c r="E114" s="30" t="n">
        <x:v>2213.9</x:v>
      </x:c>
      <x:c r="F114" s="2"/>
      <x:c r="G114" s="2"/>
    </x:row>
    <x:row r="115" ht="23" customHeight="1">
      <x:c r="A115" s="4" t="n">
        <x:v>41548</x:v>
      </x:c>
      <x:c r="B115" s="30" t="n">
        <x:v>10045.715632</x:v>
      </x:c>
      <x:c r="C115" s="30" t="n">
        <x:v>3744.478197</x:v>
      </x:c>
      <x:c r="D115" s="30" t="n">
        <x:v>3967.437435</x:v>
      </x:c>
      <x:c r="E115" s="30" t="n">
        <x:v>2333.8</x:v>
      </x:c>
      <x:c r="F115" s="2"/>
      <x:c r="G115" s="2"/>
    </x:row>
    <x:row r="116" ht="23" customHeight="1">
      <x:c r="A116" s="4" t="n">
        <x:v>41579</x:v>
      </x:c>
      <x:c r="B116" s="30" t="n">
        <x:v>10015.701652</x:v>
      </x:c>
      <x:c r="C116" s="30" t="n">
        <x:v>3680.736448</x:v>
      </x:c>
      <x:c r="D116" s="30" t="n">
        <x:v>4096.265204</x:v>
      </x:c>
      <x:c r="E116" s="30" t="n">
        <x:v>2238.7</x:v>
      </x:c>
      <x:c r="F116" s="2"/>
      <x:c r="G116" s="2"/>
    </x:row>
    <x:row r="117" ht="23" customHeight="1">
      <x:c r="A117" s="4" t="n">
        <x:v>41609</x:v>
      </x:c>
      <x:c r="B117" s="30" t="n">
        <x:v>12291.286493</x:v>
      </x:c>
      <x:c r="C117" s="30" t="n">
        <x:v>5338.633582</x:v>
      </x:c>
      <x:c r="D117" s="30" t="n">
        <x:v>4775.052911</x:v>
      </x:c>
      <x:c r="E117" s="30" t="n">
        <x:v>2177.6</x:v>
      </x:c>
      <x:c r="F117" s="2"/>
      <x:c r="G117" s="2"/>
    </x:row>
    <x:row r="118" ht="23" customHeight="1">
      <x:c r="A118" s="4" t="n">
        <x:v>41640</x:v>
      </x:c>
      <x:c r="B118" s="30" t="n">
        <x:v>12004.342368</x:v>
      </x:c>
      <x:c r="C118" s="30" t="n">
        <x:v>5350.96724</x:v>
      </x:c>
      <x:c r="D118" s="30" t="n">
        <x:v>4501.975128</x:v>
      </x:c>
      <x:c r="E118" s="30" t="n">
        <x:v>2151.4</x:v>
      </x:c>
      <x:c r="F118" s="2"/>
      <x:c r="G118" s="2"/>
    </x:row>
    <x:row r="119" ht="23" customHeight="1">
      <x:c r="A119" s="4" t="n">
        <x:v>41671</x:v>
      </x:c>
      <x:c r="B119" s="30" t="n">
        <x:v>9823.968201</x:v>
      </x:c>
      <x:c r="C119" s="30" t="n">
        <x:v>3883.77533</x:v>
      </x:c>
      <x:c r="D119" s="30" t="n">
        <x:v>3875.392871</x:v>
      </x:c>
      <x:c r="E119" s="30" t="n">
        <x:v>2064.8</x:v>
      </x:c>
      <x:c r="F119" s="2"/>
      <x:c r="G119" s="2"/>
    </x:row>
    <x:row r="120" ht="23" customHeight="1">
      <x:c r="A120" s="4" t="n">
        <x:v>41699</x:v>
      </x:c>
      <x:c r="B120" s="30" t="n">
        <x:v>9789.798789</x:v>
      </x:c>
      <x:c r="C120" s="30" t="n">
        <x:v>3666.868681</x:v>
      </x:c>
      <x:c r="D120" s="30" t="n">
        <x:v>3944.030108</x:v>
      </x:c>
      <x:c r="E120" s="30" t="n">
        <x:v>2178.9</x:v>
      </x:c>
      <x:c r="F120" s="2"/>
      <x:c r="G120" s="2"/>
    </x:row>
    <x:row r="121" ht="23" customHeight="1">
      <x:c r="A121" s="4" t="n">
        <x:v>41730</x:v>
      </x:c>
      <x:c r="B121" s="30" t="n">
        <x:v>9595.37435</x:v>
      </x:c>
      <x:c r="C121" s="30" t="n">
        <x:v>3542.163135</x:v>
      </x:c>
      <x:c r="D121" s="30" t="n">
        <x:v>3869.911215</x:v>
      </x:c>
      <x:c r="E121" s="30" t="n">
        <x:v>2183.3</x:v>
      </x:c>
      <x:c r="F121" s="2"/>
      <x:c r="G121" s="2"/>
    </x:row>
    <x:row r="122" ht="23" customHeight="1">
      <x:c r="A122" s="4" t="n">
        <x:v>41760</x:v>
      </x:c>
      <x:c r="B122" s="30" t="n">
        <x:v>10409.105006</x:v>
      </x:c>
      <x:c r="C122" s="30" t="n">
        <x:v>4182.488527</x:v>
      </x:c>
      <x:c r="D122" s="30" t="n">
        <x:v>4007.216479</x:v>
      </x:c>
      <x:c r="E122" s="30" t="n">
        <x:v>2219.4</x:v>
      </x:c>
      <x:c r="F122" s="2"/>
      <x:c r="G122" s="2"/>
    </x:row>
    <x:row r="123" ht="23" customHeight="1">
      <x:c r="A123" s="4" t="n">
        <x:v>41791</x:v>
      </x:c>
      <x:c r="B123" s="30" t="n">
        <x:v>10901.714976</x:v>
      </x:c>
      <x:c r="C123" s="30" t="n">
        <x:v>4790.674034</x:v>
      </x:c>
      <x:c r="D123" s="30" t="n">
        <x:v>3995.140942</x:v>
      </x:c>
      <x:c r="E123" s="30" t="n">
        <x:v>2115.9</x:v>
      </x:c>
      <x:c r="F123" s="2"/>
      <x:c r="G123" s="2"/>
    </x:row>
    <x:row r="124" ht="23" customHeight="1">
      <x:c r="A124" s="4" t="n">
        <x:v>41821</x:v>
      </x:c>
      <x:c r="B124" s="30" t="n">
        <x:v>11363.942102</x:v>
      </x:c>
      <x:c r="C124" s="30" t="n">
        <x:v>5115.928828</x:v>
      </x:c>
      <x:c r="D124" s="30" t="n">
        <x:v>4121.013274</x:v>
      </x:c>
      <x:c r="E124" s="30" t="n">
        <x:v>2127</x:v>
      </x:c>
      <x:c r="F124" s="2"/>
      <x:c r="G124" s="2"/>
    </x:row>
    <x:row r="125" ht="23" customHeight="1">
      <x:c r="A125" s="4" t="n">
        <x:v>41852</x:v>
      </x:c>
      <x:c r="B125" s="30" t="n">
        <x:v>10490.682389</x:v>
      </x:c>
      <x:c r="C125" s="30" t="n">
        <x:v>4454.936701</x:v>
      </x:c>
      <x:c r="D125" s="30" t="n">
        <x:v>3946.345688</x:v>
      </x:c>
      <x:c r="E125" s="30" t="n">
        <x:v>2089.4</x:v>
      </x:c>
      <x:c r="F125" s="2"/>
      <x:c r="G125" s="2"/>
    </x:row>
    <x:row r="126" ht="23" customHeight="1">
      <x:c r="A126" s="4" t="n">
        <x:v>41883</x:v>
      </x:c>
      <x:c r="B126" s="30" t="n">
        <x:v>9807.544191</x:v>
      </x:c>
      <x:c r="C126" s="30" t="n">
        <x:v>3746.934696</x:v>
      </x:c>
      <x:c r="D126" s="30" t="n">
        <x:v>3942.809495</x:v>
      </x:c>
      <x:c r="E126" s="30" t="n">
        <x:v>2117.8</x:v>
      </x:c>
      <x:c r="F126" s="2"/>
      <x:c r="G126" s="2"/>
    </x:row>
    <x:row r="127" ht="23" customHeight="1">
      <x:c r="A127" s="4" t="n">
        <x:v>41913</x:v>
      </x:c>
      <x:c r="B127" s="30" t="n">
        <x:v>10706.493141</x:v>
      </x:c>
      <x:c r="C127" s="30" t="n">
        <x:v>4186.567587</x:v>
      </x:c>
      <x:c r="D127" s="30" t="n">
        <x:v>4233.925554</x:v>
      </x:c>
      <x:c r="E127" s="30" t="n">
        <x:v>2286</x:v>
      </x:c>
      <x:c r="F127" s="2"/>
      <x:c r="G127" s="2"/>
    </x:row>
    <x:row r="128" ht="23" customHeight="1">
      <x:c r="A128" s="4" t="n">
        <x:v>41944</x:v>
      </x:c>
      <x:c r="B128" s="30" t="n">
        <x:v>10344.736672</x:v>
      </x:c>
      <x:c r="C128" s="30" t="n">
        <x:v>3928.614071</x:v>
      </x:c>
      <x:c r="D128" s="30" t="n">
        <x:v>4181.122601</x:v>
      </x:c>
      <x:c r="E128" s="30" t="n">
        <x:v>2235</x:v>
      </x:c>
      <x:c r="F128" s="2"/>
      <x:c r="G128" s="2"/>
    </x:row>
    <x:row r="129" ht="23" customHeight="1">
      <x:c r="A129" s="4" t="n">
        <x:v>41974</x:v>
      </x:c>
      <x:c r="B129" s="30" t="n">
        <x:v>11229.37782</x:v>
      </x:c>
      <x:c r="C129" s="30" t="n">
        <x:v>4594.222428</x:v>
      </x:c>
      <x:c r="D129" s="30" t="n">
        <x:v>4422.155392</x:v>
      </x:c>
      <x:c r="E129" s="30" t="n">
        <x:v>2213</x:v>
      </x:c>
      <x:c r="F129" s="2"/>
      <x:c r="G129" s="2"/>
    </x:row>
    <x:row r="130" ht="23" customHeight="1">
      <x:c r="A130" s="4" t="n">
        <x:v>42005</x:v>
      </x:c>
      <x:c r="B130" s="30" t="n">
        <x:v>11706.190093</x:v>
      </x:c>
      <x:c r="C130" s="30" t="n">
        <x:v>5096.405805</x:v>
      </x:c>
      <x:c r="D130" s="30" t="n">
        <x:v>4485.881622</x:v>
      </x:c>
      <x:c r="E130" s="30" t="n">
        <x:v>2123.902666</x:v>
      </x:c>
      <x:c r="F130" s="2"/>
      <x:c r="G130" s="2"/>
    </x:row>
    <x:row r="131" ht="23" customHeight="1">
      <x:c r="A131" s="4" t="n">
        <x:v>42036</x:v>
      </x:c>
      <x:c r="B131" s="30" t="n">
        <x:v>10665.086621</x:v>
      </x:c>
      <x:c r="C131" s="30" t="n">
        <x:v>4438.153482</x:v>
      </x:c>
      <x:c r="D131" s="30" t="n">
        <x:v>4195.116419</x:v>
      </x:c>
      <x:c r="E131" s="30" t="n">
        <x:v>2031.81672</x:v>
      </x:c>
      <x:c r="F131" s="2"/>
      <x:c r="G131" s="2"/>
    </x:row>
    <x:row r="132" ht="23" customHeight="1">
      <x:c r="A132" s="4" t="n">
        <x:v>42064</x:v>
      </x:c>
      <x:c r="B132" s="30" t="n">
        <x:v>11548.527072</x:v>
      </x:c>
      <x:c r="C132" s="30" t="n">
        <x:v>4823.9677</x:v>
      </x:c>
      <x:c r="D132" s="30" t="n">
        <x:v>4487.951318</x:v>
      </x:c>
      <x:c r="E132" s="30" t="n">
        <x:v>2236.608054</x:v>
      </x:c>
      <x:c r="F132" s="2"/>
      <x:c r="G132" s="2"/>
    </x:row>
    <x:row r="133" ht="23" customHeight="1">
      <x:c r="A133" s="4" t="n">
        <x:v>42095</x:v>
      </x:c>
      <x:c r="B133" s="30" t="n">
        <x:v>10026.43476</x:v>
      </x:c>
      <x:c r="C133" s="30" t="n">
        <x:v>3756.852843</x:v>
      </x:c>
      <x:c r="D133" s="30" t="n">
        <x:v>4112.087066</x:v>
      </x:c>
      <x:c r="E133" s="30" t="n">
        <x:v>2157.494851</x:v>
      </x:c>
      <x:c r="F133" s="2"/>
      <x:c r="G133" s="2"/>
    </x:row>
    <x:row r="134" ht="23" customHeight="1">
      <x:c r="A134" s="4" t="n">
        <x:v>42125</x:v>
      </x:c>
      <x:c r="B134" s="30" t="n">
        <x:v>10467.633693</x:v>
      </x:c>
      <x:c r="C134" s="30" t="n">
        <x:v>4224.672651</x:v>
      </x:c>
      <x:c r="D134" s="30" t="n">
        <x:v>4096.94637</x:v>
      </x:c>
      <x:c r="E134" s="30" t="n">
        <x:v>2146.014672</x:v>
      </x:c>
      <x:c r="F134" s="2"/>
      <x:c r="G134" s="2"/>
    </x:row>
    <x:row r="135" ht="23" customHeight="1">
      <x:c r="A135" s="4" t="n">
        <x:v>42156</x:v>
      </x:c>
      <x:c r="B135" s="30" t="n">
        <x:v>11254.419667</x:v>
      </x:c>
      <x:c r="C135" s="30" t="n">
        <x:v>4941.27559</x:v>
      </x:c>
      <x:c r="D135" s="30" t="n">
        <x:v>4222.780597</x:v>
      </x:c>
      <x:c r="E135" s="30" t="n">
        <x:v>2090.36348</x:v>
      </x:c>
      <x:c r="F135" s="2"/>
      <x:c r="G135" s="2"/>
    </x:row>
    <x:row r="136" ht="23" customHeight="1">
      <x:c r="A136" s="4" t="n">
        <x:v>42186</x:v>
      </x:c>
      <x:c r="B136" s="30" t="n">
        <x:v>11907.361919</x:v>
      </x:c>
      <x:c r="C136" s="30" t="n">
        <x:v>5513.160882</x:v>
      </x:c>
      <x:c r="D136" s="30" t="n">
        <x:v>4299.603255</x:v>
      </x:c>
      <x:c r="E136" s="30" t="n">
        <x:v>2094.597782</x:v>
      </x:c>
      <x:c r="F136" s="2"/>
      <x:c r="G136" s="2"/>
    </x:row>
    <x:row r="137" ht="23" customHeight="1">
      <x:c r="A137" s="4" t="n">
        <x:v>42217</x:v>
      </x:c>
      <x:c r="B137" s="30" t="n">
        <x:v>11130.262808</x:v>
      </x:c>
      <x:c r="C137" s="30" t="n">
        <x:v>4797.705122</x:v>
      </x:c>
      <x:c r="D137" s="30" t="n">
        <x:v>4221.518892</x:v>
      </x:c>
      <x:c r="E137" s="30" t="n">
        <x:v>2111.038794</x:v>
      </x:c>
      <x:c r="F137" s="2"/>
      <x:c r="G137" s="2"/>
    </x:row>
    <x:row r="138" ht="23" customHeight="1">
      <x:c r="A138" s="4" t="n">
        <x:v>42248</x:v>
      </x:c>
      <x:c r="B138" s="30" t="n">
        <x:v>10552.903241</x:v>
      </x:c>
      <x:c r="C138" s="30" t="n">
        <x:v>4350.513945</x:v>
      </x:c>
      <x:c r="D138" s="30" t="n">
        <x:v>4068.358096</x:v>
      </x:c>
      <x:c r="E138" s="30" t="n">
        <x:v>2134.0312</x:v>
      </x:c>
      <x:c r="F138" s="2"/>
      <x:c r="G138" s="2"/>
    </x:row>
    <x:row r="139" ht="23" customHeight="1">
      <x:c r="A139" s="4" t="n">
        <x:v>42278</x:v>
      </x:c>
      <x:c r="B139" s="30" t="n">
        <x:v>10722.174389</x:v>
      </x:c>
      <x:c r="C139" s="30" t="n">
        <x:v>4362.416913</x:v>
      </x:c>
      <x:c r="D139" s="30" t="n">
        <x:v>4083.188677</x:v>
      </x:c>
      <x:c r="E139" s="30" t="n">
        <x:v>2276.568799</x:v>
      </x:c>
      <x:c r="F139" s="2"/>
      <x:c r="G139" s="2"/>
    </x:row>
    <x:row r="140" ht="23" customHeight="1">
      <x:c r="A140" s="4" t="n">
        <x:v>42309</x:v>
      </x:c>
      <x:c r="B140" s="30" t="n">
        <x:v>10219.189482</x:v>
      </x:c>
      <x:c r="C140" s="30" t="n">
        <x:v>3922.901043</x:v>
      </x:c>
      <x:c r="D140" s="30" t="n">
        <x:v>4073.261068</x:v>
      </x:c>
      <x:c r="E140" s="30" t="n">
        <x:v>2223.027371</x:v>
      </x:c>
      <x:c r="F140" s="2"/>
      <x:c r="G140" s="2"/>
    </x:row>
    <x:row r="141" ht="23" customHeight="1">
      <x:c r="A141" s="4" t="n">
        <x:v>42339</x:v>
      </x:c>
      <x:c r="B141" s="30" t="n">
        <x:v>11909.435561</x:v>
      </x:c>
      <x:c r="C141" s="30" t="n">
        <x:v>5196.47196</x:v>
      </x:c>
      <x:c r="D141" s="30" t="n">
        <x:v>4559.777176</x:v>
      </x:c>
      <x:c r="E141" s="30" t="n">
        <x:v>2153.186425</x:v>
      </x:c>
      <x:c r="F141" s="2"/>
      <x:c r="G141" s="2"/>
    </x:row>
    <x:row r="142" ht="23" customHeight="1">
      <x:c r="A142" s="4" t="n">
        <x:v>42370</x:v>
      </x:c>
      <x:c r="B142" s="30" t="n">
        <x:v>12344.911762</x:v>
      </x:c>
      <x:c r="C142" s="30" t="n">
        <x:v>5651.444906</x:v>
      </x:c>
      <x:c r="D142" s="30" t="n">
        <x:v>4611.116668</x:v>
      </x:c>
      <x:c r="E142" s="30" t="n">
        <x:v>2082.350188</x:v>
      </x:c>
      <x:c r="F142" s="2"/>
      <x:c r="G142" s="2"/>
    </x:row>
    <x:row r="143" ht="23" customHeight="1">
      <x:c r="A143" s="4" t="n">
        <x:v>42401</x:v>
      </x:c>
      <x:c r="B143" s="30" t="n">
        <x:v>11731.845101</x:v>
      </x:c>
      <x:c r="C143" s="30" t="n">
        <x:v>5012.872809</x:v>
      </x:c>
      <x:c r="D143" s="30" t="n">
        <x:v>4674.575348</x:v>
      </x:c>
      <x:c r="E143" s="30" t="n">
        <x:v>2044.396944</x:v>
      </x:c>
      <x:c r="F143" s="2"/>
      <x:c r="G143" s="2"/>
    </x:row>
    <x:row r="144" ht="23" customHeight="1">
      <x:c r="A144" s="4" t="n">
        <x:v>42430</x:v>
      </x:c>
      <x:c r="B144" s="30" t="n">
        <x:v>10461.47592</x:v>
      </x:c>
      <x:c r="C144" s="30" t="n">
        <x:v>4021.324887</x:v>
      </x:c>
      <x:c r="D144" s="30" t="n">
        <x:v>4327.849414</x:v>
      </x:c>
      <x:c r="E144" s="30" t="n">
        <x:v>2112.301619</x:v>
      </x:c>
      <x:c r="F144" s="2"/>
      <x:c r="G144" s="2"/>
    </x:row>
    <x:row r="145" ht="23" customHeight="1">
      <x:c r="A145" s="4" t="n">
        <x:v>42461</x:v>
      </x:c>
      <x:c r="B145" s="30" t="n">
        <x:v>10292.000856</x:v>
      </x:c>
      <x:c r="C145" s="30" t="n">
        <x:v>4104.173856</x:v>
      </x:c>
      <x:c r="D145" s="30" t="n">
        <x:v>4148.353996</x:v>
      </x:c>
      <x:c r="E145" s="30" t="n">
        <x:v>2039.473004</x:v>
      </x:c>
      <x:c r="F145" s="2"/>
      <x:c r="G145" s="2"/>
    </x:row>
    <x:row r="146" ht="23" customHeight="1">
      <x:c r="A146" s="4" t="n">
        <x:v>42491</x:v>
      </x:c>
      <x:c r="B146" s="30" t="n">
        <x:v>11358.011628</x:v>
      </x:c>
      <x:c r="C146" s="30" t="n">
        <x:v>4941.165168</x:v>
      </x:c>
      <x:c r="D146" s="30" t="n">
        <x:v>4359.505856</x:v>
      </x:c>
      <x:c r="E146" s="30" t="n">
        <x:v>2057.340604</x:v>
      </x:c>
      <x:c r="F146" s="2"/>
      <x:c r="G146" s="2"/>
    </x:row>
    <x:row r="147" ht="23" customHeight="1">
      <x:c r="A147" s="4" t="n">
        <x:v>42522</x:v>
      </x:c>
      <x:c r="B147" s="30" t="n">
        <x:v>11812.94705</x:v>
      </x:c>
      <x:c r="C147" s="30" t="n">
        <x:v>5634.190447</x:v>
      </x:c>
      <x:c r="D147" s="30" t="n">
        <x:v>4282.498971</x:v>
      </x:c>
      <x:c r="E147" s="30" t="n">
        <x:v>1896.257632</x:v>
      </x:c>
      <x:c r="F147" s="2"/>
      <x:c r="G147" s="2"/>
    </x:row>
    <x:row r="148" ht="23" customHeight="1">
      <x:c r="A148" s="4" t="n">
        <x:v>42552</x:v>
      </x:c>
      <x:c r="B148" s="30" t="n">
        <x:v>11929.645375</x:v>
      </x:c>
      <x:c r="C148" s="30" t="n">
        <x:v>5614.534651</x:v>
      </x:c>
      <x:c r="D148" s="30" t="n">
        <x:v>4365.764848</x:v>
      </x:c>
      <x:c r="E148" s="30" t="n">
        <x:v>1949.345876</x:v>
      </x:c>
      <x:c r="F148" s="2"/>
      <x:c r="G148" s="2"/>
    </x:row>
    <x:row r="149" ht="23" customHeight="1">
      <x:c r="A149" s="4" t="n">
        <x:v>42583</x:v>
      </x:c>
      <x:c r="B149" s="30" t="n">
        <x:v>10855.441952</x:v>
      </x:c>
      <x:c r="C149" s="30" t="n">
        <x:v>4663.796035</x:v>
      </x:c>
      <x:c r="D149" s="30" t="n">
        <x:v>4249.089462</x:v>
      </x:c>
      <x:c r="E149" s="30" t="n">
        <x:v>1942.556455</x:v>
      </x:c>
      <x:c r="F149" s="2"/>
      <x:c r="G149" s="2"/>
    </x:row>
    <x:row r="150" ht="23" customHeight="1">
      <x:c r="A150" s="4" t="n">
        <x:v>42614</x:v>
      </x:c>
      <x:c r="B150" s="30" t="n">
        <x:v>10382.081134</x:v>
      </x:c>
      <x:c r="C150" s="30" t="n">
        <x:v>4351.181774</x:v>
      </x:c>
      <x:c r="D150" s="30" t="n">
        <x:v>4063.593245</x:v>
      </x:c>
      <x:c r="E150" s="30" t="n">
        <x:v>1967.306115</x:v>
      </x:c>
      <x:c r="F150" s="2"/>
      <x:c r="G150" s="2"/>
    </x:row>
    <x:row r="151" ht="23" customHeight="1">
      <x:c r="A151" s="4" t="n">
        <x:v>42644</x:v>
      </x:c>
      <x:c r="B151" s="30" t="n">
        <x:v>9956.038875</x:v>
      </x:c>
      <x:c r="C151" s="30" t="n">
        <x:v>3953.447552</x:v>
      </x:c>
      <x:c r="D151" s="30" t="n">
        <x:v>3985.43731</x:v>
      </x:c>
      <x:c r="E151" s="30" t="n">
        <x:v>2017.154013</x:v>
      </x:c>
      <x:c r="F151" s="2"/>
      <x:c r="G151" s="2"/>
    </x:row>
    <x:row r="152" ht="23" customHeight="1">
      <x:c r="A152" s="4" t="n">
        <x:v>42675</x:v>
      </x:c>
      <x:c r="B152" s="30" t="n">
        <x:v>10132.540584</x:v>
      </x:c>
      <x:c r="C152" s="30" t="n">
        <x:v>3970.327674</x:v>
      </x:c>
      <x:c r="D152" s="30" t="n">
        <x:v>4142.364061</x:v>
      </x:c>
      <x:c r="E152" s="30" t="n">
        <x:v>2019.848849</x:v>
      </x:c>
      <x:c r="F152" s="2"/>
      <x:c r="G152" s="2"/>
    </x:row>
    <x:row r="153" ht="23" customHeight="1">
      <x:c r="A153" s="4" t="n">
        <x:v>42705</x:v>
      </x:c>
      <x:c r="B153" s="30" t="n">
        <x:v>11853.854388</x:v>
      </x:c>
      <x:c r="C153" s="30" t="n">
        <x:v>5148.81767</x:v>
      </x:c>
      <x:c r="D153" s="30" t="n">
        <x:v>4687.28346</x:v>
      </x:c>
      <x:c r="E153" s="30" t="n">
        <x:v>2017.753258</x:v>
      </x:c>
      <x:c r="F153" s="2"/>
      <x:c r="G153" s="2"/>
    </x:row>
    <x:row r="154" ht="23" customHeight="1">
      <x:c r="A154" s="4" t="n">
        <x:v>42736</x:v>
      </x:c>
      <x:c r="B154" s="30" t="n">
        <x:v>12524.865646</x:v>
      </x:c>
      <x:c r="C154" s="30" t="n">
        <x:v>5681.816626</x:v>
      </x:c>
      <x:c r="D154" s="30" t="n">
        <x:v>4849.477855</x:v>
      </x:c>
      <x:c r="E154" s="30" t="n">
        <x:v>1993.571165</x:v>
      </x:c>
      <x:c r="F154" s="2"/>
      <x:c r="G154" s="2"/>
    </x:row>
    <x:row r="155" ht="23" customHeight="1">
      <x:c r="A155" s="4" t="n">
        <x:v>42767</x:v>
      </x:c>
      <x:c r="B155" s="30" t="n">
        <x:v>11074.906499</x:v>
      </x:c>
      <x:c r="C155" s="30" t="n">
        <x:v>4618.2261</x:v>
      </x:c>
      <x:c r="D155" s="30" t="n">
        <x:v>4551.831478</x:v>
      </x:c>
      <x:c r="E155" s="30" t="n">
        <x:v>1904.848921</x:v>
      </x:c>
      <x:c r="F155" s="2"/>
      <x:c r="G155" s="2"/>
    </x:row>
    <x:row r="156" ht="23" customHeight="1">
      <x:c r="A156" s="4" t="n">
        <x:v>42795</x:v>
      </x:c>
      <x:c r="B156" s="30" t="n">
        <x:v>11122.231555</x:v>
      </x:c>
      <x:c r="C156" s="30" t="n">
        <x:v>4470.715122</x:v>
      </x:c>
      <x:c r="D156" s="30" t="n">
        <x:v>4514.651091</x:v>
      </x:c>
      <x:c r="E156" s="30" t="n">
        <x:v>2136.865342</x:v>
      </x:c>
      <x:c r="F156" s="2"/>
      <x:c r="G156" s="2"/>
    </x:row>
    <x:row r="157" ht="23" customHeight="1">
      <x:c r="A157" s="4" t="n">
        <x:v>42826</x:v>
      </x:c>
      <x:c r="B157" s="30" t="n">
        <x:v>9793.758585</x:v>
      </x:c>
      <x:c r="C157" s="30" t="n">
        <x:v>3754.330119</x:v>
      </x:c>
      <x:c r="D157" s="30" t="n">
        <x:v>3986.450327</x:v>
      </x:c>
      <x:c r="E157" s="30" t="n">
        <x:v>2052.978139</x:v>
      </x:c>
      <x:c r="F157" s="2"/>
      <x:c r="G157" s="2"/>
    </x:row>
    <x:row r="158" ht="23" customHeight="1">
      <x:c r="A158" s="4" t="n">
        <x:v>42856</x:v>
      </x:c>
      <x:c r="B158" s="30" t="n">
        <x:v>10795.213415</x:v>
      </x:c>
      <x:c r="C158" s="30" t="n">
        <x:v>4524.024791</x:v>
      </x:c>
      <x:c r="D158" s="30" t="n">
        <x:v>4136.934659</x:v>
      </x:c>
      <x:c r="E158" s="30" t="n">
        <x:v>2134.253965</x:v>
      </x:c>
      <x:c r="F158" s="2"/>
      <x:c r="G158" s="2"/>
    </x:row>
    <x:row r="159" ht="23" customHeight="1">
      <x:c r="A159" s="4" t="n">
        <x:v>42887</x:v>
      </x:c>
      <x:c r="B159" s="30" t="n">
        <x:v>11359.330662</x:v>
      </x:c>
      <x:c r="C159" s="30" t="n">
        <x:v>5180.585335</x:v>
      </x:c>
      <x:c r="D159" s="30" t="n">
        <x:v>4150.183839</x:v>
      </x:c>
      <x:c r="E159" s="30" t="n">
        <x:v>2028.561488</x:v>
      </x:c>
      <x:c r="F159" s="2"/>
      <x:c r="G159" s="2"/>
    </x:row>
    <x:row r="160" ht="23" customHeight="1">
      <x:c r="A160" s="4" t="n">
        <x:v>42917</x:v>
      </x:c>
      <x:c r="B160" s="30" t="n">
        <x:v>11796.425757</x:v>
      </x:c>
      <x:c r="C160" s="30" t="n">
        <x:v>5460.615925</x:v>
      </x:c>
      <x:c r="D160" s="30" t="n">
        <x:v>4259.709195</x:v>
      </x:c>
      <x:c r="E160" s="30" t="n">
        <x:v>2076.100637</x:v>
      </x:c>
      <x:c r="F160" s="2"/>
      <x:c r="G160" s="2"/>
    </x:row>
    <x:row r="161" ht="23" customHeight="1">
      <x:c r="A161" s="4" t="n">
        <x:v>42948</x:v>
      </x:c>
      <x:c r="B161" s="30" t="n">
        <x:v>11107.250705</x:v>
      </x:c>
      <x:c r="C161" s="30" t="n">
        <x:v>4767.354968</x:v>
      </x:c>
      <x:c r="D161" s="30" t="n">
        <x:v>4209.854414</x:v>
      </x:c>
      <x:c r="E161" s="30" t="n">
        <x:v>2130.041323</x:v>
      </x:c>
      <x:c r="F161" s="2"/>
      <x:c r="G161" s="2"/>
    </x:row>
    <x:row r="162" ht="23" customHeight="1">
      <x:c r="A162" s="4" t="n">
        <x:v>42979</x:v>
      </x:c>
      <x:c r="B162" s="30" t="n">
        <x:v>10348.584548</x:v>
      </x:c>
      <x:c r="C162" s="30" t="n">
        <x:v>4217.808567</x:v>
      </x:c>
      <x:c r="D162" s="30" t="n">
        <x:v>4047.932339</x:v>
      </x:c>
      <x:c r="E162" s="30" t="n">
        <x:v>2082.843642</x:v>
      </x:c>
      <x:c r="F162" s="2"/>
      <x:c r="G162" s="2"/>
    </x:row>
    <x:row r="163" ht="23" customHeight="1">
      <x:c r="A163" s="4" t="n">
        <x:v>43009</x:v>
      </x:c>
      <x:c r="B163" s="30" t="n">
        <x:v>10227.329313</x:v>
      </x:c>
      <x:c r="C163" s="30" t="n">
        <x:v>3979.729611</x:v>
      </x:c>
      <x:c r="D163" s="30" t="n">
        <x:v>4116.218026</x:v>
      </x:c>
      <x:c r="E163" s="30" t="n">
        <x:v>2131.381676</x:v>
      </x:c>
      <x:c r="F163" s="2"/>
      <x:c r="G163" s="2"/>
    </x:row>
    <x:row r="164" ht="23" customHeight="1">
      <x:c r="A164" s="4" t="n">
        <x:v>43040</x:v>
      </x:c>
      <x:c r="B164" s="30" t="n">
        <x:v>10355.727486</x:v>
      </x:c>
      <x:c r="C164" s="30" t="n">
        <x:v>4035.43194</x:v>
      </x:c>
      <x:c r="D164" s="30" t="n">
        <x:v>4172.293125</x:v>
      </x:c>
      <x:c r="E164" s="30" t="n">
        <x:v>2148.002421</x:v>
      </x:c>
      <x:c r="F164" s="2"/>
      <x:c r="G164" s="2"/>
    </x:row>
    <x:row r="165" ht="23" customHeight="1">
      <x:c r="A165" s="4" t="n">
        <x:v>43070</x:v>
      </x:c>
      <x:c r="B165" s="30" t="n">
        <x:v>12024.595461</x:v>
      </x:c>
      <x:c r="C165" s="30" t="n">
        <x:v>5216.357134</x:v>
      </x:c>
      <x:c r="D165" s="30" t="n">
        <x:v>4700.319169</x:v>
      </x:c>
      <x:c r="E165" s="30" t="n">
        <x:v>2107.919158</x:v>
      </x:c>
      <x:c r="F165" s="2"/>
      <x:c r="G165" s="2"/>
    </x:row>
    <x:row r="166" ht="23" customHeight="1">
      <x:c r="A166" s="4" t="n">
        <x:v>43101</x:v>
      </x:c>
      <x:c r="B166" s="30" t="n">
        <x:v>12350.183342</x:v>
      </x:c>
      <x:c r="C166" s="30" t="n">
        <x:v>5468.676184</x:v>
      </x:c>
      <x:c r="D166" s="30" t="n">
        <x:v>4781.389061</x:v>
      </x:c>
      <x:c r="E166" s="30" t="n">
        <x:v>2100.118097</x:v>
      </x:c>
      <x:c r="F166" s="2"/>
      <x:c r="G166" s="2"/>
    </x:row>
    <x:row r="167" ht="23" customHeight="1">
      <x:c r="A167" s="4" t="n">
        <x:v>43132</x:v>
      </x:c>
      <x:c r="B167" s="30" t="n">
        <x:v>11404.202907</x:v>
      </x:c>
      <x:c r="C167" s="30" t="n">
        <x:v>4963.984865</x:v>
      </x:c>
      <x:c r="D167" s="30" t="n">
        <x:v>4409.163668</x:v>
      </x:c>
      <x:c r="E167" s="30" t="n">
        <x:v>2031.054374</x:v>
      </x:c>
      <x:c r="F167" s="2"/>
      <x:c r="G167" s="2"/>
    </x:row>
    <x:row r="168" ht="23" customHeight="1">
      <x:c r="A168" s="4" t="n">
        <x:v>43160</x:v>
      </x:c>
      <x:c r="B168" s="30" t="n">
        <x:v>11247.242147</x:v>
      </x:c>
      <x:c r="C168" s="30" t="n">
        <x:v>4493.104135</x:v>
      </x:c>
      <x:c r="D168" s="30" t="n">
        <x:v>4549.204478</x:v>
      </x:c>
      <x:c r="E168" s="30" t="n">
        <x:v>2204.933534</x:v>
      </x:c>
      <x:c r="F168" s="2"/>
      <x:c r="G168" s="2"/>
    </x:row>
    <x:row r="169" ht="23" customHeight="1">
      <x:c r="A169" s="4" t="n">
        <x:v>43191</x:v>
      </x:c>
      <x:c r="B169" s="30" t="n">
        <x:v>10493.314602</x:v>
      </x:c>
      <x:c r="C169" s="30" t="n">
        <x:v>4084.283375</x:v>
      </x:c>
      <x:c r="D169" s="30" t="n">
        <x:v>4264.484832</x:v>
      </x:c>
      <x:c r="E169" s="30" t="n">
        <x:v>2144.546395</x:v>
      </x:c>
      <x:c r="F169" s="2"/>
      <x:c r="G169" s="2"/>
    </x:row>
    <x:row r="170" ht="23" customHeight="1">
      <x:c r="A170" s="4" t="n">
        <x:v>43221</x:v>
      </x:c>
      <x:c r="B170" s="30" t="n">
        <x:v>10665.461535</x:v>
      </x:c>
      <x:c r="C170" s="30" t="n">
        <x:v>4282.854741</x:v>
      </x:c>
      <x:c r="D170" s="30" t="n">
        <x:v>4232.135998</x:v>
      </x:c>
      <x:c r="E170" s="30" t="n">
        <x:v>2150.470796</x:v>
      </x:c>
      <x:c r="F170" s="2"/>
      <x:c r="G170" s="2"/>
    </x:row>
    <x:row r="171" ht="23" customHeight="1">
      <x:c r="A171" s="4" t="n">
        <x:v>43252</x:v>
      </x:c>
      <x:c r="B171" s="30" t="n">
        <x:v>11925.912373</x:v>
      </x:c>
      <x:c r="C171" s="30" t="n">
        <x:v>5589.928854</x:v>
      </x:c>
      <x:c r="D171" s="30" t="n">
        <x:v>4314.391923</x:v>
      </x:c>
      <x:c r="E171" s="30" t="n">
        <x:v>2021.591596</x:v>
      </x:c>
      <x:c r="F171" s="2"/>
      <x:c r="G171" s="2"/>
    </x:row>
    <x:row r="172" ht="23" customHeight="1">
      <x:c r="A172" s="4" t="n">
        <x:v>43282</x:v>
      </x:c>
      <x:c r="B172" s="30" t="n">
        <x:v>12607.552746</x:v>
      </x:c>
      <x:c r="C172" s="30" t="n">
        <x:v>6193.356918</x:v>
      </x:c>
      <x:c r="D172" s="30" t="n">
        <x:v>4395.42939</x:v>
      </x:c>
      <x:c r="E172" s="30" t="n">
        <x:v>2018.766438</x:v>
      </x:c>
      <x:c r="F172" s="2"/>
      <x:c r="G172" s="2"/>
    </x:row>
    <x:row r="173" ht="23" customHeight="1">
      <x:c r="A173" s="4" t="n">
        <x:v>43313</x:v>
      </x:c>
      <x:c r="B173" s="30" t="n">
        <x:v>11721.305146</x:v>
      </x:c>
      <x:c r="C173" s="30" t="n">
        <x:v>5381.905856</x:v>
      </x:c>
      <x:c r="D173" s="30" t="n">
        <x:v>4291.441737</x:v>
      </x:c>
      <x:c r="E173" s="30" t="n">
        <x:v>2047.957553</x:v>
      </x:c>
      <x:c r="F173" s="2"/>
      <x:c r="G173" s="2"/>
    </x:row>
    <x:row r="174" ht="23" customHeight="1">
      <x:c r="A174" s="4" t="n">
        <x:v>43344</x:v>
      </x:c>
      <x:c r="B174" s="30" t="n">
        <x:v>9792.369117</x:v>
      </x:c>
      <x:c r="C174" s="30" t="n">
        <x:v>3928.162283</x:v>
      </x:c>
      <x:c r="D174" s="30" t="n">
        <x:v>3907.997234</x:v>
      </x:c>
      <x:c r="E174" s="30" t="n">
        <x:v>1956.2096</x:v>
      </x:c>
      <x:c r="F174" s="2"/>
      <x:c r="G174" s="2"/>
    </x:row>
    <x:row r="175" ht="23" customHeight="1">
      <x:c r="A175" s="4" t="n">
        <x:v>43374</x:v>
      </x:c>
      <x:c r="B175" s="30" t="n">
        <x:v>9904.218691</x:v>
      </x:c>
      <x:c r="C175" s="30" t="n">
        <x:v>3944.594703</x:v>
      </x:c>
      <x:c r="D175" s="30" t="n">
        <x:v>3978.8901</x:v>
      </x:c>
      <x:c r="E175" s="30" t="n">
        <x:v>1980.733888</x:v>
      </x:c>
      <x:c r="F175" s="2"/>
      <x:c r="G175" s="2"/>
    </x:row>
    <x:row r="176" ht="23" customHeight="1">
      <x:c r="A176" s="4" t="n">
        <x:v>43405</x:v>
      </x:c>
      <x:c r="B176" s="30" t="n">
        <x:v>10035.149399</x:v>
      </x:c>
      <x:c r="C176" s="30" t="n">
        <x:v>4001.581048</x:v>
      </x:c>
      <x:c r="D176" s="30" t="n">
        <x:v>4041.072386</x:v>
      </x:c>
      <x:c r="E176" s="30" t="n">
        <x:v>1992.495965</x:v>
      </x:c>
      <x:c r="F176" s="2"/>
      <x:c r="G176" s="2"/>
    </x:row>
    <x:row r="177" ht="23" customHeight="1">
      <x:c r="A177" s="4" t="n">
        <x:v>43435</x:v>
      </x:c>
      <x:c r="B177" s="30" t="n">
        <x:v>10863.012561</x:v>
      </x:c>
      <x:c r="C177" s="30" t="n">
        <x:v>4687.899371</x:v>
      </x:c>
      <x:c r="D177" s="30" t="n">
        <x:v>4305.440229</x:v>
      </x:c>
      <x:c r="E177" s="30" t="n">
        <x:v>1869.672961</x:v>
      </x:c>
      <x:c r="F177" s="2"/>
      <x:c r="G177" s="2"/>
    </x:row>
    <x:row r="178" ht="23" customHeight="1">
      <x:c r="A178" s="4" t="n">
        <x:v>43466</x:v>
      </x:c>
      <x:c r="B178" s="30" t="n">
        <x:v>11698.820402</x:v>
      </x:c>
      <x:c r="C178" s="30" t="n">
        <x:v>5280.257409</x:v>
      </x:c>
      <x:c r="D178" s="30" t="n">
        <x:v>4507.317265</x:v>
      </x:c>
      <x:c r="E178" s="30" t="n">
        <x:v>1911.245728</x:v>
      </x:c>
      <x:c r="F178" s="2"/>
      <x:c r="G178" s="2"/>
    </x:row>
    <x:row r="179" ht="23" customHeight="1">
      <x:c r="A179" s="4" t="n">
        <x:v>43497</x:v>
      </x:c>
      <x:c r="B179" s="30" t="n">
        <x:v>10706.955317</x:v>
      </x:c>
      <x:c r="C179" s="30" t="n">
        <x:v>4640.570779</x:v>
      </x:c>
      <x:c r="D179" s="30" t="n">
        <x:v>4236.763494</x:v>
      </x:c>
      <x:c r="E179" s="30" t="n">
        <x:v>1829.621044</x:v>
      </x:c>
      <x:c r="F179" s="2"/>
      <x:c r="G179" s="2"/>
    </x:row>
    <x:row r="180" ht="23" customHeight="1">
      <x:c r="A180" s="4" t="n">
        <x:v>43525</x:v>
      </x:c>
      <x:c r="B180" s="30" t="n">
        <x:v>10120.057936</x:v>
      </x:c>
      <x:c r="C180" s="30" t="n">
        <x:v>3995.742961</x:v>
      </x:c>
      <x:c r="D180" s="30" t="n">
        <x:v>4155.841684</x:v>
      </x:c>
      <x:c r="E180" s="30" t="n">
        <x:v>1968.473291</x:v>
      </x:c>
      <x:c r="F180" s="2"/>
      <x:c r="G180" s="2"/>
    </x:row>
    <x:row r="181" ht="23" customHeight="1">
      <x:c r="A181" s="4" t="n">
        <x:v>43556</x:v>
      </x:c>
      <x:c r="B181" s="30" t="n">
        <x:v>9572.130645</x:v>
      </x:c>
      <x:c r="C181" s="30" t="n">
        <x:v>3647.81235</x:v>
      </x:c>
      <x:c r="D181" s="30" t="n">
        <x:v>3971.245175</x:v>
      </x:c>
      <x:c r="E181" s="30" t="n">
        <x:v>1953.07312</x:v>
      </x:c>
      <x:c r="F181" s="2"/>
      <x:c r="G181" s="2"/>
    </x:row>
    <x:row r="182" ht="23" customHeight="1">
      <x:c r="A182" s="4" t="n">
        <x:v>43586</x:v>
      </x:c>
      <x:c r="B182" s="30" t="n">
        <x:v>10382.062156</x:v>
      </x:c>
      <x:c r="C182" s="30" t="n">
        <x:v>4358.227351</x:v>
      </x:c>
      <x:c r="D182" s="30" t="n">
        <x:v>4051.568954</x:v>
      </x:c>
      <x:c r="E182" s="30" t="n">
        <x:v>1972.265851</x:v>
      </x:c>
      <x:c r="F182" s="2"/>
      <x:c r="G182" s="2"/>
    </x:row>
    <x:row r="183" ht="23" customHeight="1">
      <x:c r="A183" s="4" t="n">
        <x:v>43617</x:v>
      </x:c>
      <x:c r="B183" s="30" t="n">
        <x:v>10649.85454</x:v>
      </x:c>
      <x:c r="C183" s="30" t="n">
        <x:v>4815.895191</x:v>
      </x:c>
      <x:c r="D183" s="30" t="n">
        <x:v>3985.740596</x:v>
      </x:c>
      <x:c r="E183" s="30" t="n">
        <x:v>1848.218753</x:v>
      </x:c>
      <x:c r="F183" s="2"/>
      <x:c r="G183" s="2"/>
    </x:row>
    <x:row r="184" ht="23" customHeight="1">
      <x:c r="A184" s="4" t="n">
        <x:v>43647</x:v>
      </x:c>
      <x:c r="B184" s="30" t="n">
        <x:v>12004.210187</x:v>
      </x:c>
      <x:c r="C184" s="30" t="n">
        <x:v>5807.8299</x:v>
      </x:c>
      <x:c r="D184" s="30" t="n">
        <x:v>4257.407791</x:v>
      </x:c>
      <x:c r="E184" s="30" t="n">
        <x:v>1938.972496</x:v>
      </x:c>
      <x:c r="F184" s="2"/>
      <x:c r="G184" s="2"/>
    </x:row>
    <x:row r="185" ht="23" customHeight="1">
      <x:c r="A185" s="4" t="n">
        <x:v>43678</x:v>
      </x:c>
      <x:c r="B185" s="30" t="n">
        <x:v>11465.483299</x:v>
      </x:c>
      <x:c r="C185" s="30" t="n">
        <x:v>5201.899286</x:v>
      </x:c>
      <x:c r="D185" s="30" t="n">
        <x:v>4206.692542</x:v>
      </x:c>
      <x:c r="E185" s="30" t="n">
        <x:v>2056.891471</x:v>
      </x:c>
      <x:c r="F185" s="2"/>
      <x:c r="G185" s="2"/>
    </x:row>
    <x:row r="186" ht="23" customHeight="1">
      <x:c r="A186" s="4" t="n">
        <x:v>43709</x:v>
      </x:c>
      <x:c r="B186" s="30" t="n">
        <x:v>10218.087823</x:v>
      </x:c>
      <x:c r="C186" s="30" t="n">
        <x:v>4267.476337</x:v>
      </x:c>
      <x:c r="D186" s="30" t="n">
        <x:v>3934.53795</x:v>
      </x:c>
      <x:c r="E186" s="30" t="n">
        <x:v>2016.073536</x:v>
      </x:c>
      <x:c r="F186" s="2"/>
      <x:c r="G186" s="2"/>
    </x:row>
    <x:row r="187" ht="23" customHeight="1">
      <x:c r="A187" s="4" t="n">
        <x:v>43739</x:v>
      </x:c>
      <x:c r="B187" s="30" t="n">
        <x:v>10380.686879</x:v>
      </x:c>
      <x:c r="C187" s="30" t="n">
        <x:v>4222.295957</x:v>
      </x:c>
      <x:c r="D187" s="30" t="n">
        <x:v>4012.432789</x:v>
      </x:c>
      <x:c r="E187" s="30" t="n">
        <x:v>2145.958133</x:v>
      </x:c>
      <x:c r="F187" s="2"/>
      <x:c r="G187" s="2"/>
    </x:row>
    <x:row r="188" ht="23" customHeight="1">
      <x:c r="A188" s="4" t="n">
        <x:v>43770</x:v>
      </x:c>
      <x:c r="B188" s="30" t="n">
        <x:v>10559.966155</x:v>
      </x:c>
      <x:c r="C188" s="30" t="n">
        <x:v>4378.76383</x:v>
      </x:c>
      <x:c r="D188" s="30" t="n">
        <x:v>4144.930896</x:v>
      </x:c>
      <x:c r="E188" s="30" t="n">
        <x:v>2036.271429</x:v>
      </x:c>
      <x:c r="F188" s="2"/>
      <x:c r="G188" s="2"/>
    </x:row>
    <x:row r="189" ht="23" customHeight="1">
      <x:c r="A189" s="4" t="n">
        <x:v>43800</x:v>
      </x:c>
      <x:c r="B189" s="30" t="n">
        <x:v>11187.742677</x:v>
      </x:c>
      <x:c r="C189" s="30" t="n">
        <x:v>4911.899215</x:v>
      </x:c>
      <x:c r="D189" s="30" t="n">
        <x:v>4406.841075</x:v>
      </x:c>
      <x:c r="E189" s="30" t="n">
        <x:v>1869.002387</x:v>
      </x:c>
      <x:c r="F189" s="2"/>
      <x:c r="G189" s="2"/>
    </x:row>
    <x:row r="190" ht="23" customHeight="1">
      <x:c r="A190" s="4" t="n">
        <x:v>43831</x:v>
      </x:c>
      <x:c r="B190" s="30" t="n">
        <x:v>11993.867057</x:v>
      </x:c>
      <x:c r="C190" s="30" t="n">
        <x:v>5593.4474</x:v>
      </x:c>
      <x:c r="D190" s="30" t="n">
        <x:v>4494.597629</x:v>
      </x:c>
      <x:c r="E190" s="30" t="n">
        <x:v>1905.822028</x:v>
      </x:c>
      <x:c r="F190" s="2"/>
      <x:c r="G190" s="2"/>
    </x:row>
    <x:row r="191" ht="23" customHeight="1">
      <x:c r="A191" s="4" t="n">
        <x:v>43862</x:v>
      </x:c>
      <x:c r="B191" s="30" t="n">
        <x:v>10843.47443</x:v>
      </x:c>
      <x:c r="C191" s="30" t="n">
        <x:v>4751.384719</x:v>
      </x:c>
      <x:c r="D191" s="30" t="n">
        <x:v>4218.645382</x:v>
      </x:c>
      <x:c r="E191" s="30" t="n">
        <x:v>1873.444329</x:v>
      </x:c>
      <x:c r="F191" s="2"/>
      <x:c r="G191" s="2"/>
    </x:row>
    <x:row r="192" ht="23" customHeight="1">
      <x:c r="A192" s="4" t="n">
        <x:v>43891</x:v>
      </x:c>
      <x:c r="B192" s="30" t="n">
        <x:v>11144.232192</x:v>
      </x:c>
      <x:c r="C192" s="30" t="n">
        <x:v>5034.641888</x:v>
      </x:c>
      <x:c r="D192" s="30" t="n">
        <x:v>4318.451977</x:v>
      </x:c>
      <x:c r="E192" s="30" t="n">
        <x:v>1791.138327</x:v>
      </x:c>
      <x:c r="F192" s="2"/>
      <x:c r="G192" s="2"/>
    </x:row>
    <x:row r="193" ht="23" customHeight="1">
      <x:c r="A193" s="4" t="n">
        <x:v>43922</x:v>
      </x:c>
      <x:c r="B193" s="30" t="n">
        <x:v>8537.200407</x:v>
      </x:c>
      <x:c r="C193" s="30" t="n">
        <x:v>3863.630775</x:v>
      </x:c>
      <x:c r="D193" s="30" t="n">
        <x:v>3269.808148</x:v>
      </x:c>
      <x:c r="E193" s="30" t="n">
        <x:v>1403.761484</x:v>
      </x:c>
      <x:c r="F193" s="2"/>
      <x:c r="G193" s="2"/>
    </x:row>
    <x:row r="194" ht="23" customHeight="1">
      <x:c r="A194" s="4" t="n">
        <x:v>43952</x:v>
      </x:c>
      <x:c r="B194" s="30" t="n">
        <x:v>9617.328172</x:v>
      </x:c>
      <x:c r="C194" s="30" t="n">
        <x:v>4687.33238</x:v>
      </x:c>
      <x:c r="D194" s="30" t="n">
        <x:v>3424.44383</x:v>
      </x:c>
      <x:c r="E194" s="30" t="n">
        <x:v>1505.551962</x:v>
      </x:c>
      <x:c r="F194" s="2"/>
      <x:c r="G194" s="2"/>
    </x:row>
    <x:row r="195" ht="23" customHeight="1">
      <x:c r="A195" s="4" t="n">
        <x:v>43983</x:v>
      </x:c>
      <x:c r="B195" s="30" t="n">
        <x:v>10781.714873</x:v>
      </x:c>
      <x:c r="C195" s="30" t="n">
        <x:v>5591.261968</x:v>
      </x:c>
      <x:c r="D195" s="30" t="n">
        <x:v>3635.874084</x:v>
      </x:c>
      <x:c r="E195" s="30" t="n">
        <x:v>1554.578821</x:v>
      </x:c>
      <x:c r="F195" s="2"/>
      <x:c r="G195" s="2"/>
    </x:row>
    <x:row r="196" ht="23" customHeight="1">
      <x:c r="A196" s="4" t="n">
        <x:v>44013</x:v>
      </x:c>
      <x:c r="B196" s="30" t="n">
        <x:v>12183.852641</x:v>
      </x:c>
      <x:c r="C196" s="30" t="n">
        <x:v>6521.31556</x:v>
      </x:c>
      <x:c r="D196" s="30" t="n">
        <x:v>4001.408076</x:v>
      </x:c>
      <x:c r="E196" s="30" t="n">
        <x:v>1661.129005</x:v>
      </x:c>
      <x:c r="F196" s="2"/>
      <x:c r="G196" s="2"/>
    </x:row>
    <x:row r="197" ht="23" customHeight="1">
      <x:c r="A197" s="4" t="n">
        <x:v>44044</x:v>
      </x:c>
      <x:c r="B197" s="30" t="n">
        <x:v>10728.379158</x:v>
      </x:c>
      <x:c r="C197" s="30" t="n">
        <x:v>5267.341752</x:v>
      </x:c>
      <x:c r="D197" s="30" t="n">
        <x:v>3741.760249</x:v>
      </x:c>
      <x:c r="E197" s="30" t="n">
        <x:v>1719.277157</x:v>
      </x:c>
      <x:c r="F197" s="2"/>
      <x:c r="G197" s="2"/>
    </x:row>
    <x:row r="198" ht="23" customHeight="1">
      <x:c r="A198" s="4" t="n">
        <x:v>44075</x:v>
      </x:c>
      <x:c r="B198" s="30" t="n">
        <x:v>10045.02285</x:v>
      </x:c>
      <x:c r="C198" s="30" t="n">
        <x:v>4693.462034</x:v>
      </x:c>
      <x:c r="D198" s="30" t="n">
        <x:v>3638.96298</x:v>
      </x:c>
      <x:c r="E198" s="30" t="n">
        <x:v>1712.597836</x:v>
      </x:c>
      <x:c r="F198" s="2"/>
      <x:c r="G198" s="2"/>
    </x:row>
    <x:row r="199" ht="23" customHeight="1">
      <x:c r="A199" s="4" t="n">
        <x:v>44105</x:v>
      </x:c>
      <x:c r="B199" s="30" t="n">
        <x:v>10013.844018</x:v>
      </x:c>
      <x:c r="C199" s="30" t="n">
        <x:v>4428.481525</x:v>
      </x:c>
      <x:c r="D199" s="30" t="n">
        <x:v>3758.740572</x:v>
      </x:c>
      <x:c r="E199" s="30" t="n">
        <x:v>1826.621921</x:v>
      </x:c>
      <x:c r="F199" s="2"/>
      <x:c r="G199" s="2"/>
    </x:row>
    <x:row r="200" ht="23" customHeight="1">
      <x:c r="A200" s="4" t="n">
        <x:v>44136</x:v>
      </x:c>
      <x:c r="B200" s="30" t="n">
        <x:v>10087.844439</x:v>
      </x:c>
      <x:c r="C200" s="30" t="n">
        <x:v>4330.623877</x:v>
      </x:c>
      <x:c r="D200" s="30" t="n">
        <x:v>3851.369101</x:v>
      </x:c>
      <x:c r="E200" s="30" t="n">
        <x:v>1905.851461</x:v>
      </x:c>
      <x:c r="F200" s="2"/>
      <x:c r="G200" s="2"/>
    </x:row>
    <x:row r="201" ht="23" customHeight="1">
      <x:c r="A201" s="4" t="n">
        <x:v>44166</x:v>
      </x:c>
      <x:c r="B201" s="30" t="n">
        <x:v>11330.177614</x:v>
      </x:c>
      <x:c r="C201" s="30" t="n">
        <x:v>5258.408928</x:v>
      </x:c>
      <x:c r="D201" s="30" t="n">
        <x:v>4193.858494</x:v>
      </x:c>
      <x:c r="E201" s="30" t="n">
        <x:v>1877.910192</x:v>
      </x:c>
      <x:c r="F201" s="2"/>
      <x:c r="G201" s="2"/>
    </x:row>
    <x:row r="202" ht="23" customHeight="1">
      <x:c r="A202" s="4" t="n">
        <x:v>44197</x:v>
      </x:c>
      <x:c r="B202" s="30" t="n">
        <x:v>11941.580986</x:v>
      </x:c>
      <x:c r="C202" s="30" t="n">
        <x:v>5661.216932</x:v>
      </x:c>
      <x:c r="D202" s="30" t="n">
        <x:v>4331.948859</x:v>
      </x:c>
      <x:c r="E202" s="30" t="n">
        <x:v>1948.415195</x:v>
      </x:c>
      <x:c r="F202" s="2"/>
      <x:c r="G202" s="2"/>
    </x:row>
    <x:row r="203" ht="23" customHeight="1">
      <x:c r="A203" s="4" t="n">
        <x:v>44228</x:v>
      </x:c>
      <x:c r="B203" s="30" t="n">
        <x:v>10090.389298</x:v>
      </x:c>
      <x:c r="C203" s="30" t="n">
        <x:v>4363.836276</x:v>
      </x:c>
      <x:c r="D203" s="30" t="n">
        <x:v>3880.340804</x:v>
      </x:c>
      <x:c r="E203" s="30" t="n">
        <x:v>1846.212218</x:v>
      </x:c>
      <x:c r="F203" s="2"/>
      <x:c r="G203" s="2"/>
    </x:row>
    <x:row r="204" ht="23" customHeight="1">
      <x:c r="A204" s="4" t="n">
        <x:v>44256</x:v>
      </x:c>
      <x:c r="B204" s="30" t="n">
        <x:v>11055.214503</x:v>
      </x:c>
      <x:c r="C204" s="30" t="n">
        <x:v>4718.154621</x:v>
      </x:c>
      <x:c r="D204" s="30" t="n">
        <x:v>4239.221819</x:v>
      </x:c>
      <x:c r="E204" s="30" t="n">
        <x:v>2097.838063</x:v>
      </x:c>
      <x:c r="F204" s="2"/>
      <x:c r="G204" s="2"/>
    </x:row>
    <x:row r="205" ht="23" customHeight="1">
      <x:c r="A205" s="4" t="n">
        <x:v>44287</x:v>
      </x:c>
      <x:c r="B205" s="30" t="n">
        <x:v>9817.737877</x:v>
      </x:c>
      <x:c r="C205" s="30" t="n">
        <x:v>3891.458974</x:v>
      </x:c>
      <x:c r="D205" s="30" t="n">
        <x:v>3909.054427</x:v>
      </x:c>
      <x:c r="E205" s="30" t="n">
        <x:v>2017.224476</x:v>
      </x:c>
      <x:c r="F205" s="2"/>
      <x:c r="G205" s="2"/>
    </x:row>
    <x:row r="206" ht="23" customHeight="1">
      <x:c r="A206" s="4" t="n">
        <x:v>44317</x:v>
      </x:c>
      <x:c r="B206" s="30" t="n">
        <x:v>10986.114068</x:v>
      </x:c>
      <x:c r="C206" s="30" t="n">
        <x:v>5010.924044</x:v>
      </x:c>
      <x:c r="D206" s="30" t="n">
        <x:v>3995.054976</x:v>
      </x:c>
      <x:c r="E206" s="30" t="n">
        <x:v>1980.135048</x:v>
      </x:c>
      <x:c r="F206" s="2"/>
      <x:c r="G206" s="2"/>
    </x:row>
    <x:row r="207" ht="23" customHeight="1">
      <x:c r="A207" s="4" t="n">
        <x:v>44348</x:v>
      </x:c>
      <x:c r="B207" s="30" t="n">
        <x:v>12053.804232</x:v>
      </x:c>
      <x:c r="C207" s="30" t="n">
        <x:v>6070.270051</x:v>
      </x:c>
      <x:c r="D207" s="30" t="n">
        <x:v>4011.805038</x:v>
      </x:c>
      <x:c r="E207" s="30" t="n">
        <x:v>1971.729143</x:v>
      </x:c>
      <x:c r="F207" s="2"/>
      <x:c r="G207" s="2"/>
    </x:row>
    <x:row r="208" ht="23" customHeight="1">
      <x:c r="A208" s="4" t="n">
        <x:v>44378</x:v>
      </x:c>
      <x:c r="B208" s="30" t="n">
        <x:v>12418.960365</x:v>
      </x:c>
      <x:c r="C208" s="30" t="n">
        <x:v>6268.417449</x:v>
      </x:c>
      <x:c r="D208" s="30" t="n">
        <x:v>4148.275478</x:v>
      </x:c>
      <x:c r="E208" s="30" t="n">
        <x:v>2002.267438</x:v>
      </x:c>
      <x:c r="F208" s="2"/>
      <x:c r="G208" s="2"/>
    </x:row>
    <x:row r="209" ht="23" customHeight="1">
      <x:c r="A209" s="4" t="n">
        <x:v>44409</x:v>
      </x:c>
      <x:c r="B209" s="30" t="n">
        <x:v>11660.287778</x:v>
      </x:c>
      <x:c r="C209" s="30" t="n">
        <x:v>5534.851944</x:v>
      </x:c>
      <x:c r="D209" s="30" t="n">
        <x:v>4087.353908</x:v>
      </x:c>
      <x:c r="E209" s="30" t="n">
        <x:v>2038.081926</x:v>
      </x:c>
      <x:c r="F209" s="2"/>
      <x:c r="G209" s="2"/>
    </x:row>
    <x:row r="210" ht="23" customHeight="1">
      <x:c r="A210" s="4" t="n">
        <x:v>44440</x:v>
      </x:c>
      <x:c r="B210" s="30" t="n">
        <x:v>10374.79406</x:v>
      </x:c>
      <x:c r="C210" s="30" t="n">
        <x:v>4460.019197</x:v>
      </x:c>
      <x:c r="D210" s="30" t="n">
        <x:v>3894.843471</x:v>
      </x:c>
      <x:c r="E210" s="30" t="n">
        <x:v>2019.931392</x:v>
      </x:c>
      <x:c r="F210" s="2"/>
      <x:c r="G210" s="2"/>
    </x:row>
    <x:row r="211" ht="23" customHeight="1">
      <x:c r="A211" s="4" t="n">
        <x:v>44470</x:v>
      </x:c>
      <x:c r="B211" s="30" t="n">
        <x:v>10451.324175</x:v>
      </x:c>
      <x:c r="C211" s="30" t="n">
        <x:v>4481.150233</x:v>
      </x:c>
      <x:c r="D211" s="30" t="n">
        <x:v>4023.809999</x:v>
      </x:c>
      <x:c r="E211" s="30" t="n">
        <x:v>1946.363943</x:v>
      </x:c>
      <x:c r="F211" s="2"/>
      <x:c r="G211" s="2"/>
    </x:row>
    <x:row r="212" ht="23" customHeight="1">
      <x:c r="A212" s="4" t="n">
        <x:v>44501</x:v>
      </x:c>
      <x:c r="B212" s="30" t="n">
        <x:v>10569.433719</x:v>
      </x:c>
      <x:c r="C212" s="30" t="n">
        <x:v>4450.331245</x:v>
      </x:c>
      <x:c r="D212" s="30" t="n">
        <x:v>4120.005402</x:v>
      </x:c>
      <x:c r="E212" s="30" t="n">
        <x:v>1999.097072</x:v>
      </x:c>
      <x:c r="F212" s="2"/>
      <x:c r="G212" s="2"/>
    </x:row>
    <x:row r="213" ht="23" customHeight="1">
      <x:c r="A213" s="4" t="n">
        <x:v>44531</x:v>
      </x:c>
      <x:c r="B213" s="30" t="n">
        <x:v>12457.845452</x:v>
      </x:c>
      <x:c r="C213" s="30" t="n">
        <x:v>5875.231036</x:v>
      </x:c>
      <x:c r="D213" s="30" t="n">
        <x:v>4637.279511</x:v>
      </x:c>
      <x:c r="E213" s="30" t="n">
        <x:v>1945.334905</x:v>
      </x:c>
      <x:c r="F213" s="2"/>
      <x:c r="G213" s="2"/>
    </x:row>
    <x:row r="214" ht="23" customHeight="1">
      <x:c r="A214" s="4" t="n">
        <x:v>44562</x:v>
      </x:c>
      <x:c r="B214" s="30" t="n">
        <x:v>13067.604932</x:v>
      </x:c>
      <x:c r="C214" s="30" t="n">
        <x:v>6464.484064</x:v>
      </x:c>
      <x:c r="D214" s="30" t="n">
        <x:v>4801.009871</x:v>
      </x:c>
      <x:c r="E214" s="30" t="n">
        <x:v>1802.110997</x:v>
      </x:c>
      <x:c r="F214" s="2"/>
      <x:c r="G214" s="2"/>
    </x:row>
    <x:row r="215" ht="23" customHeight="1">
      <x:c r="A215" s="4" t="n">
        <x:v>44593</x:v>
      </x:c>
      <x:c r="B215" s="30" t="n">
        <x:v>10567.756899</x:v>
      </x:c>
      <x:c r="C215" s="30" t="n">
        <x:v>4612.567414</x:v>
      </x:c>
      <x:c r="D215" s="30" t="n">
        <x:v>4185.905605</x:v>
      </x:c>
      <x:c r="E215" s="30" t="n">
        <x:v>1769.28388</x:v>
      </x:c>
      <x:c r="F215" s="2"/>
      <x:c r="G215" s="2"/>
    </x:row>
    <x:row r="216" ht="23" customHeight="1">
      <x:c r="A216" s="4" t="n">
        <x:v>44621</x:v>
      </x:c>
      <x:c r="B216" s="30" t="n">
        <x:v>10881.578983</x:v>
      </x:c>
      <x:c r="C216" s="30" t="n">
        <x:v>4481.118657</x:v>
      </x:c>
      <x:c r="D216" s="30" t="n">
        <x:v>4393.401085</x:v>
      </x:c>
      <x:c r="E216" s="30" t="n">
        <x:v>2007.059241</x:v>
      </x:c>
      <x:c r="F216" s="2"/>
      <x:c r="G216" s="2"/>
    </x:row>
    <x:row r="217" ht="23" customHeight="1">
      <x:c r="A217" s="4" t="n">
        <x:v>44652</x:v>
      </x:c>
      <x:c r="B217" s="30" t="n">
        <x:v>10147.364071</x:v>
      </x:c>
      <x:c r="C217" s="30" t="n">
        <x:v>3999.097408</x:v>
      </x:c>
      <x:c r="D217" s="30" t="n">
        <x:v>4100.350536</x:v>
      </x:c>
      <x:c r="E217" s="30" t="n">
        <x:v>2047.916127</x:v>
      </x:c>
      <x:c r="F217" s="2"/>
      <x:c r="G217" s="2"/>
    </x:row>
    <x:row r="218" ht="23" customHeight="1">
      <x:c r="A218" s="4" t="n">
        <x:v>44682</x:v>
      </x:c>
      <x:c r="B218" s="30" t="n">
        <x:v>11727.995001</x:v>
      </x:c>
      <x:c r="C218" s="30" t="n">
        <x:v>5346.350927</x:v>
      </x:c>
      <x:c r="D218" s="30" t="n">
        <x:v>4327.068463</x:v>
      </x:c>
      <x:c r="E218" s="30" t="n">
        <x:v>2054.575611</x:v>
      </x:c>
      <x:c r="F218" s="2"/>
      <x:c r="G218" s="2"/>
    </x:row>
    <x:row r="219" ht="23" customHeight="1">
      <x:c r="A219" s="4" t="n">
        <x:v>44713</x:v>
      </x:c>
      <x:c r="B219" s="30" t="n">
        <x:v>13074.470378</x:v>
      </x:c>
      <x:c r="C219" s="30" t="n">
        <x:v>6686.629888</x:v>
      </x:c>
      <x:c r="D219" s="30" t="n">
        <x:v>4432.274611</x:v>
      </x:c>
      <x:c r="E219" s="30" t="n">
        <x:v>1955.565879</x:v>
      </x:c>
      <x:c r="F219" s="2"/>
      <x:c r="G219" s="2"/>
    </x:row>
    <x:row r="220" ht="23" customHeight="1">
      <x:c r="A220" s="4" t="n">
        <x:v>44743</x:v>
      </x:c>
      <x:c r="B220" s="30" t="n">
        <x:v>12639.619366</x:v>
      </x:c>
      <x:c r="C220" s="30" t="n">
        <x:v>6277.761203</x:v>
      </x:c>
      <x:c r="D220" s="30" t="n">
        <x:v>4421.696106</x:v>
      </x:c>
      <x:c r="E220" s="30" t="n">
        <x:v>1940.162057</x:v>
      </x:c>
      <x:c r="F220" s="2"/>
      <x:c r="G220" s="2"/>
    </x:row>
    <x:row r="221" ht="23" customHeight="1">
      <x:c r="A221" s="4" t="n">
        <x:v>44774</x:v>
      </x:c>
      <x:c r="B221" s="30" t="n">
        <x:v>11782.419631</x:v>
      </x:c>
      <x:c r="C221" s="30" t="n">
        <x:v>5480.926603</x:v>
      </x:c>
      <x:c r="D221" s="30" t="n">
        <x:v>4344.918827</x:v>
      </x:c>
      <x:c r="E221" s="30" t="n">
        <x:v>1956.574201</x:v>
      </x:c>
      <x:c r="F221" s="2"/>
      <x:c r="G221" s="2"/>
    </x:row>
    <x:row r="222" ht="23" customHeight="1">
      <x:c r="A222" s="4" t="n">
        <x:v>44805</x:v>
      </x:c>
      <x:c r="B222" s="30" t="n">
        <x:v>10314.000247</x:v>
      </x:c>
      <x:c r="C222" s="30" t="n">
        <x:v>4294.969294</x:v>
      </x:c>
      <x:c r="D222" s="30" t="n">
        <x:v>4060.319054</x:v>
      </x:c>
      <x:c r="E222" s="30" t="n">
        <x:v>1958.711899</x:v>
      </x:c>
      <x:c r="F222" s="2"/>
      <x:c r="G222" s="2"/>
    </x:row>
    <x:row r="223" ht="23" customHeight="1">
      <x:c r="A223" s="4" t="n">
        <x:v>44835</x:v>
      </x:c>
      <x:c r="B223" s="30" t="n">
        <x:v>10221.298638</x:v>
      </x:c>
      <x:c r="C223" s="30" t="n">
        <x:v>4191.800322</x:v>
      </x:c>
      <x:c r="D223" s="30" t="n">
        <x:v>4056.286863</x:v>
      </x:c>
      <x:c r="E223" s="30" t="n">
        <x:v>1973.211453</x:v>
      </x:c>
      <x:c r="F223" s="2"/>
      <x:c r="G223" s="2"/>
    </x:row>
    <x:row r="224" ht="23" customHeight="1">
      <x:c r="A224" s="4" t="n">
        <x:v>44866</x:v>
      </x:c>
      <x:c r="B224" s="30" t="n">
        <x:v>11323.713162</x:v>
      </x:c>
      <x:c r="C224" s="30" t="n">
        <x:v>4999.888377</x:v>
      </x:c>
      <x:c r="D224" s="30" t="n">
        <x:v>4287.904184</x:v>
      </x:c>
      <x:c r="E224" s="30" t="n">
        <x:v>2035.920601</x:v>
      </x:c>
      <x:c r="F224" s="2"/>
      <x:c r="G224" s="2"/>
    </x:row>
    <x:row r="225" ht="23" customHeight="1">
      <x:c r="A225" s="4" t="n">
        <x:v>44896</x:v>
      </x:c>
      <x:c r="B225" s="30" t="n">
        <x:v>13027.412096</x:v>
      </x:c>
      <x:c r="C225" s="30" t="n">
        <x:v>6321.388548</x:v>
      </x:c>
      <x:c r="D225" s="30" t="n">
        <x:v>4713.01096</x:v>
      </x:c>
      <x:c r="E225" s="30" t="n">
        <x:v>1993.012588</x:v>
      </x:c>
      <x:c r="F225" s="2"/>
      <x:c r="G225" s="2"/>
    </x:row>
    <x:row r="226" ht="23" customHeight="1">
      <x:c r="A226" s="4" t="n">
        <x:v>44927</x:v>
      </x:c>
      <x:c r="B226" s="30" t="n">
        <x:v>13593.482594</x:v>
      </x:c>
      <x:c r="C226" s="30" t="n">
        <x:v>6817.409084</x:v>
      </x:c>
      <x:c r="D226" s="30" t="n">
        <x:v>4831.820802</x:v>
      </x:c>
      <x:c r="E226" s="30" t="n">
        <x:v>1944.252708</x:v>
      </x:c>
      <x:c r="F226" s="2"/>
      <x:c r="G226" s="2"/>
    </x:row>
    <x:row r="227" ht="23" customHeight="1">
      <x:c r="A227" s="4" t="n">
        <x:v>44958</x:v>
      </x:c>
      <x:c r="B227" s="30" t="n">
        <x:v>11906.275882</x:v>
      </x:c>
      <x:c r="C227" s="30" t="n">
        <x:v>5684.562915</x:v>
      </x:c>
      <x:c r="D227" s="30" t="n">
        <x:v>4409.54575</x:v>
      </x:c>
      <x:c r="E227" s="30" t="n">
        <x:v>1812.167217</x:v>
      </x:c>
      <x:c r="F227" s="2"/>
      <x:c r="G227" s="2"/>
    </x:row>
    <x:row r="228" ht="23" customHeight="1">
      <x:c r="A228" s="4" t="n">
        <x:v>44986</x:v>
      </x:c>
      <x:c r="B228" s="30" t="n">
        <x:v>13996.904605</x:v>
      </x:c>
      <x:c r="C228" s="30" t="n">
        <x:v>6927.376352</x:v>
      </x:c>
      <x:c r="D228" s="30" t="n">
        <x:v>5016.569766</x:v>
      </x:c>
      <x:c r="E228" s="30" t="n">
        <x:v>2052.958487</x:v>
      </x:c>
      <x:c r="F228" s="2"/>
      <x:c r="G228" s="2"/>
    </x:row>
    <x:row r="229" ht="23" customHeight="1">
      <x:c r="A229" s="4" t="n">
        <x:v>45017</x:v>
      </x:c>
      <x:c r="B229" s="30" t="n">
        <x:v>10046.212478</x:v>
      </x:c>
      <x:c r="C229" s="30" t="n">
        <x:v>3985.954278</x:v>
      </x:c>
      <x:c r="D229" s="30" t="n">
        <x:v>4131.210056</x:v>
      </x:c>
      <x:c r="E229" s="30" t="n">
        <x:v>1929.048144</x:v>
      </x:c>
      <x:c r="F229" s="2"/>
      <x:c r="G229" s="2"/>
    </x:row>
    <x:row r="230" ht="23" customHeight="1">
      <x:c r="A230" s="4" t="n">
        <x:v>45047</x:v>
      </x:c>
      <x:c r="B230" s="30" t="n">
        <x:v>10815.469724</x:v>
      </x:c>
      <x:c r="C230" s="30" t="n">
        <x:v>4656.383154</x:v>
      </x:c>
      <x:c r="D230" s="30" t="n">
        <x:v>4164.095397</x:v>
      </x:c>
      <x:c r="E230" s="30" t="n">
        <x:v>1994.991173</x:v>
      </x:c>
      <x:c r="F230" s="2"/>
      <x:c r="G230" s="2"/>
    </x:row>
    <x:row r="231" ht="23" customHeight="1">
      <x:c r="A231" s="4" t="n">
        <x:v>45078</x:v>
      </x:c>
      <x:c r="B231" s="30" t="n">
        <x:v>12071.781236</x:v>
      </x:c>
      <x:c r="C231" s="30" t="n">
        <x:v>5835.774393</x:v>
      </x:c>
      <x:c r="D231" s="30" t="n">
        <x:v>4197.267627</x:v>
      </x:c>
      <x:c r="E231" s="30" t="n">
        <x:v>2038.739216</x:v>
      </x:c>
      <x:c r="F231" s="2"/>
      <x:c r="G231" s="2"/>
    </x:row>
    <x:row r="232" ht="23" customHeight="1">
      <x:c r="A232" s="4" t="n">
        <x:v>45108</x:v>
      </x:c>
      <x:c r="B232" s="30" t="n">
        <x:v>12477.225903</x:v>
      </x:c>
      <x:c r="C232" s="30" t="n">
        <x:v>6277.161519</x:v>
      </x:c>
      <x:c r="D232" s="30" t="n">
        <x:v>4321.338783</x:v>
      </x:c>
      <x:c r="E232" s="30" t="n">
        <x:v>1878.725601</x:v>
      </x:c>
      <x:c r="F232" s="2"/>
      <x:c r="G232" s="2"/>
    </x:row>
    <x:row r="233" ht="23" customHeight="1">
      <x:c r="A233" s="4" t="n">
        <x:v>45139</x:v>
      </x:c>
      <x:c r="B233" s="30" t="n">
        <x:v>11756.000499</x:v>
      </x:c>
      <x:c r="C233" s="30" t="n">
        <x:v>5501.921764</x:v>
      </x:c>
      <x:c r="D233" s="30" t="n">
        <x:v>4286.131279</x:v>
      </x:c>
      <x:c r="E233" s="30" t="n">
        <x:v>1967.947456</x:v>
      </x:c>
      <x:c r="F233" s="2"/>
      <x:c r="G233" s="2"/>
    </x:row>
    <x:row r="234" ht="23" customHeight="1">
      <x:c r="A234" s="4" t="n">
        <x:v>45170</x:v>
      </x:c>
      <x:c r="B234" s="30" t="n">
        <x:v>10962.244457</x:v>
      </x:c>
      <x:c r="C234" s="30" t="n">
        <x:v>4894.324626</x:v>
      </x:c>
      <x:c r="D234" s="30" t="n">
        <x:v>4095.419129</x:v>
      </x:c>
      <x:c r="E234" s="30" t="n">
        <x:v>1972.500702</x:v>
      </x:c>
      <x:c r="F234" s="2"/>
      <x:c r="G234" s="2"/>
    </x:row>
    <x:row r="235" ht="23" customHeight="1">
      <x:c r="A235" s="4" t="n">
        <x:v>45200</x:v>
      </x:c>
      <x:c r="B235" s="30" t="n">
        <x:v>10454.125794</x:v>
      </x:c>
      <x:c r="C235" s="30" t="n">
        <x:v>4396.246597</x:v>
      </x:c>
      <x:c r="D235" s="30" t="n">
        <x:v>4095.463271</x:v>
      </x:c>
      <x:c r="E235" s="30" t="n">
        <x:v>1962.415926</x:v>
      </x:c>
      <x:c r="F235" s="2"/>
      <x:c r="G235" s="2"/>
    </x:row>
    <x:row r="236" ht="23" customHeight="1">
      <x:c r="A236" s="4" t="n">
        <x:v>45231</x:v>
      </x:c>
      <x:c r="B236" s="30" t="n">
        <x:v>11040.811143</x:v>
      </x:c>
      <x:c r="C236" s="30" t="n">
        <x:v>4843.967604</x:v>
      </x:c>
      <x:c r="D236" s="30" t="n">
        <x:v>4237.822727</x:v>
      </x:c>
      <x:c r="E236" s="30" t="n">
        <x:v>1959.020812</x:v>
      </x:c>
      <x:c r="F236" s="2"/>
      <x:c r="G236" s="2"/>
    </x:row>
    <x:row r="237" ht="23" customHeight="1">
      <x:c r="A237" s="4" t="n">
        <x:v>45261</x:v>
      </x:c>
      <x:c r="B237" s="30" t="n">
        <x:v>11763.004028</x:v>
      </x:c>
      <x:c r="C237" s="30" t="n">
        <x:v>5475.149278</x:v>
      </x:c>
      <x:c r="D237" s="30" t="n">
        <x:v>4416.089382</x:v>
      </x:c>
      <x:c r="E237" s="30" t="n">
        <x:v>1871.765368</x:v>
      </x:c>
      <x:c r="F237" s="2"/>
      <x:c r="G237" s="2"/>
    </x:row>
    <x:row r="238" ht="23" customHeight="1">
      <x:c r="A238" s="4" t="n">
        <x:v>45292</x:v>
      </x:c>
      <x:c r="B238" s="30" t="n">
        <x:v>13090.206981</x:v>
      </x:c>
      <x:c r="C238" s="30" t="n">
        <x:v>6486.224939</x:v>
      </x:c>
      <x:c r="D238" s="30" t="n">
        <x:v>4701.121721</x:v>
      </x:c>
      <x:c r="E238" s="30" t="n">
        <x:v>1902.860321</x:v>
      </x:c>
      <x:c r="F238" s="2"/>
      <x:c r="G238" s="2"/>
    </x:row>
    <x:row r="239" ht="23" customHeight="1">
      <x:c r="A239" s="4" t="n">
        <x:v>45323</x:v>
      </x:c>
      <x:c r="B239" s="30" t="n">
        <x:v>12851.124118</x:v>
      </x:c>
      <x:c r="C239" s="30" t="n">
        <x:v>6343.135653</x:v>
      </x:c>
      <x:c r="D239" s="30" t="n">
        <x:v>4619.141978</x:v>
      </x:c>
      <x:c r="E239" s="30" t="n">
        <x:v>1888.846487</x:v>
      </x:c>
      <x:c r="F239" s="2"/>
      <x:c r="G239" s="2"/>
    </x:row>
    <x:row r="240" ht="23" customHeight="1">
      <x:c r="A240" s="4" t="n">
        <x:v>45352</x:v>
      </x:c>
      <x:c r="B240" s="30" t="n">
        <x:v>11956.626841</x:v>
      </x:c>
      <x:c r="C240" s="30" t="n">
        <x:v>5484.609658</x:v>
      </x:c>
      <x:c r="D240" s="30" t="n">
        <x:v>4534.521938</x:v>
      </x:c>
      <x:c r="E240" s="30" t="n">
        <x:v>1937.495245</x:v>
      </x:c>
      <x:c r="F240" s="2"/>
      <x:c r="G240" s="2"/>
    </x:row>
    <x:row r="241" ht="23" customHeight="1">
      <x:c r="A241" s="4" t="n">
        <x:v>45383</x:v>
      </x:c>
      <x:c r="B241" s="30" t="n">
        <x:v>10004.921217</x:v>
      </x:c>
      <x:c r="C241" s="30" t="n">
        <x:v>4253.02067</x:v>
      </x:c>
      <x:c r="D241" s="30" t="n">
        <x:v>3934.545397</x:v>
      </x:c>
      <x:c r="E241" s="30" t="n">
        <x:v>1817.35515</x:v>
      </x:c>
      <x:c r="F241" s="2"/>
      <x:c r="G241" s="2"/>
    </x:row>
    <x:row r="242" ht="23" customHeight="1">
      <x:c r="A242" s="4" t="n">
        <x:v>45413</x:v>
      </x:c>
      <x:c r="B242" s="30" t="n">
        <x:v>12213.338451</x:v>
      </x:c>
      <x:c r="C242" s="30" t="n">
        <x:v>6041.515054</x:v>
      </x:c>
      <x:c r="D242" s="30" t="n">
        <x:v>4202.501044</x:v>
      </x:c>
      <x:c r="E242" s="30" t="n">
        <x:v>1969.322353</x:v>
      </x:c>
      <x:c r="F242" s="2"/>
      <x:c r="G242" s="2"/>
    </x:row>
    <x:row r="243" ht="23" customHeight="1">
      <x:c r="A243" s="4" t="n">
        <x:v>45444</x:v>
      </x:c>
      <x:c r="B243" s="30" t="n">
        <x:v>11226.223824</x:v>
      </x:c>
      <x:c r="C243" s="30" t="n">
        <x:v>5345.517419</x:v>
      </x:c>
      <x:c r="D243" s="30" t="n">
        <x:v>3986.352408</x:v>
      </x:c>
      <x:c r="E243" s="30" t="n">
        <x:v>1894.353997</x:v>
      </x:c>
      <x:c r="F243" s="2"/>
      <x:c r="G243" s="2"/>
    </x:row>
    <x:row r="244" ht="23" customHeight="1">
      <x:c r="A244" s="4" t="n">
        <x:v>45474</x:v>
      </x:c>
      <x:c r="B244" s="30" t="n">
        <x:v>13226.304292</x:v>
      </x:c>
      <x:c r="C244" s="30" t="n">
        <x:v>6891.402589</x:v>
      </x:c>
      <x:c r="D244" s="30" t="n">
        <x:v>4322.631488</x:v>
      </x:c>
      <x:c r="E244" s="30" t="n">
        <x:v>2012.270215</x:v>
      </x:c>
      <x:c r="F244" s="2"/>
      <x:c r="G244" s="2"/>
    </x:row>
    <x:row r="245" ht="23" customHeight="1">
      <x:c r="A245" s="4" t="n">
        <x:v>45505</x:v>
      </x:c>
      <x:c r="B245" s="30" t="n">
        <x:v>12171.606645</x:v>
      </x:c>
      <x:c r="C245" s="30" t="n">
        <x:v>5900.98305</x:v>
      </x:c>
      <x:c r="D245" s="30" t="n">
        <x:v>4241.513376</x:v>
      </x:c>
      <x:c r="E245" s="30" t="n">
        <x:v>2029.110219</x:v>
      </x:c>
      <x:c r="F245" s="2"/>
      <x:c r="G245" s="2"/>
    </x:row>
    <x:row r="246" ht="23" customHeight="1">
      <x:c r="A246" s="4" t="n">
        <x:v>45536</x:v>
      </x:c>
      <x:c r="B246" s="30" t="n">
        <x:v>10237.192793</x:v>
      </x:c>
      <x:c r="C246" s="30" t="n">
        <x:v>4320.586552</x:v>
      </x:c>
      <x:c r="D246" s="30" t="n">
        <x:v>3943.76805</x:v>
      </x:c>
      <x:c r="E246" s="30" t="n">
        <x:v>1972.838191</x:v>
      </x:c>
      <x:c r="F246" s="2"/>
      <x:c r="G246" s="2"/>
    </x:row>
    <x:row r="247" ht="23" customHeight="1">
      <x:c r="A247" s="4" t="n">
        <x:v>45566</x:v>
      </x:c>
      <x:c r="B247" s="30" t="n">
        <x:v>10678.921134</x:v>
      </x:c>
      <x:c r="C247" s="30" t="n">
        <x:v>4548.71839</x:v>
      </x:c>
      <x:c r="D247" s="30" t="n">
        <x:v>4151.263378</x:v>
      </x:c>
      <x:c r="E247" s="30" t="n">
        <x:v>1978.939366</x:v>
      </x:c>
      <x:c r="F247" s="2"/>
      <x:c r="G247" s="2"/>
    </x:row>
    <x:row r="248" ht="23" customHeight="1">
      <x:c r="A248" s="4" t="n">
        <x:v>45597</x:v>
      </x:c>
      <x:c r="B248" s="30" t="n">
        <x:v>11064.005964</x:v>
      </x:c>
      <x:c r="C248" s="30" t="n">
        <x:v>4796.444767</x:v>
      </x:c>
      <x:c r="D248" s="30" t="n">
        <x:v>4254.044165</x:v>
      </x:c>
      <x:c r="E248" s="30" t="n">
        <x:v>2013.517032</x:v>
      </x:c>
      <x:c r="F248" s="2"/>
      <x:c r="G248" s="2"/>
    </x:row>
    <x:row r="249" ht="23" customHeight="1">
      <x:c r="A249" s="4" t="n">
        <x:v>45627</x:v>
      </x:c>
      <x:c r="B249" s="30" t="n">
        <x:v>11498.928525</x:v>
      </x:c>
      <x:c r="C249" s="30" t="n">
        <x:v>5178.579117</x:v>
      </x:c>
      <x:c r="D249" s="30" t="n">
        <x:v>4441.356097</x:v>
      </x:c>
      <x:c r="E249" s="30" t="n">
        <x:v>1878.993311</x:v>
      </x:c>
      <x:c r="F249" s="2"/>
      <x:c r="G249" s="2"/>
    </x:row>
    <x:row r="250" ht="23" customHeight="1">
      <x:c r="A250" s="4" t="n">
        <x:v>45658</x:v>
      </x:c>
      <x:c r="B250" s="30" t="n">
        <x:v>13605.512563</x:v>
      </x:c>
      <x:c r="C250" s="30" t="n">
        <x:v>6855.336501</x:v>
      </x:c>
      <x:c r="D250" s="30" t="n">
        <x:v>4830.369119</x:v>
      </x:c>
      <x:c r="E250" s="30" t="n">
        <x:v>1919.806943</x:v>
      </x:c>
      <x:c r="F250" s="2"/>
      <x:c r="G250" s="2"/>
    </x:row>
    <x:row r="251" ht="23" customHeight="1">
      <x:c r="A251" s="4" t="n">
        <x:v>45689</x:v>
      </x:c>
      <x:c r="B251" s="30" t="n">
        <x:v>12908.058921</x:v>
      </x:c>
      <x:c r="C251" s="30" t="n">
        <x:v>6269.121595</x:v>
      </x:c>
      <x:c r="D251" s="30" t="n">
        <x:v>4692.326965</x:v>
      </x:c>
      <x:c r="E251" s="30" t="n">
        <x:v>1946.610361</x:v>
      </x:c>
      <x:c r="F251" s="2"/>
      <x:c r="G251" s="2"/>
    </x:row>
    <x:row r="252" ht="23" customHeight="1">
      <x:c r="A252" s="4" t="n">
        <x:v>45717</x:v>
      </x:c>
      <x:c r="B252" s="30" t="n">
        <x:v>11653.169774</x:v>
      </x:c>
      <x:c r="C252" s="30" t="n">
        <x:v>5266.22306</x:v>
      </x:c>
      <x:c r="D252" s="30" t="n">
        <x:v>4403.502136</x:v>
      </x:c>
      <x:c r="E252" s="30" t="n">
        <x:v>1983.444578</x:v>
      </x:c>
      <x:c r="F252" s="2"/>
      <x:c r="G252" s="2"/>
    </x:row>
    <x:row r="253" ht="23" customHeight="1">
      <x:c r="A253" s="4" t="n">
        <x:v>45748</x:v>
      </x:c>
      <x:c r="B253" s="30" t="n">
        <x:v>9822.82491</x:v>
      </x:c>
      <x:c r="C253" s="30" t="n">
        <x:v>3991.322629</x:v>
      </x:c>
      <x:c r="D253" s="30" t="n">
        <x:v>3917.565116</x:v>
      </x:c>
      <x:c r="E253" s="30" t="n">
        <x:v>1913.937165</x:v>
      </x:c>
      <x:c r="F253" s="2"/>
      <x:c r="G253" s="2"/>
    </x:row>
    <x:row r="254" ht="23" customHeight="1">
      <x:c r="A254" s="4" t="n">
        <x:v>45778</x:v>
      </x:c>
      <x:c r="B254" s="30" t="n">
        <x:v>10944.561146</x:v>
      </x:c>
      <x:c r="C254" s="30" t="n">
        <x:v>4887.294621</x:v>
      </x:c>
      <x:c r="D254" s="30" t="n">
        <x:v>4071.122618</x:v>
      </x:c>
      <x:c r="E254" s="30" t="n">
        <x:v>1986.143907</x:v>
      </x:c>
      <x:c r="F254" s="2"/>
      <x:c r="G254" s="2"/>
    </x:row>
    <x:row r="255" ht="23" customHeight="1">
      <x:c r="A255" s="4" t="n">
        <x:v>45809</x:v>
      </x:c>
      <x:c r="B255" s="30" t="n">
        <x:v>12685.14374</x:v>
      </x:c>
      <x:c r="C255" s="30" t="n">
        <x:v>6598.754185</x:v>
      </x:c>
      <x:c r="D255" s="30" t="n">
        <x:v>4157.164483</x:v>
      </x:c>
      <x:c r="E255" s="30" t="n">
        <x:v>1929.225072</x:v>
      </x:c>
      <x:c r="F255" s="2"/>
      <x:c r="G255" s="2"/>
    </x:row>
    <x:row r="256" ht="23" customHeight="1">
      <x:c r="A256" s="4" t="n">
        <x:v>45839</x:v>
      </x:c>
      <x:c r="B256" s="30" t="n">
        <x:v>12901.61855</x:v>
      </x:c>
      <x:c r="C256" s="30" t="n">
        <x:v>6564.070558</x:v>
      </x:c>
      <x:c r="D256" s="30" t="n">
        <x:v>4293.969131</x:v>
      </x:c>
      <x:c r="E256" s="30" t="n">
        <x:v>2043.578861</x:v>
      </x:c>
      <x:c r="F256" s="2"/>
      <x:c r="G256" s="2"/>
    </x:row>
    <x:row r="257" ht="23" customHeight="1">
      <x:c r="A257" s="4" t="n">
        <x:v>45870</x:v>
      </x:c>
      <x:c r="B257" s="30" t="n">
        <x:v>11718.756339</x:v>
      </x:c>
      <x:c r="C257" s="30" t="n">
        <x:v>5598.129769</x:v>
      </x:c>
      <x:c r="D257" s="30" t="n">
        <x:v>4122.105814</x:v>
      </x:c>
      <x:c r="E257" s="30" t="n">
        <x:v>1998.520756</x:v>
      </x:c>
      <x:c r="F257" s="2"/>
      <x:c r="G257" s="2"/>
    </x:row>
    <x:row r="258" ht="23" customHeight="1">
      <x:c r="A258" s="4" t="n">
        <x:v>45901</x:v>
      </x:c>
      <x:c r="B258" s="30" t="n">
        <x:v>10631.54053</x:v>
      </x:c>
      <x:c r="C258" s="30" t="n">
        <x:v>4674.102166</x:v>
      </x:c>
      <x:c r="D258" s="30" t="n">
        <x:v>3922.582062</x:v>
      </x:c>
      <x:c r="E258" s="30" t="n">
        <x:v>2034.856302</x:v>
      </x:c>
      <x:c r="F258" s="2"/>
      <x:c r="G258" s="2"/>
    </x:row>
    <x:row r="259" ht="23" customHeight="1">
      <x:c r="A259" s="4" t="n">
        <x:v>45931</x:v>
      </x:c>
      <x:c r="B259" s="30" t="n">
        <x:v>10591.335541</x:v>
      </x:c>
      <x:c r="C259" s="30" t="n">
        <x:v>4469.04875</x:v>
      </x:c>
      <x:c r="D259" s="30" t="n">
        <x:v>4046.719766</x:v>
      </x:c>
      <x:c r="E259" s="30" t="n">
        <x:v>2075.567025</x:v>
      </x:c>
      <x:c r="F259" s="2"/>
      <x:c r="G259" s="2"/>
    </x:row>
    <x:row r="260" ht="23" customHeight="1">
      <x:c r="A260" s="4" t="n">
        <x:v>45962</x:v>
      </x:c>
      <x:c r="B260" s="30" t="n">
        <x:v>10711.334192</x:v>
      </x:c>
      <x:c r="C260" s="30" t="n">
        <x:v>4656.511036</x:v>
      </x:c>
      <x:c r="D260" s="30" t="n">
        <x:v>4027.227775</x:v>
      </x:c>
      <x:c r="E260" s="30" t="n">
        <x:v>2027.595381</x:v>
      </x:c>
      <x:c r="F260" s="2"/>
      <x:c r="G260" s="2"/>
    </x:row>
    <x:row r="261" ht="23" customHeight="1">
      <x:c r="A261" s="4" t="n">
        <x:v>45992</x:v>
      </x:c>
      <x:c r="B261" s="30" t="n">
        <x:v>13077.047231</x:v>
      </x:c>
      <x:c r="C261" s="30" t="n">
        <x:v>6562.09712</x:v>
      </x:c>
      <x:c r="D261" s="30" t="n">
        <x:v>4537.296748</x:v>
      </x:c>
      <x:c r="E261" s="30" t="n">
        <x:v>1977.653363</x:v>
      </x:c>
      <x:c r="F261" s="2"/>
      <x:c r="G261" s="2"/>
    </x:row>
    <x:row r="262" ht="23" customHeight="1">
      <x:c r="A262" s="4" t="n">
        <x:v>46023</x:v>
      </x:c>
      <x:c r="B262" s="30" t="n">
        <x:v>13145.374526</x:v>
      </x:c>
      <x:c r="C262" s="30" t="n">
        <x:v>6497.141379</x:v>
      </x:c>
      <x:c r="D262" s="30" t="n">
        <x:v>4635.405535</x:v>
      </x:c>
      <x:c r="E262" s="30" t="n">
        <x:v>2012.827612</x:v>
      </x:c>
      <x:c r="F262" s="2"/>
      <x:c r="G262" s="2"/>
    </x:row>
    <x:row r="263" ht="23" customHeight="1">
      <x:c r="A263" s="4" t="n">
        <x:v>46054</x:v>
      </x:c>
      <x:c r="B263" s="30" t="n">
        <x:v>11780.616317</x:v>
      </x:c>
      <x:c r="C263" s="30" t="n">
        <x:v>5561.497525</x:v>
      </x:c>
      <x:c r="D263" s="30" t="n">
        <x:v>4284.903268</x:v>
      </x:c>
      <x:c r="E263" s="30" t="n">
        <x:v>1934.215524</x:v>
      </x:c>
      <x:c r="F263" s="2"/>
      <x:c r="G263" s="2"/>
    </x:row>
    <x:row r="264" ht="23" customHeight="1">
      <x:c r="A264" s="4" t="n">
        <x:v>46082</x:v>
      </x:c>
      <x:c r="B264" s="30" t="n">
        <x:v>11945.035338</x:v>
      </x:c>
      <x:c r="C264" s="30" t="n">
        <x:v>5323.151414</x:v>
      </x:c>
      <x:c r="D264" s="30" t="n">
        <x:v>4382.336102</x:v>
      </x:c>
      <x:c r="E264" s="30" t="n">
        <x:v>2239.547822</x:v>
      </x:c>
      <x:c r="F264" s="2"/>
      <x:c r="G264" s="2"/>
    </x:row>
    <x:row r="265" ht="23" customHeight="1">
      <x:c r="A265" s="4" t="n">
        <x:v>46113</x:v>
      </x:c>
      <x:c r="B265" s="30" t="n">
        <x:v>10579.342832</x:v>
      </x:c>
      <x:c r="C265" s="30" t="n">
        <x:v>4463.562615</x:v>
      </x:c>
      <x:c r="D265" s="30" t="n">
        <x:v>3969.723032</x:v>
      </x:c>
      <x:c r="E265" s="30" t="n">
        <x:v>2146.057185</x:v>
      </x:c>
      <x:c r="F265" s="2"/>
      <x:c r="G265" s="2"/>
    </x:row>
    <x:row r="266" ht="23" customHeight="1">
      <x:c r="A266" s="4" t="n">
        <x:v>46143</x:v>
      </x:c>
      <x:c r="B266" s="30" t="n">
        <x:v>12151.531183</x:v>
      </x:c>
      <x:c r="C266" s="30" t="n">
        <x:v>5825.605102</x:v>
      </x:c>
      <x:c r="D266" s="30" t="n">
        <x:v>4075.780308</x:v>
      </x:c>
      <x:c r="E266" s="30" t="n">
        <x:v>2250.145773</x:v>
      </x:c>
      <x:c r="F266" s="2"/>
      <x:c r="G266" s="2"/>
    </x:row>
    <x:row r="267" ht="23" customHeight="1">
      <x:c r="A267" s="4" t="n">
        <x:v>46174</x:v>
      </x:c>
      <x:c r="B267" s="30" t="n">
        <x:v>12641.171137</x:v>
      </x:c>
      <x:c r="C267" s="30" t="n">
        <x:v>6339.790452</x:v>
      </x:c>
      <x:c r="D267" s="30" t="n">
        <x:v>4114.308993</x:v>
      </x:c>
      <x:c r="E267" s="30" t="n">
        <x:v>2187.071692</x:v>
      </x:c>
      <x:c r="F267" s="2"/>
      <x:c r="G267" s="2"/>
    </x:row>
    <x:row r="268" ht="23" customHeight="1">
      <x:c r="A268" s="4" t="n">
        <x:v>46204</x:v>
      </x:c>
      <x:c r="B268" s="30" t="n">
        <x:v>13063.214629</x:v>
      </x:c>
      <x:c r="C268" s="30" t="n">
        <x:v>6643.194389</x:v>
      </x:c>
      <x:c r="D268" s="30" t="n">
        <x:v>4211.154804</x:v>
      </x:c>
      <x:c r="E268" s="30" t="n">
        <x:v>2208.865436</x:v>
      </x:c>
      <x:c r="F268" s="2"/>
      <x:c r="G268" s="2"/>
    </x:row>
    <x:row r="269" ht="23" customHeight="1">
      <x:c r="A269" s="4" t="n">
        <x:v>46235</x:v>
      </x:c>
      <x:c r="B269" s="30" t="n">
        <x:v>12432.027715</x:v>
      </x:c>
      <x:c r="C269" s="30" t="n">
        <x:v>6093.065132</x:v>
      </x:c>
      <x:c r="D269" s="30" t="n">
        <x:v>4100.504724</x:v>
      </x:c>
      <x:c r="E269" s="30" t="n">
        <x:v>2238.457859</x:v>
      </x:c>
      <x:c r="F269" s="2"/>
      <x:c r="G269" s="2"/>
    </x:row>
  </x:sheetData>
  <x:pageMargins left="0.7" right="0.7" top="0.75" bottom="0.75" header="0.3" footer="0.3"/>
  <x:tableParts count="1">
    <x:tablePart xmlns:r="http://schemas.openxmlformats.org/officeDocument/2006/relationships" r:id="R7f9a0b95f5a14fa8"/>
  </x:tableParts>
</x:worksheet>
</file>

<file path=xl/worksheets/sheet3.xml><?xml version="1.0" encoding="utf-8"?>
<x:worksheet xmlns:x="http://schemas.openxmlformats.org/spreadsheetml/2006/main">
  <x:sheetPr>
    <x:tabColor rgb="FFB86838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42" hidden="0" customWidth="1"/>
    <x:col min="2" max="2" width="19" hidden="0" customWidth="1"/>
    <x:col min="3" max="3" width="16" hidden="0" customWidth="1"/>
    <x:col min="4" max="4" width="12" hidden="0" customWidth="1"/>
    <x:col min="5" max="5" width="27" hidden="0" customWidth="1"/>
    <x:col min="6" max="6" width="45" hidden="0" customWidth="1"/>
    <x:col min="7" max="7" width="28" hidden="0" customWidth="1"/>
  </x:cols>
  <x:sheetData>
    <x:row r="1" ht="25" customHeight="1">
      <x:c r="A1" s="32"/>
      <x:c r="B1" s="32"/>
      <x:c r="C1" s="32"/>
      <x:c r="D1" s="32"/>
      <x:c r="E1" s="32"/>
      <x:c r="F1" s="32"/>
      <x:c r="G1" s="32"/>
    </x:row>
    <x:row r="2" ht="35" customHeight="1">
      <x:c r="A2" s="33" t="str">
        <x:v>IA y electricidad: evidencia internacional y lectura argentina</x:v>
      </x:c>
      <x:c r="B2" s="32"/>
      <x:c r="C2" s="32"/>
      <x:c r="D2" s="32"/>
      <x:c r="E2" s="32"/>
      <x:c r="F2" s="32"/>
      <x:c r="G2" s="32"/>
    </x:row>
    <x:row r="3" ht="32" customHeight="1">
      <x:c r="A3" s="32" t="str">
        <x:v>Revisión: 2026-09-24. El contexto internacional no representa la información disponible en cada mes histórico.</x:v>
      </x:c>
      <x:c r="B3" s="32"/>
      <x:c r="C3" s="32"/>
      <x:c r="D3" s="32"/>
      <x:c r="E3" s="32"/>
      <x:c r="F3" s="32"/>
      <x:c r="G3" s="32"/>
    </x:row>
    <x:row r="4" ht="50" customHeight="1">
      <x:c r="A4" s="32" t="str">
        <x:v>Hay evidencia internacional de crecimiento eléctrico en centros de datos orientados a IA. Las series argentinas incorporadas no permiten medir qué parte del consumo sectorial corresponde a IA; no identificable no significa cero.</x:v>
      </x:c>
      <x:c r="B4" s="32"/>
      <x:c r="C4" s="32"/>
      <x:c r="D4" s="32"/>
      <x:c r="E4" s="32"/>
      <x:c r="F4" s="32"/>
      <x:c r="G4" s="32"/>
    </x:row>
    <x:row r="5" ht="25" customHeight="1">
      <x:c r="A5" s="32"/>
      <x:c r="B5" s="32"/>
      <x:c r="C5" s="32"/>
      <x:c r="D5" s="32"/>
      <x:c r="E5" s="32"/>
      <x:c r="F5" s="32"/>
      <x:c r="G5" s="32"/>
    </x:row>
    <x:row r="6" ht="25" customHeight="1">
      <x:c r="A6" s="32" t="str">
        <x:v>Mes local (vinculado a Informe)</x:v>
      </x:c>
      <x:c r="B6" s="34" t="n">
        <x:f>'Informe'!B4</x:f>
        <x:v>46235</x:v>
      </x:c>
      <x:c r="C6" s="32"/>
      <x:c r="D6" s="32"/>
      <x:c r="E6" s="32"/>
      <x:c r="F6" s="32"/>
      <x:c r="G6" s="32"/>
    </x:row>
    <x:row r="7" ht="38" customHeight="1">
      <x:c r="A7" s="8" t="str">
        <x:v>Sector argentino</x:v>
      </x:c>
      <x:c r="B7" s="8" t="str">
        <x:v>Interanual %</x:v>
      </x:c>
      <x:c r="C7" s="8" t="str">
        <x:v>Atribución IA</x:v>
      </x:c>
      <x:c r="D7" s="32"/>
      <x:c r="E7" s="32"/>
      <x:c r="F7" s="32"/>
      <x:c r="G7" s="32"/>
    </x:row>
    <x:row r="8" ht="25" customHeight="1">
      <x:c r="A8" s="32" t="str">
        <x:v>Comercio e industria</x:v>
      </x:c>
      <x:c r="B8" s="35" t="n">
        <x:f>'Informe'!E11</x:f>
        <x:v>-0.00524030458573745</x:v>
      </x:c>
      <x:c r="C8" s="32" t="str">
        <x:v>No identificable</x:v>
      </x:c>
      <x:c r="D8" s="32" t="str">
        <x:v>Variaciones sectoriales no son efectos de IA. No identificable no significa 0 GWh.</x:v>
      </x:c>
      <x:c r="E8" s="32"/>
      <x:c r="F8" s="32"/>
      <x:c r="G8" s="32"/>
    </x:row>
    <x:row r="9" ht="25" customHeight="1">
      <x:c r="A9" s="32" t="str">
        <x:v>Grandes usuarios</x:v>
      </x:c>
      <x:c r="B9" s="35" t="n">
        <x:f>'Informe'!E12</x:f>
        <x:v>0.12005734855625398</x:v>
      </x:c>
      <x:c r="C9" s="32" t="str">
        <x:v>No identificable</x:v>
      </x:c>
      <x:c r="D9" s="32"/>
      <x:c r="E9" s="32"/>
      <x:c r="F9" s="32"/>
      <x:c r="G9" s="32"/>
    </x:row>
    <x:row r="10" ht="25" customHeight="1">
      <x:c r="A10" s="32"/>
      <x:c r="B10" s="32"/>
      <x:c r="C10" s="32"/>
      <x:c r="D10" s="32"/>
      <x:c r="E10" s="32"/>
      <x:c r="F10" s="32"/>
      <x:c r="G10" s="32"/>
    </x:row>
    <x:row r="11" ht="38" customHeight="1">
      <x:c r="A11" s="8" t="str">
        <x:v>Indicador</x:v>
      </x:c>
      <x:c r="B11" s="8" t="str">
        <x:v>Ámbito / período</x:v>
      </x:c>
      <x:c r="C11" s="8" t="str">
        <x:v>Valor</x:v>
      </x:c>
      <x:c r="D11" s="8" t="str">
        <x:v>Unidad</x:v>
      </x:c>
      <x:c r="E11" s="8" t="str">
        <x:v>Tipo de evidencia</x:v>
      </x:c>
      <x:c r="F11" s="8" t="str">
        <x:v>Límite de interpretación</x:v>
      </x:c>
      <x:c r="G11" s="8" t="str">
        <x:v>Fuente ID</x:v>
      </x:c>
    </x:row>
    <x:row r="12" ht="80" customHeight="1">
      <x:c r="A12" s="32" t="str">
        <x:v>Electricidad de todos los centros de
datos</x:v>
      </x:c>
      <x:c r="B12" s="32" t="str">
        <x:v>Mundo
2025</x:v>
      </x:c>
      <x:c r="C12" s="37" t="n">
        <x:v>485</x:v>
      </x:c>
      <x:c r="D12" s="32" t="str">
        <x:v>TWh</x:v>
      </x:c>
      <x:c r="E12" s="32" t="str">
        <x:v>Estimación histórica</x:v>
      </x:c>
      <x:c r="F12" s="32" t="str">
        <x:v>Incluye usos distintos de IA; no es una
medición argentina.</x:v>
      </x:c>
      <x:c r="G12" s="32" t="str">
        <x:v>IEA_AI_2026</x:v>
      </x:c>
    </x:row>
    <x:row r="13" ht="80" customHeight="1">
      <x:c r="A13" s="32" t="str">
        <x:v>Crecimiento eléctrico de todos los
centros de datos</x:v>
      </x:c>
      <x:c r="B13" s="32" t="str">
        <x:v>Mundo
2025 vs 2024</x:v>
      </x:c>
      <x:c r="C13" s="37" t="n">
        <x:v>17</x:v>
      </x:c>
      <x:c r="D13" s="32" t="str">
        <x:v>%</x:v>
      </x:c>
      <x:c r="E13" s="32" t="str">
        <x:v>Estimación histórica</x:v>
      </x:c>
      <x:c r="F13" s="32" t="str">
        <x:v>No equivale al crecimiento atribuible
exclusivamente a IA.</x:v>
      </x:c>
      <x:c r="G13" s="32" t="str">
        <x:v>IEA_AI_2026</x:v>
      </x:c>
    </x:row>
    <x:row r="14" ht="80" customHeight="1">
      <x:c r="A14" s="32" t="str">
        <x:v>Crecimiento eléctrico de centros de
datos orientados a IA</x:v>
      </x:c>
      <x:c r="B14" s="32" t="str">
        <x:v>Mundo
2025 vs 2024</x:v>
      </x:c>
      <x:c r="C14" s="37" t="n">
        <x:v>50</x:v>
      </x:c>
      <x:c r="D14" s="32" t="str">
        <x:v>%</x:v>
      </x:c>
      <x:c r="E14" s="32" t="str">
        <x:v>Estimación histórica</x:v>
      </x:c>
      <x:c r="F14" s="32" t="str">
        <x:v>Tasa de crecimiento, no participación de IA
en los 485 TWh.</x:v>
      </x:c>
      <x:c r="G14" s="32" t="str">
        <x:v>IEA_AI_2026</x:v>
      </x:c>
    </x:row>
    <x:row r="15" ht="80" customHeight="1">
      <x:c r="A15" s="32" t="str">
        <x:v>Incremento eléctrico de todos los
centros de datos</x:v>
      </x:c>
      <x:c r="B15" s="32" t="str">
        <x:v>Mundo
2025 vs 2024</x:v>
      </x:c>
      <x:c r="C15" s="37" t="n">
        <x:v>70</x:v>
      </x:c>
      <x:c r="D15" s="32" t="str">
        <x:v>TWh</x:v>
      </x:c>
      <x:c r="E15" s="32" t="str">
        <x:v>Estimación histórica
aproximada</x:v>
      </x:c>
      <x:c r="F15" s="32" t="str">
        <x:v>Todos los centros de datos; no solo IA.</x:v>
      </x:c>
      <x:c r="G15" s="32" t="str">
        <x:v>IEA_GER_2026</x:v>
      </x:c>
    </x:row>
    <x:row r="16" ht="80" customHeight="1">
      <x:c r="A16" s="32" t="str">
        <x:v>Incremento de la demanda eléctrica
total</x:v>
      </x:c>
      <x:c r="B16" s="32" t="str">
        <x:v>Mundo
2025 vs 2024</x:v>
      </x:c>
      <x:c r="C16" s="37" t="n">
        <x:v>800</x:v>
      </x:c>
      <x:c r="D16" s="32" t="str">
        <x:v>TWh</x:v>
      </x:c>
      <x:c r="E16" s="32" t="str">
        <x:v>Estimación histórica
aproximada</x:v>
      </x:c>
      <x:c r="F16" s="32" t="str">
        <x:v>Denominador mundial; no comparable
directamente con un mes argentino.</x:v>
      </x:c>
      <x:c r="G16" s="32" t="str">
        <x:v>IEA_GER_2026</x:v>
      </x:c>
    </x:row>
    <x:row r="17" ht="80" customHeight="1">
      <x:c r="A17" s="38" t="str">
        <x:v>Electricidad de todos los centros de
datos</x:v>
      </x:c>
      <x:c r="B17" s="38" t="str">
        <x:v>Mundo
2030</x:v>
      </x:c>
      <x:c r="C17" s="39" t="n">
        <x:v>950</x:v>
      </x:c>
      <x:c r="D17" s="38" t="str">
        <x:v>TWh</x:v>
      </x:c>
      <x:c r="E17" s="38" t="str">
        <x:v>Proyección, no observado</x:v>
      </x:c>
      <x:c r="F17" s="38" t="str">
        <x:v>Escenario de la AIE; no dato realizado ni
pronóstico propio.</x:v>
      </x:c>
      <x:c r="G17" s="38" t="str">
        <x:v>IEA_AI_2026</x:v>
      </x:c>
    </x:row>
    <x:row r="18" ht="80" customHeight="1">
      <x:c r="A18" s="32" t="str">
        <x:v>Carta de intención OpenAI / Sur Energy
para explorar un proyecto</x:v>
      </x:c>
      <x:c r="B18" s="32" t="str">
        <x:v>Argentina
2025-10-14</x:v>
      </x:c>
      <x:c r="C18" s="37"/>
      <x:c r="D18" s="32" t="str">
        <x:v>Sin GWh informados</x:v>
      </x:c>
      <x:c r="E18" s="32" t="str">
        <x:v>Anuncio empresarial</x:v>
      </x:c>
      <x:c r="F18" s="32" t="str">
        <x:v>Esta fuente acredita una intención; no
aporta consumo medido ni acredita puesta en
servicio.</x:v>
      </x:c>
      <x:c r="G18" s="32" t="str">
        <x:v>OPENAI_AR_2025</x:v>
      </x:c>
    </x:row>
    <x:row r="19" ht="25" customHeight="1">
      <x:c r="A19" s="32"/>
      <x:c r="B19" s="32"/>
      <x:c r="C19" s="32"/>
      <x:c r="D19" s="32"/>
      <x:c r="E19" s="32"/>
      <x:c r="F19" s="32"/>
      <x:c r="G19" s="32"/>
    </x:row>
    <x:row r="20" ht="30" customHeight="1">
      <x:c r="A20" s="32" t="str">
        <x:v>Aporte aproximado de todos los centros de datos al aumento eléctrico mundial de 2025</x:v>
      </x:c>
      <x:c r="B20" s="32"/>
      <x:c r="C20" s="32"/>
      <x:c r="D20" s="32"/>
      <x:c r="E20" s="32"/>
      <x:c r="F20" s="32"/>
      <x:c r="G20" s="32"/>
    </x:row>
    <x:row r="21" ht="25" customHeight="1">
      <x:c r="A21" s="32" t="str">
        <x:v>Incremento centros de datos (TWh)</x:v>
      </x:c>
      <x:c r="B21" s="32" t="n">
        <x:f>C15</x:f>
        <x:v>70</x:v>
      </x:c>
      <x:c r="C21" s="32"/>
      <x:c r="D21" s="32" t="str">
        <x:v>Cálculo propio con estimaciones redondeadas de AIE: 70 / 800. No mide el aporte exclusivo de IA ni la participación en el consumo total.</x:v>
      </x:c>
      <x:c r="E21" s="32"/>
      <x:c r="F21" s="32"/>
      <x:c r="G21" s="32"/>
    </x:row>
    <x:row r="22" ht="25" customHeight="1">
      <x:c r="A22" s="32" t="str">
        <x:v>Incremento mundial total (TWh)</x:v>
      </x:c>
      <x:c r="B22" s="32" t="n">
        <x:f>C16</x:f>
        <x:v>800</x:v>
      </x:c>
      <x:c r="C22" s="32"/>
      <x:c r="D22" s="32"/>
      <x:c r="E22" s="32"/>
      <x:c r="F22" s="32"/>
      <x:c r="G22" s="32"/>
    </x:row>
    <x:row r="23" ht="25" customHeight="1">
      <x:c r="A23" s="32" t="str">
        <x:v>Aporte al incremento mundial (%)</x:v>
      </x:c>
      <x:c r="B23" s="40" t="n">
        <x:f>B21/B22</x:f>
        <x:v>0.0875</x:v>
      </x:c>
      <x:c r="C23" s="32"/>
      <x:c r="D23" s="32"/>
      <x:c r="E23" s="32"/>
      <x:c r="F23" s="32"/>
      <x:c r="G23" s="32"/>
    </x:row>
    <x:row r="24" ht="25" customHeight="1">
      <x:c r="A24" s="32"/>
      <x:c r="B24" s="32"/>
      <x:c r="C24" s="32"/>
      <x:c r="D24" s="32"/>
      <x:c r="E24" s="32"/>
      <x:c r="F24" s="32"/>
      <x:c r="G24" s="32"/>
    </x:row>
    <x:row r="25" ht="65" customHeight="1">
      <x:c r="A25" s="32" t="str">
        <x:v>Centros de datos no equivale a industria ni todo centro de datos se dedica a IA. El cómputo contratado por una empresa argentina puede ejecutarse fuera del país. Adoptar IA tampoco implica necesariamente mayor consumo neto de la fábrica: deben medirse tanto el cómputo como los cambios de eficiencia y producción.</x:v>
      </x:c>
      <x:c r="B25" s="32"/>
      <x:c r="C25" s="32"/>
      <x:c r="D25" s="32"/>
      <x:c r="E25" s="32"/>
      <x:c r="F25" s="32"/>
      <x:c r="G25" s="32"/>
    </x:row>
    <x:row r="26" ht="70" customHeight="1">
      <x:c r="A26" s="32" t="str">
        <x:v>Para estimar una relación local hacen falta consumos mensuales por establecimiento, ubicación del cómputo, fecha de adopción de IA y proporción de carga dedicada a IA. Comparar establecimientos semejantes antes y después, controlando producción, clima, calendario y tarifas; verificar tendencias previas antes de interpretar causalmente.</x:v>
      </x:c>
      <x:c r="B26" s="32"/>
      <x:c r="C26" s="32"/>
      <x:c r="D26" s="32"/>
      <x:c r="E26" s="32"/>
      <x:c r="F26" s="32"/>
      <x:c r="G26" s="32"/>
    </x:row>
    <x:row r="27" ht="25" customHeight="1">
      <x:c r="A27" s="32"/>
      <x:c r="B27" s="32"/>
      <x:c r="C27" s="32"/>
      <x:c r="D27" s="32"/>
      <x:c r="E27" s="32"/>
      <x:c r="F27" s="32"/>
      <x:c r="G27" s="32"/>
    </x:row>
    <x:row r="28" ht="30" customHeight="1">
      <x:c r="A28" s="32" t="str">
        <x:v>Fuentes de los indicadores (la fecha de revisión no es la del dato)</x:v>
      </x:c>
      <x:c r="B28" s="32"/>
      <x:c r="C28" s="32"/>
      <x:c r="D28" s="32"/>
      <x:c r="E28" s="32"/>
      <x:c r="F28" s="32"/>
      <x:c r="G28" s="32"/>
    </x:row>
    <x:row r="29" ht="30" customHeight="1">
      <x:c r="A29" s="32" t="str">
        <x:v>IEA_AI_2026: AIE / IEA. Key Questions on Energy and AI (2026)</x:v>
      </x:c>
      <x:c r="B29" s="32"/>
      <x:c r="C29" s="32"/>
      <x:c r="D29" s="32"/>
      <x:c r="E29" s="32"/>
      <x:c r="F29" s="32"/>
      <x:c r="G29" s="32"/>
    </x:row>
    <x:row r="30" ht="35" customHeight="1">
      <x:c r="A30" s="32" t="str">
        <x:v>https://www.iea.org/reports/key-questions-on-energy-and-ai/executive-summary</x:v>
      </x:c>
      <x:c r="B30" s="32"/>
      <x:c r="C30" s="32"/>
      <x:c r="D30" s="32"/>
      <x:c r="E30" s="32"/>
      <x:c r="F30" s="32"/>
      <x:c r="G30" s="32"/>
    </x:row>
    <x:row r="31" ht="30" customHeight="1">
      <x:c r="A31" s="32" t="str">
        <x:v>IEA_GER_2026: AIE / IEA. Global Energy Review 2026 — Electricity demand</x:v>
      </x:c>
      <x:c r="B31" s="32"/>
      <x:c r="C31" s="32"/>
      <x:c r="D31" s="32"/>
      <x:c r="E31" s="32"/>
      <x:c r="F31" s="32"/>
      <x:c r="G31" s="32"/>
    </x:row>
    <x:row r="32" ht="35" customHeight="1">
      <x:c r="A32" s="32" t="str">
        <x:v>https://www.iea.org/reports/global-energy-review-2026/electricity-demand</x:v>
      </x:c>
      <x:c r="B32" s="32"/>
      <x:c r="C32" s="32"/>
      <x:c r="D32" s="32"/>
      <x:c r="E32" s="32"/>
      <x:c r="F32" s="32"/>
      <x:c r="G32" s="32"/>
    </x:row>
    <x:row r="33" ht="30" customHeight="1">
      <x:c r="A33" s="32" t="str">
        <x:v>OPENAI_AR_2025: OpenAI. Argentina’s AI opportunity — 14 octubre 2025</x:v>
      </x:c>
      <x:c r="B33" s="32"/>
      <x:c r="C33" s="32"/>
      <x:c r="D33" s="32"/>
      <x:c r="E33" s="32"/>
      <x:c r="F33" s="32"/>
      <x:c r="G33" s="32"/>
    </x:row>
    <x:row r="34" ht="35" customHeight="1">
      <x:c r="A34" s="32" t="str">
        <x:v>https://openai.com/global-affairs/argentinas-ai-opportunity/</x:v>
      </x:c>
      <x:c r="B34" s="32"/>
      <x:c r="C34" s="32"/>
      <x:c r="D34" s="32"/>
      <x:c r="E34" s="32"/>
      <x:c r="F34" s="32"/>
      <x:c r="G34" s="32"/>
    </x:row>
    <x:row r="35" ht="25" customHeight="1">
      <x:c r="A35" s="32"/>
      <x:c r="B35" s="32"/>
      <x:c r="C35" s="32"/>
      <x:c r="D35" s="32"/>
      <x:c r="E35" s="32"/>
      <x:c r="F35" s="32"/>
      <x:c r="G35" s="32"/>
    </x:row>
    <x:row r="36" ht="32" customHeight="1">
      <x:c r="A36" s="32" t="str">
        <x:v>Unidades: 1 TWh = 1.000 GWh. La tabla combina ámbitos y períodos distintos: sus filas no se suman.</x:v>
      </x:c>
      <x:c r="B36" s="32"/>
      <x:c r="C36" s="32"/>
      <x:c r="D36" s="32"/>
      <x:c r="E36" s="32"/>
      <x:c r="F36" s="32"/>
      <x:c r="G36" s="32"/>
    </x:row>
    <x:row r="37" ht="25" customHeight="1">
      <x:c r="A37" s="32"/>
      <x:c r="B37" s="32"/>
      <x:c r="C37" s="32"/>
      <x:c r="D37" s="32"/>
      <x:c r="E37" s="32"/>
      <x:c r="F37" s="32"/>
      <x:c r="G37" s="32"/>
    </x:row>
    <x:row r="38" ht="25" customHeight="1">
      <x:c r="A38" s="32"/>
      <x:c r="B38" s="32"/>
      <x:c r="C38" s="32"/>
      <x:c r="D38" s="32"/>
      <x:c r="E38" s="32"/>
      <x:c r="F38" s="32"/>
      <x:c r="G38" s="32"/>
    </x:row>
  </x:sheetData>
  <x:mergeCells>
    <x:mergeCell ref="A2:G2"/>
    <x:mergeCell ref="A3:G3"/>
    <x:mergeCell ref="A4:G4"/>
    <x:mergeCell ref="D8:G9"/>
    <x:mergeCell ref="A20:G20"/>
    <x:mergeCell ref="D21:G23"/>
    <x:mergeCell ref="A25:G25"/>
    <x:mergeCell ref="A26:G26"/>
    <x:mergeCell ref="A28:G28"/>
    <x:mergeCell ref="A29:G29"/>
    <x:mergeCell ref="A30:G30"/>
    <x:mergeCell ref="A31:G31"/>
    <x:mergeCell ref="A32:G32"/>
    <x:mergeCell ref="A33:G33"/>
    <x:mergeCell ref="A34:G34"/>
    <x:mergeCell ref="A36:G3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175E4B"/>
  </x:sheetPr>
  <x:sheetViews>
    <x:sheetView showGridLines="0" workbookViewId="0"/>
  </x:sheetViews>
  <x:sheetFormatPr defaultRowHeight="15"/>
  <x:cols>
    <x:col min="1" max="1" width="31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18" hidden="0" customWidth="1"/>
    <x:col min="9" max="9" width="3" hidden="0" customWidth="1"/>
    <x:col min="10" max="10" width="6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3" t="str">
        <x:v>Concentración del crecimiento eléctrico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 t="str">
        <x:v>Mes vinculado a Informe</x:v>
      </x:c>
      <x:c r="B4" s="4" t="n">
        <x:f>'Informe'!B4</x:f>
        <x:v>46235</x:v>
      </x:c>
      <x:c r="C4" s="2"/>
      <x:c r="D4" s="2"/>
      <x:c r="E4" s="2"/>
      <x:c r="F4" s="2"/>
      <x:c r="G4" s="2"/>
      <x:c r="H4" s="2"/>
      <x:c r="I4" s="2"/>
      <x:c r="J4" s="2"/>
    </x:row>
    <x:row r="5" ht="24" customHeight="1">
      <x:c r="A5" s="2" t="str">
        <x:v>Demanda nacional. Mes y acumulado enero al mes seleccionado. Fuente original en Datos.</x:v>
      </x:c>
      <x:c r="B5" s="2"/>
      <x:c r="C5" s="2"/>
      <x:c r="D5" s="2"/>
      <x:c r="E5" s="2"/>
      <x:c r="F5" s="2"/>
      <x:c r="G5" s="2"/>
      <x:c r="H5" s="2"/>
      <x:c r="I5" s="2"/>
      <x:c r="J5" s="2"/>
    </x:row>
    <x:row r="6" ht="24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</x:row>
    <x:row r="7" ht="42" customHeight="1">
      <x:c r="A7" s="60" t="str">
        <x:v>Sector</x:v>
      </x:c>
      <x:c r="B7" s="60" t="str">
        <x:v>Cambio mes GWh</x:v>
      </x:c>
      <x:c r="C7" s="60" t="str">
        <x:v>% aumento mes</x:v>
      </x:c>
      <x:c r="D7" s="60" t="str">
        <x:v>Aporte mes pp</x:v>
      </x:c>
      <x:c r="E7" s="60" t="str">
        <x:v>Cambio YTD GWh</x:v>
      </x:c>
      <x:c r="F7" s="60" t="str">
        <x:v>% aumento YTD</x:v>
      </x:c>
      <x:c r="G7" s="60" t="str">
        <x:v>Aporte YTD pp</x:v>
      </x:c>
      <x:c r="H7" s="2"/>
      <x:c r="I7" s="2"/>
      <x:c r="J7" s="2"/>
    </x:row>
    <x:row r="8" ht="24" customHeight="1">
      <x:c r="A8" s="2" t="str">
        <x:f>'Informe'!A10</x:f>
        <x:v>Residencial</x:v>
      </x:c>
      <x:c r="B8" s="10" t="n">
        <x:f>'Informe'!D10</x:f>
        <x:v>494.9353629999996</x:v>
      </x:c>
      <x:c r="C8" s="11" t="n">
        <x:f>IF(ISNUMBER('Informe'!D13),IF('Informe'!D13&gt;0,B8/'Informe'!D13,"n.a."),"n.a.")</x:f>
        <x:v>0.6938948900144833</x:v>
      </x:c>
      <x:c r="D8" s="13" t="n">
        <x:f>'Informe'!F10</x:f>
        <x:v>4.223446146353052</x:v>
      </x:c>
      <x:c r="E8" s="10" t="n">
        <x:f>'Informe'!D19</x:f>
        <x:v>716.755090000006</x:v>
      </x:c>
      <x:c r="F8" s="11" t="n">
        <x:f>IF(ISNUMBER('Informe'!D22),IF('Informe'!D22&gt;0,E8/'Informe'!D22,"n.a."),"n.a.")</x:f>
        <x:v>0.47826150769721243</x:v>
      </x:c>
      <x:c r="G8" s="13" t="n">
        <x:f>'Informe'!F19</x:f>
        <x:v>0.7447607303382221</x:v>
      </x:c>
      <x:c r="H8" s="2"/>
      <x:c r="I8" s="2"/>
      <x:c r="J8" s="2"/>
    </x:row>
    <x:row r="9" ht="24" customHeight="1">
      <x:c r="A9" s="2" t="str">
        <x:f>'Informe'!A11</x:f>
        <x:v>Comercio e industria</x:v>
      </x:c>
      <x:c r="B9" s="10" t="n">
        <x:f>'Informe'!D11</x:f>
        <x:v>-21.601089999999203</x:v>
      </x:c>
      <x:c r="C9" s="11" t="n">
        <x:f>IF(ISNUMBER('Informe'!D13),IF('Informe'!D13&gt;0,B9/'Informe'!D13,"n.a."),"n.a.")</x:f>
        <x:v>-0.030284532264756386</x:v>
      </x:c>
      <x:c r="D9" s="13" t="n">
        <x:f>'Informe'!F11</x:f>
        <x:v>-0.18432920162450017</x:v>
      </x:c>
      <x:c r="E9" s="10" t="n">
        <x:f>'Informe'!D20</x:f>
        <x:v>-714.0086160000064</x:v>
      </x:c>
      <x:c r="F9" s="11" t="n">
        <x:f>IF(ISNUMBER('Informe'!D22),IF('Informe'!D22&gt;0,E9/'Informe'!D22,"n.a."),"n.a.")</x:f>
        <x:v>-0.47642889734757266</x:v>
      </x:c>
      <x:c r="G9" s="13" t="n">
        <x:f>'Informe'!F20</x:f>
        <x:v>-0.7419069438627126</x:v>
      </x:c>
      <x:c r="H9" s="2"/>
      <x:c r="I9" s="2"/>
      <x:c r="J9" s="2"/>
    </x:row>
    <x:row r="10" ht="24" customHeight="1">
      <x:c r="A10" s="2" t="str">
        <x:f>'Informe'!A12</x:f>
        <x:v>Grandes usuarios</x:v>
      </x:c>
      <x:c r="B10" s="10" t="n">
        <x:f>'Informe'!D12</x:f>
        <x:v>239.9371030000002</x:v>
      </x:c>
      <x:c r="C10" s="11" t="n">
        <x:f>IF(ISNUMBER('Informe'!D13),IF('Informe'!D13&gt;0,B10/'Informe'!D13,"n.a."),"n.a.")</x:f>
        <x:v>0.33638964225027307</x:v>
      </x:c>
      <x:c r="D10" s="13" t="n">
        <x:f>'Informe'!F12</x:f>
        <x:v>2.047462171403718</x:v>
      </x:c>
      <x:c r="E10" s="10" t="n">
        <x:f>'Informe'!D21</x:f>
        <x:v>1495.9212600000028</x:v>
      </x:c>
      <x:c r="F10" s="11" t="n">
        <x:f>IF(ISNUMBER('Informe'!D22),IF('Informe'!D22&gt;0,E10/'Informe'!D22,"n.a."),"n.a.")</x:f>
        <x:v>0.9981673896503602</x:v>
      </x:c>
      <x:c r="G10" s="13" t="n">
        <x:f>'Informe'!F21</x:f>
        <x:v>1.5543711173729735</x:v>
      </x:c>
      <x:c r="H10" s="2"/>
      <x:c r="I10" s="2"/>
      <x:c r="J10" s="2"/>
    </x:row>
    <x:row r="11" ht="24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24" customHeight="1">
      <x:c r="A12" s="2" t="str">
        <x:v>El % del aumento usa el cambio neto como denominador. Puede superar 100%; si el total no crece, n.a.</x:v>
      </x:c>
      <x:c r="B12" s="2"/>
      <x:c r="C12" s="2"/>
      <x:c r="D12" s="2"/>
      <x:c r="E12" s="2"/>
      <x:c r="F12" s="2"/>
      <x:c r="G12" s="2"/>
      <x:c r="H12" s="2"/>
      <x:c r="I12" s="2"/>
      <x:c r="J12" s="2"/>
    </x:row>
    <x:row r="13" ht="24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</x:row>
    <x:row r="14" ht="24" customHeight="1">
      <x:c r="A14" s="2" t="str">
        <x:v>Grandes demandas: muestra mensual GUMA/GUME/GUDI, distinta de GUMAs + AUTO de Actividades.</x:v>
      </x:c>
      <x:c r="B14" s="2"/>
      <x:c r="C14" s="2"/>
      <x:c r="D14" s="2"/>
      <x:c r="E14" s="2"/>
      <x:c r="F14" s="2"/>
      <x:c r="G14" s="2"/>
      <x:c r="H14" s="2"/>
      <x:c r="I14" s="2"/>
      <x:c r="J14" s="2"/>
    </x:row>
    <x:row r="15" ht="24" customHeight="1">
      <x:c r="A15" s="2" t="str">
        <x:v>Cobertura declarada: 98% hasta julio de 2026; 90% en agosto. No se confirmó el motivo.</x:v>
      </x:c>
      <x:c r="B15" s="2"/>
      <x:c r="C15" s="2"/>
      <x:c r="D15" s="2"/>
      <x:c r="E15" s="2"/>
      <x:c r="F15" s="2"/>
      <x:c r="G15" s="2"/>
      <x:c r="H15" s="2"/>
      <x:c r="I15" s="2"/>
      <x:c r="J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24" customHeight="1">
      <x:c r="A17" s="2" t="str">
        <x:v>Disponibilidad por ramas</x:v>
      </x:c>
      <x:c r="B17" s="2" t="str">
        <x:f>IF(COUNTIFS($A$34:$A$81,$B$4)=4,"Disponible","Sin apertura")</x:f>
        <x:v>Disponible</x:v>
      </x:c>
      <x:c r="C17" s="2"/>
      <x:c r="D17" s="2"/>
      <x:c r="E17" s="2"/>
      <x:c r="F17" s="2"/>
      <x:c r="G17" s="2"/>
      <x:c r="H17" s="2"/>
      <x:c r="I17" s="2"/>
      <x:c r="J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42" customHeight="1">
      <x:c r="A20" s="60" t="str">
        <x:v>Componente</x:v>
      </x:c>
      <x:c r="B20" s="60" t="str">
        <x:v>Actual MW</x:v>
      </x:c>
      <x:c r="C20" s="60" t="str">
        <x:v>Anterior MW</x:v>
      </x:c>
      <x:c r="D20" s="60" t="str">
        <x:v>Cambio MW</x:v>
      </x:c>
      <x:c r="E20" s="60" t="str">
        <x:v>Aporte pp</x:v>
      </x:c>
      <x:c r="F20" s="60" t="str">
        <x:v>% aumento neto</x:v>
      </x:c>
      <x:c r="G20" s="60" t="str">
        <x:v>% nivel actual</x:v>
      </x:c>
      <x:c r="H20" s="2"/>
      <x:c r="I20" s="2"/>
      <x:c r="J20" s="2"/>
    </x:row>
    <x:row r="21" ht="24" customHeight="1">
      <x:c r="A21" s="2" t="str">
        <x:v>Alimentación, comercios y servicios</x:v>
      </x:c>
      <x:c r="B21" s="45" t="n">
        <x:f>IF($B$17="Disponible",SUMIFS($C$34:$C$81,$A$34:$A$81,$B$4,$B$34:$B$81,A21),"n.a.")</x:f>
        <x:v>1554</x:v>
      </x:c>
      <x:c r="C21" s="45" t="n">
        <x:f>IF($B$17="Disponible",SUMIFS($D$34:$D$81,$A$34:$A$81,$B$4,$B$34:$B$81,A21),"n.a.")</x:f>
        <x:v>1576</x:v>
      </x:c>
      <x:c r="D21" s="45" t="n">
        <x:f>IF($B$17="Disponible",B21-C21,"n.a.")</x:f>
        <x:v>-22</x:v>
      </x:c>
      <x:c r="E21" s="13" t="n">
        <x:f>IF($B$17="Disponible",D21/$C$25*100,"n.a.")</x:f>
        <x:v>-0.5765199161425576</x:v>
      </x:c>
      <x:c r="F21" s="12" t="n">
        <x:f>IF($B$17="Disponible",IF($D$25&gt;0,D21/$D$25,"n.a."),"n.a.")</x:f>
        <x:v>-0.16793893129770993</x:v>
      </x:c>
      <x:c r="G21" s="12" t="n">
        <x:f>IF($B$17="Disponible",B21/$B$25,"n.a.")</x:f>
        <x:v>0.393716746896377</x:v>
      </x:c>
      <x:c r="H21" s="2"/>
      <x:c r="I21" s="2"/>
      <x:c r="J21" s="2"/>
    </x:row>
    <x:row r="22" ht="24" customHeight="1">
      <x:c r="A22" s="2" t="str">
        <x:v>Industrias sin Aluar</x:v>
      </x:c>
      <x:c r="B22" s="45" t="n">
        <x:f>IF($B$17="Disponible",SUMIFS($C$34:$C$81,$A$34:$A$81,$B$4,$B$34:$B$81,A22),"n.a.")</x:f>
        <x:v>1644</x:v>
      </x:c>
      <x:c r="C22" s="45" t="n">
        <x:f>IF($B$17="Disponible",SUMIFS($D$34:$D$81,$A$34:$A$81,$B$4,$B$34:$B$81,A22),"n.a.")</x:f>
        <x:v>1655</x:v>
      </x:c>
      <x:c r="D22" s="45" t="n">
        <x:f>IF($B$17="Disponible",B22-C22,"n.a.")</x:f>
        <x:v>-11</x:v>
      </x:c>
      <x:c r="E22" s="13" t="n">
        <x:f>IF($B$17="Disponible",D22/$C$25*100,"n.a.")</x:f>
        <x:v>-0.2882599580712788</x:v>
      </x:c>
      <x:c r="F22" s="12" t="n">
        <x:f>IF($B$17="Disponible",IF($D$25&gt;0,D22/$D$25,"n.a."),"n.a.")</x:f>
        <x:v>-0.08396946564885496</x:v>
      </x:c>
      <x:c r="G22" s="12" t="n">
        <x:f>IF($B$17="Disponible",B22/$B$25,"n.a.")</x:f>
        <x:v>0.41651887509500884</x:v>
      </x:c>
      <x:c r="H22" s="2"/>
      <x:c r="I22" s="2"/>
      <x:c r="J22" s="2"/>
    </x:row>
    <x:row r="23" ht="24" customHeight="1">
      <x:c r="A23" s="2" t="str">
        <x:v>Petróleos y minerales</x:v>
      </x:c>
      <x:c r="B23" s="45" t="n">
        <x:f>IF($B$17="Disponible",SUMIFS($C$34:$C$81,$A$34:$A$81,$B$4,$B$34:$B$81,A23),"n.a.")</x:f>
        <x:v>202</x:v>
      </x:c>
      <x:c r="C23" s="45" t="n">
        <x:f>IF($B$17="Disponible",SUMIFS($D$34:$D$81,$A$34:$A$81,$B$4,$B$34:$B$81,A23),"n.a.")</x:f>
        <x:v>209</x:v>
      </x:c>
      <x:c r="D23" s="45" t="n">
        <x:f>IF($B$17="Disponible",B23-C23,"n.a.")</x:f>
        <x:v>-7</x:v>
      </x:c>
      <x:c r="E23" s="13" t="n">
        <x:f>IF($B$17="Disponible",D23/$C$25*100,"n.a.")</x:f>
        <x:v>-0.18343815513626835</x:v>
      </x:c>
      <x:c r="F23" s="12" t="n">
        <x:f>IF($B$17="Disponible",IF($D$25&gt;0,D23/$D$25,"n.a."),"n.a.")</x:f>
        <x:v>-0.05343511450381679</x:v>
      </x:c>
      <x:c r="G23" s="12" t="n">
        <x:f>IF($B$17="Disponible",B23/$B$25,"n.a.")</x:f>
        <x:v>0.05117810995692931</x:v>
      </x:c>
      <x:c r="H23" s="2"/>
      <x:c r="I23" s="2"/>
      <x:c r="J23" s="2"/>
    </x:row>
    <x:row r="24" ht="24" customHeight="1">
      <x:c r="A24" s="2" t="str">
        <x:v>Aluar</x:v>
      </x:c>
      <x:c r="B24" s="45" t="n">
        <x:f>IF($B$17="Disponible",SUMIFS($C$34:$C$81,$A$34:$A$81,$B$4,$B$34:$B$81,A24),"n.a.")</x:f>
        <x:v>547</x:v>
      </x:c>
      <x:c r="C24" s="45" t="n">
        <x:f>IF($B$17="Disponible",SUMIFS($D$34:$D$81,$A$34:$A$81,$B$4,$B$34:$B$81,A24),"n.a.")</x:f>
        <x:v>376</x:v>
      </x:c>
      <x:c r="D24" s="45" t="n">
        <x:f>IF($B$17="Disponible",B24-C24,"n.a.")</x:f>
        <x:v>171</x:v>
      </x:c>
      <x:c r="E24" s="13" t="n">
        <x:f>IF($B$17="Disponible",D24/$C$25*100,"n.a.")</x:f>
        <x:v>4.481132075471698</x:v>
      </x:c>
      <x:c r="F24" s="12" t="n">
        <x:f>IF($B$17="Disponible",IF($D$25&gt;0,D24/$D$25,"n.a."),"n.a.")</x:f>
        <x:v>1.3053435114503817</x:v>
      </x:c>
      <x:c r="G24" s="12" t="n">
        <x:f>IF($B$17="Disponible",B24/$B$25,"n.a.")</x:f>
        <x:v>0.13858626805168484</x:v>
      </x:c>
      <x:c r="H24" s="2"/>
      <x:c r="I24" s="2"/>
      <x:c r="J24" s="2"/>
    </x:row>
    <x:row r="25" ht="24" customHeight="1">
      <x:c r="A25" s="2" t="str">
        <x:v>Total publicado</x:v>
      </x:c>
      <x:c r="B25" s="45" t="n">
        <x:f>IF(B17="Disponible",SUMIFS($F$34:$F$81,$A$34:$A$81,$B$4,$B$34:$B$81,$A$21),"n.a.")</x:f>
        <x:v>3947</x:v>
      </x:c>
      <x:c r="C25" s="45" t="n">
        <x:f>IF(B17="Disponible",SUMIFS($G$34:$G$81,$A$34:$A$81,$B$4,$B$34:$B$81,$A$21),"n.a.")</x:f>
        <x:v>3816</x:v>
      </x:c>
      <x:c r="D25" s="45" t="n">
        <x:f>IF(B17="Disponible",B25-C25,"n.a.")</x:f>
        <x:v>131</x:v>
      </x:c>
      <x:c r="E25" s="2"/>
      <x:c r="F25" s="2"/>
      <x:c r="G25" s="2"/>
      <x:c r="H25" s="2"/>
      <x:c r="I25" s="2"/>
      <x:c r="J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24" customHeight="1">
      <x:c r="A27" s="2" t="str">
        <x:v>Residuo redondeo MW</x:v>
      </x:c>
      <x:c r="B27" s="46" t="n">
        <x:f>IF(B17="Disponible",D25-SUM(D21:D24),"n.a.")</x:f>
        <x:v>0</x:v>
      </x:c>
      <x:c r="C27" s="2"/>
      <x:c r="D27" s="2"/>
      <x:c r="E27" s="2"/>
      <x:c r="F27" s="2"/>
      <x:c r="G27" s="2"/>
      <x:c r="H27" s="2"/>
      <x:c r="I27" s="2"/>
      <x:c r="J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 ht="24" customHeight="1">
      <x:c r="A29" s="2" t="str">
        <x:v>Datos por publicación. No se suman potencias de meses distintos ni se atribuyen causas.</x:v>
      </x:c>
      <x:c r="B29" s="2"/>
      <x:c r="C29" s="2"/>
      <x:c r="D29" s="2"/>
      <x:c r="E29" s="2"/>
      <x:c r="F29" s="2"/>
      <x:c r="G29" s="2"/>
      <x:c r="H29" s="2"/>
      <x:c r="I29" s="2"/>
      <x:c r="J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 ht="42" customHeight="1">
      <x:c r="A33" s="60" t="str">
        <x:v>Mes</x:v>
      </x:c>
      <x:c r="B33" s="60" t="str">
        <x:v>Componente</x:v>
      </x:c>
      <x:c r="C33" s="60" t="str">
        <x:v>Actual MW</x:v>
      </x:c>
      <x:c r="D33" s="60" t="str">
        <x:v>Anterior MW</x:v>
      </x:c>
      <x:c r="E33" s="60" t="str">
        <x:v>Tasa publicada</x:v>
      </x:c>
      <x:c r="F33" s="60" t="str">
        <x:v>Total actual MW</x:v>
      </x:c>
      <x:c r="G33" s="60" t="str">
        <x:v>Total anterior MW</x:v>
      </x:c>
      <x:c r="H33" s="60" t="str">
        <x:v>Cobertura %</x:v>
      </x:c>
      <x:c r="I33" s="2"/>
      <x:c r="J33" s="2" t="str">
        <x:v>Fuente original (PDF)</x:v>
      </x:c>
    </x:row>
    <x:row r="34" ht="42" customHeight="1">
      <x:c r="A34" s="61" t="n">
        <x:v>45901</x:v>
      </x:c>
      <x:c r="B34" s="32" t="str">
        <x:v>Alimentación, comercios y servicios</x:v>
      </x:c>
      <x:c r="C34" s="2" t="n">
        <x:v>1609</x:v>
      </x:c>
      <x:c r="D34" s="2" t="n">
        <x:v>1603</x:v>
      </x:c>
      <x:c r="E34" s="11" t="n">
        <x:v>0.004</x:v>
      </x:c>
      <x:c r="F34" s="2" t="n">
        <x:v>3990</x:v>
      </x:c>
      <x:c r="G34" s="2" t="n">
        <x:v>3985</x:v>
      </x:c>
      <x:c r="H34" s="47" t="n">
        <x:v>0.98</x:v>
      </x:c>
      <x:c r="I34" s="2"/>
      <x:c r="J34" s="2" t="str">
        <x:v>https://cammesaweb.cammesa.com/download/evolucion-de-la-demanda-por-rama-y-actividad-2025-09/?wpdmdl=51226</x:v>
      </x:c>
    </x:row>
    <x:row r="35" ht="42" customHeight="1">
      <x:c r="A35" s="61" t="n">
        <x:v>45901</x:v>
      </x:c>
      <x:c r="B35" s="32" t="str">
        <x:v>Industrias sin Aluar</x:v>
      </x:c>
      <x:c r="C35" s="2" t="n">
        <x:v>1719</x:v>
      </x:c>
      <x:c r="D35" s="2" t="n">
        <x:v>1747</x:v>
      </x:c>
      <x:c r="E35" s="11" t="n">
        <x:v>-0.016</x:v>
      </x:c>
      <x:c r="F35" s="2" t="n">
        <x:v>3990</x:v>
      </x:c>
      <x:c r="G35" s="2" t="n">
        <x:v>3985</x:v>
      </x:c>
      <x:c r="H35" s="47" t="n">
        <x:v>0.98</x:v>
      </x:c>
      <x:c r="I35" s="2"/>
      <x:c r="J35" s="2" t="str">
        <x:v>https://cammesaweb.cammesa.com/download/evolucion-de-la-demanda-por-rama-y-actividad-2025-09/?wpdmdl=51226</x:v>
      </x:c>
    </x:row>
    <x:row r="36" ht="42" customHeight="1">
      <x:c r="A36" s="61" t="n">
        <x:v>45901</x:v>
      </x:c>
      <x:c r="B36" s="32" t="str">
        <x:v>Petróleos y minerales</x:v>
      </x:c>
      <x:c r="C36" s="2" t="n">
        <x:v>220</x:v>
      </x:c>
      <x:c r="D36" s="2" t="n">
        <x:v>209</x:v>
      </x:c>
      <x:c r="E36" s="11" t="n">
        <x:v>0.054000000000000006</x:v>
      </x:c>
      <x:c r="F36" s="2" t="n">
        <x:v>3990</x:v>
      </x:c>
      <x:c r="G36" s="2" t="n">
        <x:v>3985</x:v>
      </x:c>
      <x:c r="H36" s="47" t="n">
        <x:v>0.98</x:v>
      </x:c>
      <x:c r="I36" s="2"/>
      <x:c r="J36" s="2" t="str">
        <x:v>https://cammesaweb.cammesa.com/download/evolucion-de-la-demanda-por-rama-y-actividad-2025-09/?wpdmdl=51226</x:v>
      </x:c>
    </x:row>
    <x:row r="37" ht="42" customHeight="1">
      <x:c r="A37" s="61" t="n">
        <x:v>45901</x:v>
      </x:c>
      <x:c r="B37" s="32" t="str">
        <x:v>Aluar</x:v>
      </x:c>
      <x:c r="C37" s="2" t="n">
        <x:v>441</x:v>
      </x:c>
      <x:c r="D37" s="2" t="n">
        <x:v>426</x:v>
      </x:c>
      <x:c r="E37" s="11" t="n">
        <x:v>0.037000000000000005</x:v>
      </x:c>
      <x:c r="F37" s="2" t="n">
        <x:v>3990</x:v>
      </x:c>
      <x:c r="G37" s="2" t="n">
        <x:v>3985</x:v>
      </x:c>
      <x:c r="H37" s="47" t="n">
        <x:v>0.98</x:v>
      </x:c>
      <x:c r="I37" s="2"/>
      <x:c r="J37" s="2" t="str">
        <x:v>https://cammesaweb.cammesa.com/download/evolucion-de-la-demanda-por-rama-y-actividad-2025-09/?wpdmdl=51226</x:v>
      </x:c>
    </x:row>
    <x:row r="38" ht="42" customHeight="1">
      <x:c r="A38" s="61" t="n">
        <x:v>45931</x:v>
      </x:c>
      <x:c r="B38" s="32" t="str">
        <x:v>Alimentación, comercios y servicios</x:v>
      </x:c>
      <x:c r="C38" s="2" t="n">
        <x:v>1571</x:v>
      </x:c>
      <x:c r="D38" s="2" t="n">
        <x:v>1594</x:v>
      </x:c>
      <x:c r="E38" s="11" t="n">
        <x:v>-0.015</x:v>
      </x:c>
      <x:c r="F38" s="2" t="n">
        <x:v>3896</x:v>
      </x:c>
      <x:c r="G38" s="2" t="n">
        <x:v>3886</x:v>
      </x:c>
      <x:c r="H38" s="47" t="n">
        <x:v>0.98</x:v>
      </x:c>
      <x:c r="I38" s="2"/>
      <x:c r="J38" s="2" t="str">
        <x:v>https://cammesaweb.cammesa.com/download/evolucion-de-la-demanda-por-rama-y-actividad-2025-10/?wpdmdl=51345</x:v>
      </x:c>
    </x:row>
    <x:row r="39" ht="42" customHeight="1">
      <x:c r="A39" s="61" t="n">
        <x:v>45931</x:v>
      </x:c>
      <x:c r="B39" s="32" t="str">
        <x:v>Industrias sin Aluar</x:v>
      </x:c>
      <x:c r="C39" s="2" t="n">
        <x:v>1716</x:v>
      </x:c>
      <x:c r="D39" s="2" t="n">
        <x:v>1725</x:v>
      </x:c>
      <x:c r="E39" s="11" t="n">
        <x:v>-0.005</x:v>
      </x:c>
      <x:c r="F39" s="2" t="n">
        <x:v>3896</x:v>
      </x:c>
      <x:c r="G39" s="2" t="n">
        <x:v>3886</x:v>
      </x:c>
      <x:c r="H39" s="47" t="n">
        <x:v>0.98</x:v>
      </x:c>
      <x:c r="I39" s="2"/>
      <x:c r="J39" s="2" t="str">
        <x:v>https://cammesaweb.cammesa.com/download/evolucion-de-la-demanda-por-rama-y-actividad-2025-10/?wpdmdl=51345</x:v>
      </x:c>
    </x:row>
    <x:row r="40" ht="42" customHeight="1">
      <x:c r="A40" s="61" t="n">
        <x:v>45931</x:v>
      </x:c>
      <x:c r="B40" s="32" t="str">
        <x:v>Petróleos y minerales</x:v>
      </x:c>
      <x:c r="C40" s="2" t="n">
        <x:v>220</x:v>
      </x:c>
      <x:c r="D40" s="2" t="n">
        <x:v>215</x:v>
      </x:c>
      <x:c r="E40" s="11" t="n">
        <x:v>0.024</x:v>
      </x:c>
      <x:c r="F40" s="2" t="n">
        <x:v>3896</x:v>
      </x:c>
      <x:c r="G40" s="2" t="n">
        <x:v>3886</x:v>
      </x:c>
      <x:c r="H40" s="47" t="n">
        <x:v>0.98</x:v>
      </x:c>
      <x:c r="I40" s="2"/>
      <x:c r="J40" s="2" t="str">
        <x:v>https://cammesaweb.cammesa.com/download/evolucion-de-la-demanda-por-rama-y-actividad-2025-10/?wpdmdl=51345</x:v>
      </x:c>
    </x:row>
    <x:row r="41" ht="42" customHeight="1">
      <x:c r="A41" s="61" t="n">
        <x:v>45931</x:v>
      </x:c>
      <x:c r="B41" s="32" t="str">
        <x:v>Aluar</x:v>
      </x:c>
      <x:c r="C41" s="2" t="n">
        <x:v>390</x:v>
      </x:c>
      <x:c r="D41" s="2" t="n">
        <x:v>352</x:v>
      </x:c>
      <x:c r="E41" s="11" t="n">
        <x:v>0.106</x:v>
      </x:c>
      <x:c r="F41" s="2" t="n">
        <x:v>3896</x:v>
      </x:c>
      <x:c r="G41" s="2" t="n">
        <x:v>3886</x:v>
      </x:c>
      <x:c r="H41" s="47" t="n">
        <x:v>0.98</x:v>
      </x:c>
      <x:c r="I41" s="2"/>
      <x:c r="J41" s="2" t="str">
        <x:v>https://cammesaweb.cammesa.com/download/evolucion-de-la-demanda-por-rama-y-actividad-2025-10/?wpdmdl=51345</x:v>
      </x:c>
    </x:row>
    <x:row r="42" ht="42" customHeight="1">
      <x:c r="A42" s="61" t="n">
        <x:v>45962</x:v>
      </x:c>
      <x:c r="B42" s="32" t="str">
        <x:v>Alimentación, comercios y servicios</x:v>
      </x:c>
      <x:c r="C42" s="2" t="n">
        <x:v>1652</x:v>
      </x:c>
      <x:c r="D42" s="2" t="n">
        <x:v>1700</x:v>
      </x:c>
      <x:c r="E42" s="11" t="n">
        <x:v>-0.0282</x:v>
      </x:c>
      <x:c r="F42" s="2" t="n">
        <x:v>4027</x:v>
      </x:c>
      <x:c r="G42" s="2" t="n">
        <x:v>4058</x:v>
      </x:c>
      <x:c r="H42" s="47" t="n">
        <x:v>0.98</x:v>
      </x:c>
      <x:c r="I42" s="2"/>
      <x:c r="J42" s="2" t="str">
        <x:v>https://cammesaweb.cammesa.com/download/evolucion-de-la-demanda-por-rama-y-actividad-2025-11/?wpdmdl=51437</x:v>
      </x:c>
    </x:row>
    <x:row r="43" ht="42" customHeight="1">
      <x:c r="A43" s="61" t="n">
        <x:v>45962</x:v>
      </x:c>
      <x:c r="B43" s="32" t="str">
        <x:v>Industrias sin Aluar</x:v>
      </x:c>
      <x:c r="C43" s="2" t="n">
        <x:v>1735</x:v>
      </x:c>
      <x:c r="D43" s="2" t="n">
        <x:v>1785</x:v>
      </x:c>
      <x:c r="E43" s="11" t="n">
        <x:v>-0.027999999999999997</x:v>
      </x:c>
      <x:c r="F43" s="2" t="n">
        <x:v>4027</x:v>
      </x:c>
      <x:c r="G43" s="2" t="n">
        <x:v>4058</x:v>
      </x:c>
      <x:c r="H43" s="47" t="n">
        <x:v>0.98</x:v>
      </x:c>
      <x:c r="I43" s="2"/>
      <x:c r="J43" s="2" t="str">
        <x:v>https://cammesaweb.cammesa.com/download/evolucion-de-la-demanda-por-rama-y-actividad-2025-11/?wpdmdl=51437</x:v>
      </x:c>
    </x:row>
    <x:row r="44" ht="42" customHeight="1">
      <x:c r="A44" s="61" t="n">
        <x:v>45962</x:v>
      </x:c>
      <x:c r="B44" s="32" t="str">
        <x:v>Petróleos y minerales</x:v>
      </x:c>
      <x:c r="C44" s="2" t="n">
        <x:v>233</x:v>
      </x:c>
      <x:c r="D44" s="2" t="n">
        <x:v>214</x:v>
      </x:c>
      <x:c r="E44" s="11" t="n">
        <x:v>0.0898</x:v>
      </x:c>
      <x:c r="F44" s="2" t="n">
        <x:v>4027</x:v>
      </x:c>
      <x:c r="G44" s="2" t="n">
        <x:v>4058</x:v>
      </x:c>
      <x:c r="H44" s="47" t="n">
        <x:v>0.98</x:v>
      </x:c>
      <x:c r="I44" s="2"/>
      <x:c r="J44" s="2" t="str">
        <x:v>https://cammesaweb.cammesa.com/download/evolucion-de-la-demanda-por-rama-y-actividad-2025-11/?wpdmdl=51437</x:v>
      </x:c>
    </x:row>
    <x:row r="45" ht="42" customHeight="1">
      <x:c r="A45" s="61" t="n">
        <x:v>45962</x:v>
      </x:c>
      <x:c r="B45" s="32" t="str">
        <x:v>Aluar</x:v>
      </x:c>
      <x:c r="C45" s="2" t="n">
        <x:v>407</x:v>
      </x:c>
      <x:c r="D45" s="2" t="n">
        <x:v>360</x:v>
      </x:c>
      <x:c r="E45" s="11" t="n">
        <x:v>0.132</x:v>
      </x:c>
      <x:c r="F45" s="2" t="n">
        <x:v>4027</x:v>
      </x:c>
      <x:c r="G45" s="2" t="n">
        <x:v>4058</x:v>
      </x:c>
      <x:c r="H45" s="47" t="n">
        <x:v>0.98</x:v>
      </x:c>
      <x:c r="I45" s="2"/>
      <x:c r="J45" s="2" t="str">
        <x:v>https://cammesaweb.cammesa.com/download/evolucion-de-la-demanda-por-rama-y-actividad-2025-11/?wpdmdl=51437</x:v>
      </x:c>
    </x:row>
    <x:row r="46" ht="42" customHeight="1">
      <x:c r="A46" s="61" t="n">
        <x:v>45992</x:v>
      </x:c>
      <x:c r="B46" s="32" t="str">
        <x:v>Alimentación, comercios y servicios</x:v>
      </x:c>
      <x:c r="C46" s="2" t="n">
        <x:v>1696</x:v>
      </x:c>
      <x:c r="D46" s="2" t="n">
        <x:v>1668</x:v>
      </x:c>
      <x:c r="E46" s="11" t="n">
        <x:v>0.017</x:v>
      </x:c>
      <x:c r="F46" s="2" t="n">
        <x:v>3801</x:v>
      </x:c>
      <x:c r="G46" s="2" t="n">
        <x:v>3749</x:v>
      </x:c>
      <x:c r="H46" s="47" t="n">
        <x:v>0.98</x:v>
      </x:c>
      <x:c r="I46" s="2"/>
      <x:c r="J46" s="2" t="str">
        <x:v>https://cammesaweb.cammesa.com/download/evolucion-de-la-demanda-por-rama-y-actividad-2025-12/?wpdmdl=51544</x:v>
      </x:c>
    </x:row>
    <x:row r="47" ht="42" customHeight="1">
      <x:c r="A47" s="61" t="n">
        <x:v>45992</x:v>
      </x:c>
      <x:c r="B47" s="32" t="str">
        <x:v>Industrias sin Aluar</x:v>
      </x:c>
      <x:c r="C47" s="2" t="n">
        <x:v>1537</x:v>
      </x:c>
      <x:c r="D47" s="2" t="n">
        <x:v>1504</x:v>
      </x:c>
      <x:c r="E47" s="11" t="n">
        <x:v>0.022000000000000002</x:v>
      </x:c>
      <x:c r="F47" s="2" t="n">
        <x:v>3801</x:v>
      </x:c>
      <x:c r="G47" s="2" t="n">
        <x:v>3749</x:v>
      </x:c>
      <x:c r="H47" s="47" t="n">
        <x:v>0.98</x:v>
      </x:c>
      <x:c r="I47" s="2"/>
      <x:c r="J47" s="2" t="str">
        <x:v>https://cammesaweb.cammesa.com/download/evolucion-de-la-demanda-por-rama-y-actividad-2025-12/?wpdmdl=51544</x:v>
      </x:c>
    </x:row>
    <x:row r="48" ht="42" customHeight="1">
      <x:c r="A48" s="61" t="n">
        <x:v>45992</x:v>
      </x:c>
      <x:c r="B48" s="32" t="str">
        <x:v>Petróleos y minerales</x:v>
      </x:c>
      <x:c r="C48" s="2" t="n">
        <x:v>199</x:v>
      </x:c>
      <x:c r="D48" s="2" t="n">
        <x:v>210</x:v>
      </x:c>
      <x:c r="E48" s="11" t="n">
        <x:v>-0.053</x:v>
      </x:c>
      <x:c r="F48" s="2" t="n">
        <x:v>3801</x:v>
      </x:c>
      <x:c r="G48" s="2" t="n">
        <x:v>3749</x:v>
      </x:c>
      <x:c r="H48" s="47" t="n">
        <x:v>0.98</x:v>
      </x:c>
      <x:c r="I48" s="2"/>
      <x:c r="J48" s="2" t="str">
        <x:v>https://cammesaweb.cammesa.com/download/evolucion-de-la-demanda-por-rama-y-actividad-2025-12/?wpdmdl=51544</x:v>
      </x:c>
    </x:row>
    <x:row r="49" ht="42" customHeight="1">
      <x:c r="A49" s="61" t="n">
        <x:v>45992</x:v>
      </x:c>
      <x:c r="B49" s="32" t="str">
        <x:v>Aluar</x:v>
      </x:c>
      <x:c r="C49" s="2" t="n">
        <x:v>370</x:v>
      </x:c>
      <x:c r="D49" s="2" t="n">
        <x:v>367</x:v>
      </x:c>
      <x:c r="E49" s="11" t="n">
        <x:v>0.008</x:v>
      </x:c>
      <x:c r="F49" s="2" t="n">
        <x:v>3801</x:v>
      </x:c>
      <x:c r="G49" s="2" t="n">
        <x:v>3749</x:v>
      </x:c>
      <x:c r="H49" s="47" t="n">
        <x:v>0.98</x:v>
      </x:c>
      <x:c r="I49" s="2"/>
      <x:c r="J49" s="2" t="str">
        <x:v>https://cammesaweb.cammesa.com/download/evolucion-de-la-demanda-por-rama-y-actividad-2025-12/?wpdmdl=51544</x:v>
      </x:c>
    </x:row>
    <x:row r="50" ht="42" customHeight="1">
      <x:c r="A50" s="61" t="n">
        <x:v>46023</x:v>
      </x:c>
      <x:c r="B50" s="32" t="str">
        <x:v>Alimentación, comercios y servicios</x:v>
      </x:c>
      <x:c r="C50" s="2" t="n">
        <x:v>1730</x:v>
      </x:c>
      <x:c r="D50" s="2" t="n">
        <x:v>1770</x:v>
      </x:c>
      <x:c r="E50" s="11" t="n">
        <x:v>-0.023</x:v>
      </x:c>
      <x:c r="F50" s="2" t="n">
        <x:v>3852</x:v>
      </x:c>
      <x:c r="G50" s="2" t="n">
        <x:v>3830</x:v>
      </x:c>
      <x:c r="H50" s="47" t="n">
        <x:v>0.98</x:v>
      </x:c>
      <x:c r="I50" s="2"/>
      <x:c r="J50" s="2" t="str">
        <x:v>https://cammesaweb.cammesa.com/download/evolucion-de-la-demanda-por-rama-y-actividad-2026-01/?wpdmdl=51745</x:v>
      </x:c>
    </x:row>
    <x:row r="51" ht="42" customHeight="1">
      <x:c r="A51" s="61" t="n">
        <x:v>46023</x:v>
      </x:c>
      <x:c r="B51" s="32" t="str">
        <x:v>Industrias sin Aluar</x:v>
      </x:c>
      <x:c r="C51" s="2" t="n">
        <x:v>1537</x:v>
      </x:c>
      <x:c r="D51" s="2" t="n">
        <x:v>1499</x:v>
      </x:c>
      <x:c r="E51" s="11" t="n">
        <x:v>0.026000000000000002</x:v>
      </x:c>
      <x:c r="F51" s="2" t="n">
        <x:v>3852</x:v>
      </x:c>
      <x:c r="G51" s="2" t="n">
        <x:v>3830</x:v>
      </x:c>
      <x:c r="H51" s="47" t="n">
        <x:v>0.98</x:v>
      </x:c>
      <x:c r="I51" s="2"/>
      <x:c r="J51" s="2" t="str">
        <x:v>https://cammesaweb.cammesa.com/download/evolucion-de-la-demanda-por-rama-y-actividad-2026-01/?wpdmdl=51745</x:v>
      </x:c>
    </x:row>
    <x:row r="52" ht="42" customHeight="1">
      <x:c r="A52" s="61" t="n">
        <x:v>46023</x:v>
      </x:c>
      <x:c r="B52" s="32" t="str">
        <x:v>Petróleos y minerales</x:v>
      </x:c>
      <x:c r="C52" s="2" t="n">
        <x:v>199</x:v>
      </x:c>
      <x:c r="D52" s="2" t="n">
        <x:v>204</x:v>
      </x:c>
      <x:c r="E52" s="11" t="n">
        <x:v>-0.024</x:v>
      </x:c>
      <x:c r="F52" s="2" t="n">
        <x:v>3852</x:v>
      </x:c>
      <x:c r="G52" s="2" t="n">
        <x:v>3830</x:v>
      </x:c>
      <x:c r="H52" s="47" t="n">
        <x:v>0.98</x:v>
      </x:c>
      <x:c r="I52" s="2"/>
      <x:c r="J52" s="2" t="str">
        <x:v>https://cammesaweb.cammesa.com/download/evolucion-de-la-demanda-por-rama-y-actividad-2026-01/?wpdmdl=51745</x:v>
      </x:c>
    </x:row>
    <x:row r="53" ht="42" customHeight="1">
      <x:c r="A53" s="61" t="n">
        <x:v>46023</x:v>
      </x:c>
      <x:c r="B53" s="32" t="str">
        <x:v>Aluar</x:v>
      </x:c>
      <x:c r="C53" s="2" t="n">
        <x:v>386</x:v>
      </x:c>
      <x:c r="D53" s="2" t="n">
        <x:v>358</x:v>
      </x:c>
      <x:c r="E53" s="11" t="n">
        <x:v>0.079</x:v>
      </x:c>
      <x:c r="F53" s="2" t="n">
        <x:v>3852</x:v>
      </x:c>
      <x:c r="G53" s="2" t="n">
        <x:v>3830</x:v>
      </x:c>
      <x:c r="H53" s="47" t="n">
        <x:v>0.98</x:v>
      </x:c>
      <x:c r="I53" s="2"/>
      <x:c r="J53" s="2" t="str">
        <x:v>https://cammesaweb.cammesa.com/download/evolucion-de-la-demanda-por-rama-y-actividad-2026-01/?wpdmdl=51745</x:v>
      </x:c>
    </x:row>
    <x:row r="54" ht="42" customHeight="1">
      <x:c r="A54" s="61" t="n">
        <x:v>46054</x:v>
      </x:c>
      <x:c r="B54" s="32" t="str">
        <x:v>Alimentación, comercios y servicios</x:v>
      </x:c>
      <x:c r="C54" s="2" t="n">
        <x:v>1810</x:v>
      </x:c>
      <x:c r="D54" s="2" t="n">
        <x:v>1969</x:v>
      </x:c>
      <x:c r="E54" s="11" t="n">
        <x:v>-0.081</x:v>
      </x:c>
      <x:c r="F54" s="2" t="n">
        <x:v>4056</x:v>
      </x:c>
      <x:c r="G54" s="2" t="n">
        <x:v>4325</x:v>
      </x:c>
      <x:c r="H54" s="47" t="n">
        <x:v>0.98</x:v>
      </x:c>
      <x:c r="I54" s="2"/>
      <x:c r="J54" s="2" t="str">
        <x:v>https://cammesaweb.cammesa.com/download/evolucion-de-la-demanda-por-rama-y-actividad-2026-02/?wpdmdl=51965</x:v>
      </x:c>
    </x:row>
    <x:row r="55" ht="42" customHeight="1">
      <x:c r="A55" s="61" t="n">
        <x:v>46054</x:v>
      </x:c>
      <x:c r="B55" s="32" t="str">
        <x:v>Industrias sin Aluar</x:v>
      </x:c>
      <x:c r="C55" s="2" t="n">
        <x:v>1655</x:v>
      </x:c>
      <x:c r="D55" s="2" t="n">
        <x:v>1779</x:v>
      </x:c>
      <x:c r="E55" s="11" t="n">
        <x:v>-0.069</x:v>
      </x:c>
      <x:c r="F55" s="2" t="n">
        <x:v>4056</x:v>
      </x:c>
      <x:c r="G55" s="2" t="n">
        <x:v>4325</x:v>
      </x:c>
      <x:c r="H55" s="47" t="n">
        <x:v>0.98</x:v>
      </x:c>
      <x:c r="I55" s="2"/>
      <x:c r="J55" s="2" t="str">
        <x:v>https://cammesaweb.cammesa.com/download/evolucion-de-la-demanda-por-rama-y-actividad-2026-02/?wpdmdl=51965</x:v>
      </x:c>
    </x:row>
    <x:row r="56" ht="42" customHeight="1">
      <x:c r="A56" s="61" t="n">
        <x:v>46054</x:v>
      </x:c>
      <x:c r="B56" s="32" t="str">
        <x:v>Petróleos y minerales</x:v>
      </x:c>
      <x:c r="C56" s="2" t="n">
        <x:v>210</x:v>
      </x:c>
      <x:c r="D56" s="2" t="n">
        <x:v>204</x:v>
      </x:c>
      <x:c r="E56" s="11" t="n">
        <x:v>0.03</x:v>
      </x:c>
      <x:c r="F56" s="2" t="n">
        <x:v>4056</x:v>
      </x:c>
      <x:c r="G56" s="2" t="n">
        <x:v>4325</x:v>
      </x:c>
      <x:c r="H56" s="47" t="n">
        <x:v>0.98</x:v>
      </x:c>
      <x:c r="I56" s="2"/>
      <x:c r="J56" s="2" t="str">
        <x:v>https://cammesaweb.cammesa.com/download/evolucion-de-la-demanda-por-rama-y-actividad-2026-02/?wpdmdl=51965</x:v>
      </x:c>
    </x:row>
    <x:row r="57" ht="42" customHeight="1">
      <x:c r="A57" s="61" t="n">
        <x:v>46054</x:v>
      </x:c>
      <x:c r="B57" s="32" t="str">
        <x:v>Aluar</x:v>
      </x:c>
      <x:c r="C57" s="2" t="n">
        <x:v>380</x:v>
      </x:c>
      <x:c r="D57" s="2" t="n">
        <x:v>373</x:v>
      </x:c>
      <x:c r="E57" s="11" t="n">
        <x:v>0.018000000000000002</x:v>
      </x:c>
      <x:c r="F57" s="2" t="n">
        <x:v>4056</x:v>
      </x:c>
      <x:c r="G57" s="2" t="n">
        <x:v>4325</x:v>
      </x:c>
      <x:c r="H57" s="47" t="n">
        <x:v>0.98</x:v>
      </x:c>
      <x:c r="I57" s="2"/>
      <x:c r="J57" s="2" t="str">
        <x:v>https://cammesaweb.cammesa.com/download/evolucion-de-la-demanda-por-rama-y-actividad-2026-02/?wpdmdl=51965</x:v>
      </x:c>
    </x:row>
    <x:row r="58" ht="42" customHeight="1">
      <x:c r="A58" s="61" t="n">
        <x:v>46082</x:v>
      </x:c>
      <x:c r="B58" s="32" t="str">
        <x:v>Alimentación, comercios y servicios</x:v>
      </x:c>
      <x:c r="C58" s="2" t="n">
        <x:v>1680</x:v>
      </x:c>
      <x:c r="D58" s="2" t="n">
        <x:v>1685</x:v>
      </x:c>
      <x:c r="E58" s="11" t="n">
        <x:v>-0.003</x:v>
      </x:c>
      <x:c r="F58" s="2" t="n">
        <x:v>4057</x:v>
      </x:c>
      <x:c r="G58" s="2" t="n">
        <x:v>3881</x:v>
      </x:c>
      <x:c r="H58" s="47" t="n">
        <x:v>0.98</x:v>
      </x:c>
      <x:c r="I58" s="2"/>
      <x:c r="J58" s="2" t="str">
        <x:v>https://cammesaweb.cammesa.com/download/evolucion-de-la-demanda-por-rama-y-actividad-2026-03/?wpdmdl=52189</x:v>
      </x:c>
    </x:row>
    <x:row r="59" ht="42" customHeight="1">
      <x:c r="A59" s="61" t="n">
        <x:v>46082</x:v>
      </x:c>
      <x:c r="B59" s="32" t="str">
        <x:v>Industrias sin Aluar</x:v>
      </x:c>
      <x:c r="C59" s="2" t="n">
        <x:v>1736</x:v>
      </x:c>
      <x:c r="D59" s="2" t="n">
        <x:v>1611</x:v>
      </x:c>
      <x:c r="E59" s="11" t="n">
        <x:v>0.078</x:v>
      </x:c>
      <x:c r="F59" s="2" t="n">
        <x:v>4057</x:v>
      </x:c>
      <x:c r="G59" s="2" t="n">
        <x:v>3881</x:v>
      </x:c>
      <x:c r="H59" s="47" t="n">
        <x:v>0.98</x:v>
      </x:c>
      <x:c r="I59" s="2"/>
      <x:c r="J59" s="2" t="str">
        <x:v>https://cammesaweb.cammesa.com/download/evolucion-de-la-demanda-por-rama-y-actividad-2026-03/?wpdmdl=52189</x:v>
      </x:c>
    </x:row>
    <x:row r="60" ht="42" customHeight="1">
      <x:c r="A60" s="61" t="n">
        <x:v>46082</x:v>
      </x:c>
      <x:c r="B60" s="32" t="str">
        <x:v>Petróleos y minerales</x:v>
      </x:c>
      <x:c r="C60" s="2" t="n">
        <x:v>211</x:v>
      </x:c>
      <x:c r="D60" s="2" t="n">
        <x:v>208</x:v>
      </x:c>
      <x:c r="E60" s="11" t="n">
        <x:v>0.013999999999999999</x:v>
      </x:c>
      <x:c r="F60" s="2" t="n">
        <x:v>4057</x:v>
      </x:c>
      <x:c r="G60" s="2" t="n">
        <x:v>3881</x:v>
      </x:c>
      <x:c r="H60" s="47" t="n">
        <x:v>0.98</x:v>
      </x:c>
      <x:c r="I60" s="2"/>
      <x:c r="J60" s="2" t="str">
        <x:v>https://cammesaweb.cammesa.com/download/evolucion-de-la-demanda-por-rama-y-actividad-2026-03/?wpdmdl=52189</x:v>
      </x:c>
    </x:row>
    <x:row r="61" ht="42" customHeight="1">
      <x:c r="A61" s="61" t="n">
        <x:v>46082</x:v>
      </x:c>
      <x:c r="B61" s="32" t="str">
        <x:v>Aluar</x:v>
      </x:c>
      <x:c r="C61" s="2" t="n">
        <x:v>429</x:v>
      </x:c>
      <x:c r="D61" s="2" t="n">
        <x:v>376</x:v>
      </x:c>
      <x:c r="E61" s="11" t="n">
        <x:v>0.142</x:v>
      </x:c>
      <x:c r="F61" s="2" t="n">
        <x:v>4057</x:v>
      </x:c>
      <x:c r="G61" s="2" t="n">
        <x:v>3881</x:v>
      </x:c>
      <x:c r="H61" s="47" t="n">
        <x:v>0.98</x:v>
      </x:c>
      <x:c r="I61" s="2"/>
      <x:c r="J61" s="2" t="str">
        <x:v>https://cammesaweb.cammesa.com/download/evolucion-de-la-demanda-por-rama-y-actividad-2026-03/?wpdmdl=52189</x:v>
      </x:c>
    </x:row>
    <x:row r="62" ht="42" customHeight="1">
      <x:c r="A62" s="61" t="n">
        <x:v>46113</x:v>
      </x:c>
      <x:c r="B62" s="32" t="str">
        <x:v>Alimentación, comercios y servicios</x:v>
      </x:c>
      <x:c r="C62" s="2" t="n">
        <x:v>1642</x:v>
      </x:c>
      <x:c r="D62" s="2" t="n">
        <x:v>1612</x:v>
      </x:c>
      <x:c r="E62" s="11" t="n">
        <x:v>0.018000000000000002</x:v>
      </x:c>
      <x:c r="F62" s="2" t="n">
        <x:v>4054</x:v>
      </x:c>
      <x:c r="G62" s="2" t="n">
        <x:v>3855</x:v>
      </x:c>
      <x:c r="H62" s="47" t="n">
        <x:v>0.98</x:v>
      </x:c>
      <x:c r="I62" s="2"/>
      <x:c r="J62" s="2" t="str">
        <x:v>https://cammesaweb.cammesa.com/download/evolucion-de-la-demanda-por-rama-y-actividad-2026-04/?wpdmdl=52369</x:v>
      </x:c>
    </x:row>
    <x:row r="63" ht="42" customHeight="1">
      <x:c r="A63" s="61" t="n">
        <x:v>46113</x:v>
      </x:c>
      <x:c r="B63" s="32" t="str">
        <x:v>Industrias sin Aluar</x:v>
      </x:c>
      <x:c r="C63" s="2" t="n">
        <x:v>1758</x:v>
      </x:c>
      <x:c r="D63" s="2" t="n">
        <x:v>1666</x:v>
      </x:c>
      <x:c r="E63" s="11" t="n">
        <x:v>0.055</x:v>
      </x:c>
      <x:c r="F63" s="2" t="n">
        <x:v>4054</x:v>
      </x:c>
      <x:c r="G63" s="2" t="n">
        <x:v>3855</x:v>
      </x:c>
      <x:c r="H63" s="47" t="n">
        <x:v>0.98</x:v>
      </x:c>
      <x:c r="I63" s="2"/>
      <x:c r="J63" s="2" t="str">
        <x:v>https://cammesaweb.cammesa.com/download/evolucion-de-la-demanda-por-rama-y-actividad-2026-04/?wpdmdl=52369</x:v>
      </x:c>
    </x:row>
    <x:row r="64" ht="42" customHeight="1">
      <x:c r="A64" s="61" t="n">
        <x:v>46113</x:v>
      </x:c>
      <x:c r="B64" s="32" t="str">
        <x:v>Petróleos y minerales</x:v>
      </x:c>
      <x:c r="C64" s="2" t="n">
        <x:v>214</x:v>
      </x:c>
      <x:c r="D64" s="2" t="n">
        <x:v>208</x:v>
      </x:c>
      <x:c r="E64" s="11" t="n">
        <x:v>0.027000000000000003</x:v>
      </x:c>
      <x:c r="F64" s="2" t="n">
        <x:v>4054</x:v>
      </x:c>
      <x:c r="G64" s="2" t="n">
        <x:v>3855</x:v>
      </x:c>
      <x:c r="H64" s="47" t="n">
        <x:v>0.98</x:v>
      </x:c>
      <x:c r="I64" s="2"/>
      <x:c r="J64" s="2" t="str">
        <x:v>https://cammesaweb.cammesa.com/download/evolucion-de-la-demanda-por-rama-y-actividad-2026-04/?wpdmdl=52369</x:v>
      </x:c>
    </x:row>
    <x:row r="65" ht="42" customHeight="1">
      <x:c r="A65" s="61" t="n">
        <x:v>46113</x:v>
      </x:c>
      <x:c r="B65" s="32" t="str">
        <x:v>Aluar</x:v>
      </x:c>
      <x:c r="C65" s="2" t="n">
        <x:v>440</x:v>
      </x:c>
      <x:c r="D65" s="2" t="n">
        <x:v>368</x:v>
      </x:c>
      <x:c r="E65" s="11" t="n">
        <x:v>0.196</x:v>
      </x:c>
      <x:c r="F65" s="2" t="n">
        <x:v>4054</x:v>
      </x:c>
      <x:c r="G65" s="2" t="n">
        <x:v>3855</x:v>
      </x:c>
      <x:c r="H65" s="47" t="n">
        <x:v>0.98</x:v>
      </x:c>
      <x:c r="I65" s="2"/>
      <x:c r="J65" s="2" t="str">
        <x:v>https://cammesaweb.cammesa.com/download/evolucion-de-la-demanda-por-rama-y-actividad-2026-04/?wpdmdl=52369</x:v>
      </x:c>
    </x:row>
    <x:row r="66" ht="42" customHeight="1">
      <x:c r="A66" s="61" t="n">
        <x:v>46143</x:v>
      </x:c>
      <x:c r="B66" s="32" t="str">
        <x:v>Alimentación, comercios y servicios</x:v>
      </x:c>
      <x:c r="C66" s="2" t="n">
        <x:v>1531</x:v>
      </x:c>
      <x:c r="D66" s="2" t="n">
        <x:v>1568</x:v>
      </x:c>
      <x:c r="E66" s="11" t="n">
        <x:v>-0.023</x:v>
      </x:c>
      <x:c r="F66" s="2" t="n">
        <x:v>3976</x:v>
      </x:c>
      <x:c r="G66" s="2" t="n">
        <x:v>3827</x:v>
      </x:c>
      <x:c r="H66" s="47" t="n">
        <x:v>0.98</x:v>
      </x:c>
      <x:c r="I66" s="2"/>
      <x:c r="J66" s="2" t="str">
        <x:v>https://cammesaweb.cammesa.com/download/evolucion-de-la-demanda-por-rama-y-actividad-2026-05/?wpdmdl=52574</x:v>
      </x:c>
    </x:row>
    <x:row r="67" ht="42" customHeight="1">
      <x:c r="A67" s="61" t="n">
        <x:v>46143</x:v>
      </x:c>
      <x:c r="B67" s="32" t="str">
        <x:v>Industrias sin Aluar</x:v>
      </x:c>
      <x:c r="C67" s="2" t="n">
        <x:v>1697</x:v>
      </x:c>
      <x:c r="D67" s="2" t="n">
        <x:v>1665</x:v>
      </x:c>
      <x:c r="E67" s="11" t="n">
        <x:v>0.019</x:v>
      </x:c>
      <x:c r="F67" s="2" t="n">
        <x:v>3976</x:v>
      </x:c>
      <x:c r="G67" s="2" t="n">
        <x:v>3827</x:v>
      </x:c>
      <x:c r="H67" s="47" t="n">
        <x:v>0.98</x:v>
      </x:c>
      <x:c r="I67" s="2"/>
      <x:c r="J67" s="2" t="str">
        <x:v>https://cammesaweb.cammesa.com/download/evolucion-de-la-demanda-por-rama-y-actividad-2026-05/?wpdmdl=52574</x:v>
      </x:c>
    </x:row>
    <x:row r="68" ht="42" customHeight="1">
      <x:c r="A68" s="61" t="n">
        <x:v>46143</x:v>
      </x:c>
      <x:c r="B68" s="32" t="str">
        <x:v>Petróleos y minerales</x:v>
      </x:c>
      <x:c r="C68" s="2" t="n">
        <x:v>209</x:v>
      </x:c>
      <x:c r="D68" s="2" t="n">
        <x:v>218</x:v>
      </x:c>
      <x:c r="E68" s="11" t="n">
        <x:v>-0.040999999999999995</x:v>
      </x:c>
      <x:c r="F68" s="2" t="n">
        <x:v>3976</x:v>
      </x:c>
      <x:c r="G68" s="2" t="n">
        <x:v>3827</x:v>
      </x:c>
      <x:c r="H68" s="47" t="n">
        <x:v>0.98</x:v>
      </x:c>
      <x:c r="I68" s="2"/>
      <x:c r="J68" s="2" t="str">
        <x:v>https://cammesaweb.cammesa.com/download/evolucion-de-la-demanda-por-rama-y-actividad-2026-05/?wpdmdl=52574</x:v>
      </x:c>
    </x:row>
    <x:row r="69" ht="42" customHeight="1">
      <x:c r="A69" s="61" t="n">
        <x:v>46143</x:v>
      </x:c>
      <x:c r="B69" s="32" t="str">
        <x:v>Aluar</x:v>
      </x:c>
      <x:c r="C69" s="2" t="n">
        <x:v>539</x:v>
      </x:c>
      <x:c r="D69" s="2" t="n">
        <x:v>377</x:v>
      </x:c>
      <x:c r="E69" s="11" t="n">
        <x:v>0.43200000000000005</x:v>
      </x:c>
      <x:c r="F69" s="2" t="n">
        <x:v>3976</x:v>
      </x:c>
      <x:c r="G69" s="2" t="n">
        <x:v>3827</x:v>
      </x:c>
      <x:c r="H69" s="47" t="n">
        <x:v>0.98</x:v>
      </x:c>
      <x:c r="I69" s="2"/>
      <x:c r="J69" s="2" t="str">
        <x:v>https://cammesaweb.cammesa.com/download/evolucion-de-la-demanda-por-rama-y-actividad-2026-05/?wpdmdl=52574</x:v>
      </x:c>
    </x:row>
    <x:row r="70" ht="42" customHeight="1">
      <x:c r="A70" s="61" t="n">
        <x:v>46174</x:v>
      </x:c>
      <x:c r="B70" s="32" t="str">
        <x:v>Alimentación, comercios y servicios</x:v>
      </x:c>
      <x:c r="C70" s="2" t="n">
        <x:v>1571</x:v>
      </x:c>
      <x:c r="D70" s="2" t="n">
        <x:v>1587</x:v>
      </x:c>
      <x:c r="E70" s="11" t="n">
        <x:v>-0.01</x:v>
      </x:c>
      <x:c r="F70" s="2" t="n">
        <x:v>3998</x:v>
      </x:c>
      <x:c r="G70" s="2" t="n">
        <x:v>3849</x:v>
      </x:c>
      <x:c r="H70" s="47" t="n">
        <x:v>0.98</x:v>
      </x:c>
      <x:c r="I70" s="2"/>
      <x:c r="J70" s="2" t="str">
        <x:v>https://cammesaweb.cammesa.com/download/evolucion-de-la-demanda-por-rama-y-actividad-2026-06/?wpdmdl=52689</x:v>
      </x:c>
    </x:row>
    <x:row r="71" ht="42" customHeight="1">
      <x:c r="A71" s="61" t="n">
        <x:v>46174</x:v>
      </x:c>
      <x:c r="B71" s="32" t="str">
        <x:v>Industrias sin Aluar</x:v>
      </x:c>
      <x:c r="C71" s="2" t="n">
        <x:v>1686</x:v>
      </x:c>
      <x:c r="D71" s="2" t="n">
        <x:v>1650</x:v>
      </x:c>
      <x:c r="E71" s="11" t="n">
        <x:v>0.022000000000000002</x:v>
      </x:c>
      <x:c r="F71" s="2" t="n">
        <x:v>3998</x:v>
      </x:c>
      <x:c r="G71" s="2" t="n">
        <x:v>3849</x:v>
      </x:c>
      <x:c r="H71" s="47" t="n">
        <x:v>0.98</x:v>
      </x:c>
      <x:c r="I71" s="2"/>
      <x:c r="J71" s="2" t="str">
        <x:v>https://cammesaweb.cammesa.com/download/evolucion-de-la-demanda-por-rama-y-actividad-2026-06/?wpdmdl=52689</x:v>
      </x:c>
    </x:row>
    <x:row r="72" ht="42" customHeight="1">
      <x:c r="A72" s="61" t="n">
        <x:v>46174</x:v>
      </x:c>
      <x:c r="B72" s="32" t="str">
        <x:v>Petróleos y minerales</x:v>
      </x:c>
      <x:c r="C72" s="2" t="n">
        <x:v>215</x:v>
      </x:c>
      <x:c r="D72" s="2" t="n">
        <x:v>212</x:v>
      </x:c>
      <x:c r="E72" s="11" t="n">
        <x:v>0.013999999999999999</x:v>
      </x:c>
      <x:c r="F72" s="2" t="n">
        <x:v>3998</x:v>
      </x:c>
      <x:c r="G72" s="2" t="n">
        <x:v>3849</x:v>
      </x:c>
      <x:c r="H72" s="47" t="n">
        <x:v>0.98</x:v>
      </x:c>
      <x:c r="I72" s="2"/>
      <x:c r="J72" s="2" t="str">
        <x:v>https://cammesaweb.cammesa.com/download/evolucion-de-la-demanda-por-rama-y-actividad-2026-06/?wpdmdl=52689</x:v>
      </x:c>
    </x:row>
    <x:row r="73" ht="42" customHeight="1">
      <x:c r="A73" s="61" t="n">
        <x:v>46174</x:v>
      </x:c>
      <x:c r="B73" s="32" t="str">
        <x:v>Aluar</x:v>
      </x:c>
      <x:c r="C73" s="2" t="n">
        <x:v>525</x:v>
      </x:c>
      <x:c r="D73" s="2" t="n">
        <x:v>400</x:v>
      </x:c>
      <x:c r="E73" s="11" t="n">
        <x:v>0.311</x:v>
      </x:c>
      <x:c r="F73" s="2" t="n">
        <x:v>3998</x:v>
      </x:c>
      <x:c r="G73" s="2" t="n">
        <x:v>3849</x:v>
      </x:c>
      <x:c r="H73" s="47" t="n">
        <x:v>0.98</x:v>
      </x:c>
      <x:c r="I73" s="2"/>
      <x:c r="J73" s="2" t="str">
        <x:v>https://cammesaweb.cammesa.com/download/evolucion-de-la-demanda-por-rama-y-actividad-2026-06/?wpdmdl=52689</x:v>
      </x:c>
    </x:row>
    <x:row r="74" ht="42" customHeight="1">
      <x:c r="A74" s="61" t="n">
        <x:v>46204</x:v>
      </x:c>
      <x:c r="B74" s="32" t="str">
        <x:v>Alimentación, comercios y servicios</x:v>
      </x:c>
      <x:c r="C74" s="2" t="n">
        <x:v>1541</x:v>
      </x:c>
      <x:c r="D74" s="2" t="n">
        <x:v>1564</x:v>
      </x:c>
      <x:c r="E74" s="11" t="n">
        <x:v>-0.015</x:v>
      </x:c>
      <x:c r="F74" s="2" t="n">
        <x:v>3924</x:v>
      </x:c>
      <x:c r="G74" s="2" t="n">
        <x:v>3891</x:v>
      </x:c>
      <x:c r="H74" s="47" t="n">
        <x:v>0.98</x:v>
      </x:c>
      <x:c r="I74" s="2"/>
      <x:c r="J74" s="2" t="str">
        <x:v>https://cammesaweb.cammesa.com/download/evolucion-de-la-demanda-por-rama-y-actividad-2026-07/?wpdmdl=52837</x:v>
      </x:c>
    </x:row>
    <x:row r="75" ht="42" customHeight="1">
      <x:c r="A75" s="61" t="n">
        <x:v>46204</x:v>
      </x:c>
      <x:c r="B75" s="32" t="str">
        <x:v>Industrias sin Aluar</x:v>
      </x:c>
      <x:c r="C75" s="2" t="n">
        <x:v>1629</x:v>
      </x:c>
      <x:c r="D75" s="2" t="n">
        <x:v>1655</x:v>
      </x:c>
      <x:c r="E75" s="11" t="n">
        <x:v>-0.015</x:v>
      </x:c>
      <x:c r="F75" s="2" t="n">
        <x:v>3924</x:v>
      </x:c>
      <x:c r="G75" s="2" t="n">
        <x:v>3891</x:v>
      </x:c>
      <x:c r="H75" s="47" t="n">
        <x:v>0.98</x:v>
      </x:c>
      <x:c r="I75" s="2"/>
      <x:c r="J75" s="2" t="str">
        <x:v>https://cammesaweb.cammesa.com/download/evolucion-de-la-demanda-por-rama-y-actividad-2026-07/?wpdmdl=52837</x:v>
      </x:c>
    </x:row>
    <x:row r="76" ht="42" customHeight="1">
      <x:c r="A76" s="61" t="n">
        <x:v>46204</x:v>
      </x:c>
      <x:c r="B76" s="32" t="str">
        <x:v>Petróleos y minerales</x:v>
      </x:c>
      <x:c r="C76" s="2" t="n">
        <x:v>208</x:v>
      </x:c>
      <x:c r="D76" s="2" t="n">
        <x:v>210</x:v>
      </x:c>
      <x:c r="E76" s="11" t="n">
        <x:v>-0.01</x:v>
      </x:c>
      <x:c r="F76" s="2" t="n">
        <x:v>3924</x:v>
      </x:c>
      <x:c r="G76" s="2" t="n">
        <x:v>3891</x:v>
      </x:c>
      <x:c r="H76" s="47" t="n">
        <x:v>0.98</x:v>
      </x:c>
      <x:c r="I76" s="2"/>
      <x:c r="J76" s="2" t="str">
        <x:v>https://cammesaweb.cammesa.com/download/evolucion-de-la-demanda-por-rama-y-actividad-2026-07/?wpdmdl=52837</x:v>
      </x:c>
    </x:row>
    <x:row r="77" ht="42" customHeight="1">
      <x:c r="A77" s="61" t="n">
        <x:v>46204</x:v>
      </x:c>
      <x:c r="B77" s="32" t="str">
        <x:v>Aluar</x:v>
      </x:c>
      <x:c r="C77" s="2" t="n">
        <x:v>546</x:v>
      </x:c>
      <x:c r="D77" s="2" t="n">
        <x:v>462</x:v>
      </x:c>
      <x:c r="E77" s="11" t="n">
        <x:v>0.18100000000000002</x:v>
      </x:c>
      <x:c r="F77" s="2" t="n">
        <x:v>3924</x:v>
      </x:c>
      <x:c r="G77" s="2" t="n">
        <x:v>3891</x:v>
      </x:c>
      <x:c r="H77" s="47" t="n">
        <x:v>0.98</x:v>
      </x:c>
      <x:c r="I77" s="2"/>
      <x:c r="J77" s="2" t="str">
        <x:v>https://cammesaweb.cammesa.com/download/evolucion-de-la-demanda-por-rama-y-actividad-2026-07/?wpdmdl=52837</x:v>
      </x:c>
    </x:row>
    <x:row r="78" ht="42" customHeight="1">
      <x:c r="A78" s="61" t="n">
        <x:v>46235</x:v>
      </x:c>
      <x:c r="B78" s="32" t="str">
        <x:v>Alimentación, comercios y servicios</x:v>
      </x:c>
      <x:c r="C78" s="2" t="n">
        <x:v>1554</x:v>
      </x:c>
      <x:c r="D78" s="2" t="n">
        <x:v>1576</x:v>
      </x:c>
      <x:c r="E78" s="11" t="n">
        <x:v>-0.013999999999999999</x:v>
      </x:c>
      <x:c r="F78" s="2" t="n">
        <x:v>3947</x:v>
      </x:c>
      <x:c r="G78" s="2" t="n">
        <x:v>3816</x:v>
      </x:c>
      <x:c r="H78" s="47" t="n">
        <x:v>0.9</x:v>
      </x:c>
      <x:c r="I78" s="2"/>
      <x:c r="J78" s="2" t="str">
        <x:v>https://cammesaweb.cammesa.com/download/evolucion-de-la-demanda-por-rama-y-actividad-2026-08/?wpdmdl=53075</x:v>
      </x:c>
    </x:row>
    <x:row r="79" ht="42" customHeight="1">
      <x:c r="A79" s="61" t="n">
        <x:v>46235</x:v>
      </x:c>
      <x:c r="B79" s="32" t="str">
        <x:v>Industrias sin Aluar</x:v>
      </x:c>
      <x:c r="C79" s="2" t="n">
        <x:v>1644</x:v>
      </x:c>
      <x:c r="D79" s="2" t="n">
        <x:v>1655</x:v>
      </x:c>
      <x:c r="E79" s="11" t="n">
        <x:v>-0.006999999999999999</x:v>
      </x:c>
      <x:c r="F79" s="2" t="n">
        <x:v>3947</x:v>
      </x:c>
      <x:c r="G79" s="2" t="n">
        <x:v>3816</x:v>
      </x:c>
      <x:c r="H79" s="47" t="n">
        <x:v>0.9</x:v>
      </x:c>
      <x:c r="I79" s="2"/>
      <x:c r="J79" s="2" t="str">
        <x:v>https://cammesaweb.cammesa.com/download/evolucion-de-la-demanda-por-rama-y-actividad-2026-08/?wpdmdl=53075</x:v>
      </x:c>
    </x:row>
    <x:row r="80" ht="42" customHeight="1">
      <x:c r="A80" s="61" t="n">
        <x:v>46235</x:v>
      </x:c>
      <x:c r="B80" s="32" t="str">
        <x:v>Petróleos y minerales</x:v>
      </x:c>
      <x:c r="C80" s="2" t="n">
        <x:v>202</x:v>
      </x:c>
      <x:c r="D80" s="2" t="n">
        <x:v>209</x:v>
      </x:c>
      <x:c r="E80" s="11" t="n">
        <x:v>-0.032</x:v>
      </x:c>
      <x:c r="F80" s="2" t="n">
        <x:v>3947</x:v>
      </x:c>
      <x:c r="G80" s="2" t="n">
        <x:v>3816</x:v>
      </x:c>
      <x:c r="H80" s="47" t="n">
        <x:v>0.9</x:v>
      </x:c>
      <x:c r="I80" s="2"/>
      <x:c r="J80" s="2" t="str">
        <x:v>https://cammesaweb.cammesa.com/download/evolucion-de-la-demanda-por-rama-y-actividad-2026-08/?wpdmdl=53075</x:v>
      </x:c>
    </x:row>
    <x:row r="81" ht="42" customHeight="1">
      <x:c r="A81" s="61" t="n">
        <x:v>46235</x:v>
      </x:c>
      <x:c r="B81" s="32" t="str">
        <x:v>Aluar</x:v>
      </x:c>
      <x:c r="C81" s="2" t="n">
        <x:v>547</x:v>
      </x:c>
      <x:c r="D81" s="2" t="n">
        <x:v>376</x:v>
      </x:c>
      <x:c r="E81" s="11" t="n">
        <x:v>0.456</x:v>
      </x:c>
      <x:c r="F81" s="2" t="n">
        <x:v>3947</x:v>
      </x:c>
      <x:c r="G81" s="2" t="n">
        <x:v>3816</x:v>
      </x:c>
      <x:c r="H81" s="47" t="n">
        <x:v>0.9</x:v>
      </x:c>
      <x:c r="I81" s="2"/>
      <x:c r="J81" s="2" t="str">
        <x:v>https://cammesaweb.cammesa.com/download/evolucion-de-la-demanda-por-rama-y-actividad-2026-08/?wpdmdl=53075</x:v>
      </x:c>
    </x:row>
    <x:row r="82" ht="24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</x:row>
    <x:row r="83" ht="24" customHeight="1">
      <x:c r="A83" s="2"/>
      <x:c r="B83" s="2"/>
      <x:c r="C83" s="2"/>
      <x:c r="D83" s="2"/>
      <x:c r="E83" s="2"/>
      <x:c r="F83" s="2"/>
      <x:c r="G83" s="2"/>
      <x:c r="H83" s="2"/>
      <x:c r="I83" s="2"/>
      <x:c r="J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</x:row>
    <x:row r="85" ht="24" customHeight="1">
      <x:c r="A85" s="2"/>
      <x:c r="B85" s="2"/>
      <x:c r="C85" s="2"/>
      <x:c r="D85" s="2"/>
      <x:c r="E85" s="2"/>
      <x:c r="F85" s="2"/>
      <x:c r="G85" s="2"/>
      <x:c r="H85" s="2"/>
      <x:c r="I85" s="2"/>
      <x:c r="J85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175E4B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43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6" hidden="0" customWidth="1"/>
    <x:col min="8" max="8" width="22" hidden="0" customWidth="1"/>
    <x:col min="9" max="9" width="23" hidden="0" customWidth="1"/>
    <x:col min="10" max="10" width="30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3" t="str">
        <x:v>Aluar: consumo y abastecimiento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 t="str">
        <x:v>Puerto Madryn, División Primario. Comparación anual julio-junio, separada del mes de agosto.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 ht="24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42" customHeight="1">
      <x:c r="A6" s="60" t="str">
        <x:v>Indicador</x:v>
      </x:c>
      <x:c r="B6" s="60" t="str">
        <x:v>Unidad</x:v>
      </x:c>
      <x:c r="C6" s="60" t="str">
        <x:v>2024-2025</x:v>
      </x:c>
      <x:c r="D6" s="60" t="str">
        <x:v>2025-2026</x:v>
      </x:c>
      <x:c r="E6" s="60" t="str">
        <x:v>Cambio</x:v>
      </x:c>
      <x:c r="F6" s="60" t="str">
        <x:v>Variación</x:v>
      </x:c>
      <x:c r="G6" s="2"/>
      <x:c r="H6" s="2"/>
      <x:c r="I6" s="2"/>
      <x:c r="J6" s="2"/>
    </x:row>
    <x:row r="7" ht="24" customHeight="1">
      <x:c r="A7" s="2" t="str">
        <x:v>Producción aluminio líquido</x:v>
      </x:c>
      <x:c r="B7" s="2" t="str">
        <x:v>t</x:v>
      </x:c>
      <x:c r="C7" s="45" t="n">
        <x:v>445327</x:v>
      </x:c>
      <x:c r="D7" s="45" t="n">
        <x:v>450677</x:v>
      </x:c>
      <x:c r="E7" s="45" t="n">
        <x:f>D7-C7</x:f>
        <x:v>5350</x:v>
      </x:c>
      <x:c r="F7" s="11" t="n">
        <x:f>IF(C7=0,"n.a.",E7/C7)</x:f>
        <x:v>0.012013643906612444</x:v>
      </x:c>
      <x:c r="G7" s="2"/>
      <x:c r="H7" s="2"/>
      <x:c r="I7" s="2"/>
      <x:c r="J7" s="2"/>
    </x:row>
    <x:row r="8" ht="24" customHeight="1">
      <x:c r="A8" s="2" t="str">
        <x:v>Consumo eléctrico total</x:v>
      </x:c>
      <x:c r="B8" s="2" t="str">
        <x:v>MWh</x:v>
      </x:c>
      <x:c r="C8" s="45" t="n">
        <x:v>6706909</x:v>
      </x:c>
      <x:c r="D8" s="45" t="n">
        <x:v>6819827</x:v>
      </x:c>
      <x:c r="E8" s="45" t="n">
        <x:f>D8-C8</x:f>
        <x:v>112918</x:v>
      </x:c>
      <x:c r="F8" s="11" t="n">
        <x:f>IF(C8=0,"n.a.",E8/C8)</x:f>
        <x:v>0.016836071579322157</x:v>
      </x:c>
      <x:c r="G8" s="2"/>
      <x:c r="H8" s="2"/>
      <x:c r="I8" s="2"/>
      <x:c r="J8" s="2"/>
    </x:row>
    <x:row r="9" ht="24" customHeight="1">
      <x:c r="A9" s="2" t="str">
        <x:v>Sistema nacional / Futaleufú</x:v>
      </x:c>
      <x:c r="B9" s="2" t="str">
        <x:v>MWh</x:v>
      </x:c>
      <x:c r="C9" s="45" t="n">
        <x:v>2716304</x:v>
      </x:c>
      <x:c r="D9" s="45" t="n">
        <x:v>2946785</x:v>
      </x:c>
      <x:c r="E9" s="45" t="n">
        <x:f>D9-C9</x:f>
        <x:v>230481</x:v>
      </x:c>
      <x:c r="F9" s="11" t="n">
        <x:f>IF(C9=0,"n.a.",E9/C9)</x:f>
        <x:v>0.08485095924462063</x:v>
      </x:c>
      <x:c r="G9" s="2"/>
      <x:c r="H9" s="2"/>
      <x:c r="I9" s="2"/>
      <x:c r="J9" s="2"/>
    </x:row>
    <x:row r="10" ht="24" customHeight="1">
      <x:c r="A10" s="2" t="str">
        <x:v>Abastecimiento térmico propio</x:v>
      </x:c>
      <x:c r="B10" s="2" t="str">
        <x:v>MWh</x:v>
      </x:c>
      <x:c r="C10" s="45" t="n">
        <x:v>3198634</x:v>
      </x:c>
      <x:c r="D10" s="45" t="n">
        <x:v>3048718</x:v>
      </x:c>
      <x:c r="E10" s="45" t="n">
        <x:f>D10-C10</x:f>
        <x:v>-149916</x:v>
      </x:c>
      <x:c r="F10" s="11" t="n">
        <x:f>IF(C10=0,"n.a.",E10/C10)</x:f>
        <x:v>-0.04686875710068736</x:v>
      </x:c>
      <x:c r="G10" s="2"/>
      <x:c r="H10" s="2"/>
      <x:c r="I10" s="2"/>
      <x:c r="J10" s="2"/>
    </x:row>
    <x:row r="11" ht="24" customHeight="1">
      <x:c r="A11" s="2" t="str">
        <x:v>Abastecimiento eólico propio</x:v>
      </x:c>
      <x:c r="B11" s="2" t="str">
        <x:v>MWh</x:v>
      </x:c>
      <x:c r="C11" s="45" t="n">
        <x:v>791586</x:v>
      </x:c>
      <x:c r="D11" s="45" t="n">
        <x:v>824324</x:v>
      </x:c>
      <x:c r="E11" s="45" t="n">
        <x:f>D11-C11</x:f>
        <x:v>32738</x:v>
      </x:c>
      <x:c r="F11" s="11" t="n">
        <x:f>IF(C11=0,"n.a.",E11/C11)</x:f>
        <x:v>0.04135747726715733</x:v>
      </x:c>
      <x:c r="G11" s="2"/>
      <x:c r="H11" s="2"/>
      <x:c r="I11" s="2"/>
      <x:c r="J11" s="2"/>
    </x:row>
    <x:row r="12" ht="24" customHeight="1">
      <x:c r="A12" s="2" t="str">
        <x:v>Residuo documental</x:v>
      </x:c>
      <x:c r="B12" s="2" t="str">
        <x:v>MWh</x:v>
      </x:c>
      <x:c r="C12" s="45" t="n">
        <x:v>385</x:v>
      </x:c>
      <x:c r="D12" s="45" t="n">
        <x:v>0</x:v>
      </x:c>
      <x:c r="E12" s="45" t="n">
        <x:f>D12-C12</x:f>
        <x:v>-385</x:v>
      </x:c>
      <x:c r="F12" s="11" t="n">
        <x:f>IF(C12=0,"n.a.",E12/C12)</x:f>
        <x:v>-1</x:v>
      </x:c>
      <x:c r="G12" s="2"/>
      <x:c r="H12" s="2"/>
      <x:c r="I12" s="2"/>
      <x:c r="J12" s="2"/>
    </x:row>
    <x:row r="13" ht="24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</x:row>
    <x:row r="14" ht="24" customHeight="1">
      <x:c r="A14" s="2" t="str">
        <x:v>Balance anual del cambio (MWh)</x:v>
      </x:c>
      <x:c r="B14" s="2"/>
      <x:c r="C14" s="45" t="n">
        <x:f>SUM(E9:E12)</x:f>
        <x:v>112918</x:v>
      </x:c>
      <x:c r="D14" s="2"/>
      <x:c r="E14" s="2"/>
      <x:c r="F14" s="2"/>
      <x:c r="G14" s="2"/>
      <x:c r="H14" s="2"/>
      <x:c r="I14" s="2"/>
      <x:c r="J14" s="2"/>
    </x:row>
    <x:row r="15" ht="24" customHeight="1">
      <x:c r="A15" s="2" t="str">
        <x:v>El residuo de 385 MWh de 2025 se conserva: no es una tecnología de generación.</x:v>
      </x:c>
      <x:c r="B15" s="2"/>
      <x:c r="C15" s="2"/>
      <x:c r="D15" s="2"/>
      <x:c r="E15" s="2"/>
      <x:c r="F15" s="2"/>
      <x:c r="G15" s="2"/>
      <x:c r="H15" s="2"/>
      <x:c r="I15" s="2"/>
      <x:c r="J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</x:row>
    <x:row r="17" ht="24" customHeight="1">
      <x:c r="A17" s="2" t="str">
        <x:v>Datos mensuales: energía neta tomada de la red, calculada desde MW medios diarios.</x:v>
      </x:c>
      <x:c r="B17" s="2"/>
      <x:c r="C17" s="2"/>
      <x:c r="D17" s="2"/>
      <x:c r="E17" s="2"/>
      <x:c r="F17" s="2"/>
      <x:c r="G17" s="2"/>
      <x:c r="H17" s="2"/>
      <x:c r="I17" s="2"/>
      <x:c r="J17" s="2"/>
    </x:row>
    <x:row r="18" ht="24" customHeight="1">
      <x:c r="A18" s="2" t="str">
        <x:v>Las cinco columnas faltantes quedan vacías. No se distribuye producción trimestral entre meses.</x:v>
      </x:c>
      <x:c r="B18" s="2"/>
      <x:c r="C18" s="2"/>
      <x:c r="D18" s="2"/>
      <x:c r="E18" s="2"/>
      <x:c r="F18" s="2"/>
      <x:c r="G18" s="2"/>
      <x:c r="H18" s="2"/>
      <x:c r="I18" s="2"/>
      <x:c r="J18" s="2"/>
    </x:row>
    <x:row r="19" ht="24" customHeight="1">
      <x:c r="A19" s="2" t="str">
        <x:v>Sin balance bruto ni autogeneración utilizada, no se identifica la causa mensual ni el aporte de IA.</x:v>
      </x:c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24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42" customHeight="1">
      <x:c r="A21" s="60" t="str">
        <x:v>Mes</x:v>
      </x:c>
      <x:c r="B21" s="60" t="str">
        <x:v>Días</x:v>
      </x:c>
      <x:c r="C21" s="60" t="str">
        <x:v>Red MW medios</x:v>
      </x:c>
      <x:c r="D21" s="60" t="str">
        <x:v>Red neta GWh</x:v>
      </x:c>
      <x:c r="E21" s="60" t="str">
        <x:v>Producción t</x:v>
      </x:c>
      <x:c r="F21" s="60" t="str">
        <x:v>Consumo bruto MWh</x:v>
      </x:c>
      <x:c r="G21" s="60" t="str">
        <x:v>Térmica utilizada MWh</x:v>
      </x:c>
      <x:c r="H21" s="60" t="str">
        <x:v>Eólica utilizada MWh</x:v>
      </x:c>
      <x:c r="I21" s="60" t="str">
        <x:v>Ventas y pérdidas MWh</x:v>
      </x:c>
      <x:c r="J21" s="60" t="str">
        <x:v>Estado del período</x:v>
      </x:c>
    </x:row>
    <x:row r="22" ht="24" customHeight="1">
      <x:c r="A22" s="4" t="n">
        <x:v>44562</x:v>
      </x:c>
      <x:c r="B22" s="2" t="n">
        <x:v>31</x:v>
      </x:c>
      <x:c r="C22" s="48" t="n">
        <x:v>175.07797715053763</x:v>
      </x:c>
      <x:c r="D22" s="48" t="n">
        <x:f>C22*B22*$B$82/$B$83</x:f>
        <x:v>130.258015</x:v>
      </x:c>
      <x:c r="E22" s="2"/>
      <x:c r="F22" s="2"/>
      <x:c r="G22" s="2"/>
      <x:c r="H22" s="2"/>
      <x:c r="I22" s="2"/>
      <x:c r="J22" s="2" t="str">
        <x:v>Completo</x:v>
      </x:c>
    </x:row>
    <x:row r="23" ht="24" customHeight="1">
      <x:c r="A23" s="4" t="n">
        <x:v>44593</x:v>
      </x:c>
      <x:c r="B23" s="2" t="n">
        <x:v>28</x:v>
      </x:c>
      <x:c r="C23" s="48" t="n">
        <x:v>229.79165327380952</x:v>
      </x:c>
      <x:c r="D23" s="48" t="n">
        <x:f>C23*B23*$B$82/$B$83</x:f>
        <x:v>154.41999099999998</x:v>
      </x:c>
      <x:c r="E23" s="2"/>
      <x:c r="F23" s="2"/>
      <x:c r="G23" s="2"/>
      <x:c r="H23" s="2"/>
      <x:c r="I23" s="2"/>
      <x:c r="J23" s="2" t="str">
        <x:v>Completo</x:v>
      </x:c>
    </x:row>
    <x:row r="24" ht="24" customHeight="1">
      <x:c r="A24" s="4" t="n">
        <x:v>44621</x:v>
      </x:c>
      <x:c r="B24" s="2" t="n">
        <x:v>31</x:v>
      </x:c>
      <x:c r="C24" s="48" t="n">
        <x:v>296.8301559139785</x:v>
      </x:c>
      <x:c r="D24" s="48" t="n">
        <x:f>C24*B24*$B$82/$B$83</x:f>
        <x:v>220.841636</x:v>
      </x:c>
      <x:c r="E24" s="2"/>
      <x:c r="F24" s="2"/>
      <x:c r="G24" s="2"/>
      <x:c r="H24" s="2"/>
      <x:c r="I24" s="2"/>
      <x:c r="J24" s="2" t="str">
        <x:v>Completo</x:v>
      </x:c>
    </x:row>
    <x:row r="25" ht="24" customHeight="1">
      <x:c r="A25" s="4" t="n">
        <x:v>44652</x:v>
      </x:c>
      <x:c r="B25" s="2" t="n">
        <x:v>30</x:v>
      </x:c>
      <x:c r="C25" s="48" t="n">
        <x:v>375.24285</x:v>
      </x:c>
      <x:c r="D25" s="48" t="n">
        <x:f>C25*B25*$B$82/$B$83</x:f>
        <x:v>270.174852</x:v>
      </x:c>
      <x:c r="E25" s="2"/>
      <x:c r="F25" s="2"/>
      <x:c r="G25" s="2"/>
      <x:c r="H25" s="2"/>
      <x:c r="I25" s="2"/>
      <x:c r="J25" s="2" t="str">
        <x:v>Completo</x:v>
      </x:c>
    </x:row>
    <x:row r="26" ht="24" customHeight="1">
      <x:c r="A26" s="4" t="n">
        <x:v>44682</x:v>
      </x:c>
      <x:c r="B26" s="2" t="n">
        <x:v>31</x:v>
      </x:c>
      <x:c r="C26" s="48" t="n">
        <x:v>332.32777822580647</x:v>
      </x:c>
      <x:c r="D26" s="48" t="n">
        <x:f>C26*B26*$B$82/$B$83</x:f>
        <x:v>247.25186700000003</x:v>
      </x:c>
      <x:c r="E26" s="2"/>
      <x:c r="F26" s="2"/>
      <x:c r="G26" s="2"/>
      <x:c r="H26" s="2"/>
      <x:c r="I26" s="2"/>
      <x:c r="J26" s="2" t="str">
        <x:v>Completo</x:v>
      </x:c>
    </x:row>
    <x:row r="27" ht="24" customHeight="1">
      <x:c r="A27" s="4" t="n">
        <x:v>44713</x:v>
      </x:c>
      <x:c r="B27" s="2" t="n">
        <x:v>30</x:v>
      </x:c>
      <x:c r="C27" s="48" t="n">
        <x:v>303.6497097222222</x:v>
      </x:c>
      <x:c r="D27" s="48" t="n">
        <x:f>C27*B27*$B$82/$B$83</x:f>
        <x:v>218.62779100000003</x:v>
      </x:c>
      <x:c r="E27" s="2"/>
      <x:c r="F27" s="2"/>
      <x:c r="G27" s="2"/>
      <x:c r="H27" s="2"/>
      <x:c r="I27" s="2"/>
      <x:c r="J27" s="2" t="str">
        <x:v>Completo</x:v>
      </x:c>
    </x:row>
    <x:row r="28" ht="24" customHeight="1">
      <x:c r="A28" s="4" t="n">
        <x:v>44743</x:v>
      </x:c>
      <x:c r="B28" s="2" t="n">
        <x:v>31</x:v>
      </x:c>
      <x:c r="C28" s="48" t="n">
        <x:v>267.1094233870968</x:v>
      </x:c>
      <x:c r="D28" s="48" t="n">
        <x:f>C28*B28*$B$82/$B$83</x:f>
        <x:v>198.72941100000003</x:v>
      </x:c>
      <x:c r="E28" s="2"/>
      <x:c r="F28" s="2"/>
      <x:c r="G28" s="2"/>
      <x:c r="H28" s="2"/>
      <x:c r="I28" s="2"/>
      <x:c r="J28" s="2" t="str">
        <x:v>Completo</x:v>
      </x:c>
    </x:row>
    <x:row r="29" ht="24" customHeight="1">
      <x:c r="A29" s="4" t="n">
        <x:v>44774</x:v>
      </x:c>
      <x:c r="B29" s="2" t="n">
        <x:v>31</x:v>
      </x:c>
      <x:c r="C29" s="48" t="n">
        <x:v>267.01675403225806</x:v>
      </x:c>
      <x:c r="D29" s="48" t="n">
        <x:f>C29*B29*$B$82/$B$83</x:f>
        <x:v>198.660465</x:v>
      </x:c>
      <x:c r="E29" s="2"/>
      <x:c r="F29" s="2"/>
      <x:c r="G29" s="2"/>
      <x:c r="H29" s="2"/>
      <x:c r="I29" s="2"/>
      <x:c r="J29" s="2" t="str">
        <x:v>Completo</x:v>
      </x:c>
    </x:row>
    <x:row r="30" ht="24" customHeight="1">
      <x:c r="A30" s="4" t="n">
        <x:v>44805</x:v>
      </x:c>
      <x:c r="B30" s="2" t="n">
        <x:v>30</x:v>
      </x:c>
      <x:c r="C30" s="48" t="n">
        <x:v>326.3877694444445</x:v>
      </x:c>
      <x:c r="D30" s="48" t="n">
        <x:f>C30*B30*$B$82/$B$83</x:f>
        <x:v>234.99919400000002</x:v>
      </x:c>
      <x:c r="E30" s="2"/>
      <x:c r="F30" s="2"/>
      <x:c r="G30" s="2"/>
      <x:c r="H30" s="2"/>
      <x:c r="I30" s="2"/>
      <x:c r="J30" s="2" t="str">
        <x:v>Completo</x:v>
      </x:c>
    </x:row>
    <x:row r="31" ht="24" customHeight="1">
      <x:c r="A31" s="4" t="n">
        <x:v>44835</x:v>
      </x:c>
      <x:c r="B31" s="2" t="n">
        <x:v>31</x:v>
      </x:c>
      <x:c r="C31" s="48" t="n">
        <x:v>283.89480241935485</x:v>
      </x:c>
      <x:c r="D31" s="48" t="n">
        <x:f>C31*B31*$B$82/$B$83</x:f>
        <x:v>211.217733</x:v>
      </x:c>
      <x:c r="E31" s="2"/>
      <x:c r="F31" s="2"/>
      <x:c r="G31" s="2"/>
      <x:c r="H31" s="2"/>
      <x:c r="I31" s="2"/>
      <x:c r="J31" s="2" t="str">
        <x:v>Completo</x:v>
      </x:c>
    </x:row>
    <x:row r="32" ht="24" customHeight="1">
      <x:c r="A32" s="4" t="n">
        <x:v>44866</x:v>
      </x:c>
      <x:c r="B32" s="2" t="n">
        <x:v>30</x:v>
      </x:c>
      <x:c r="C32" s="48" t="n">
        <x:v>334.8559319444445</x:v>
      </x:c>
      <x:c r="D32" s="48" t="n">
        <x:f>C32*B32*$B$82/$B$83</x:f>
        <x:v>241.096271</x:v>
      </x:c>
      <x:c r="E32" s="2"/>
      <x:c r="F32" s="2"/>
      <x:c r="G32" s="2"/>
      <x:c r="H32" s="2"/>
      <x:c r="I32" s="2"/>
      <x:c r="J32" s="2" t="str">
        <x:v>Completo</x:v>
      </x:c>
    </x:row>
    <x:row r="33" ht="24" customHeight="1">
      <x:c r="A33" s="4" t="n">
        <x:v>44896</x:v>
      </x:c>
      <x:c r="B33" s="2" t="n">
        <x:v>31</x:v>
      </x:c>
      <x:c r="C33" s="48" t="n">
        <x:v>348.4676330645161</x:v>
      </x:c>
      <x:c r="D33" s="48" t="n">
        <x:f>C33*B33*$B$82/$B$83</x:f>
        <x:v>259.25991899999997</x:v>
      </x:c>
      <x:c r="E33" s="2"/>
      <x:c r="F33" s="2"/>
      <x:c r="G33" s="2"/>
      <x:c r="H33" s="2"/>
      <x:c r="I33" s="2"/>
      <x:c r="J33" s="2" t="str">
        <x:v>Completo</x:v>
      </x:c>
    </x:row>
    <x:row r="34" ht="24" customHeight="1">
      <x:c r="A34" s="4" t="n">
        <x:v>44927</x:v>
      </x:c>
      <x:c r="B34" s="2" t="n">
        <x:v>31</x:v>
      </x:c>
      <x:c r="C34" s="48" t="n">
        <x:v>289.45479838709673</x:v>
      </x:c>
      <x:c r="D34" s="48" t="n">
        <x:f>C34*B34*$B$82/$B$83</x:f>
        <x:v>215.35437</x:v>
      </x:c>
      <x:c r="E34" s="2"/>
      <x:c r="F34" s="2"/>
      <x:c r="G34" s="2"/>
      <x:c r="H34" s="2"/>
      <x:c r="I34" s="2"/>
      <x:c r="J34" s="2" t="str">
        <x:v>Completo</x:v>
      </x:c>
    </x:row>
    <x:row r="35" ht="24" customHeight="1">
      <x:c r="A35" s="4" t="n">
        <x:v>44958</x:v>
      </x:c>
      <x:c r="B35" s="2" t="n">
        <x:v>28</x:v>
      </x:c>
      <x:c r="C35" s="48" t="n">
        <x:v>289.02801636904763</x:v>
      </x:c>
      <x:c r="D35" s="48" t="n">
        <x:f>C35*B35*$B$82/$B$83</x:f>
        <x:v>194.226827</x:v>
      </x:c>
      <x:c r="E35" s="2"/>
      <x:c r="F35" s="2"/>
      <x:c r="G35" s="2"/>
      <x:c r="H35" s="2"/>
      <x:c r="I35" s="2"/>
      <x:c r="J35" s="2" t="str">
        <x:v>Completo</x:v>
      </x:c>
    </x:row>
    <x:row r="36" ht="24" customHeight="1">
      <x:c r="A36" s="4" t="n">
        <x:v>44986</x:v>
      </x:c>
      <x:c r="B36" s="2" t="n">
        <x:v>31</x:v>
      </x:c>
      <x:c r="C36" s="48" t="n">
        <x:v>280.35554704301074</x:v>
      </x:c>
      <x:c r="D36" s="48" t="n">
        <x:f>C36*B36*$B$82/$B$83</x:f>
        <x:v>208.584527</x:v>
      </x:c>
      <x:c r="E36" s="2"/>
      <x:c r="F36" s="2"/>
      <x:c r="G36" s="2"/>
      <x:c r="H36" s="2"/>
      <x:c r="I36" s="2"/>
      <x:c r="J36" s="2" t="str">
        <x:v>Completo</x:v>
      </x:c>
    </x:row>
    <x:row r="37" ht="24" customHeight="1">
      <x:c r="A37" s="4" t="n">
        <x:v>45017</x:v>
      </x:c>
      <x:c r="B37" s="2" t="n">
        <x:v>30</x:v>
      </x:c>
      <x:c r="C37" s="48" t="n">
        <x:v>279.8999416666667</x:v>
      </x:c>
      <x:c r="D37" s="48" t="n">
        <x:f>C37*B37*$B$82/$B$83</x:f>
        <x:v>201.527958</x:v>
      </x:c>
      <x:c r="E37" s="2"/>
      <x:c r="F37" s="2"/>
      <x:c r="G37" s="2"/>
      <x:c r="H37" s="2"/>
      <x:c r="I37" s="2"/>
      <x:c r="J37" s="2" t="str">
        <x:v>Completo</x:v>
      </x:c>
    </x:row>
    <x:row r="38" ht="24" customHeight="1">
      <x:c r="A38" s="4" t="n">
        <x:v>45047</x:v>
      </x:c>
      <x:c r="B38" s="2" t="n">
        <x:v>31</x:v>
      </x:c>
      <x:c r="C38" s="48" t="n">
        <x:v>295.0773696236559</x:v>
      </x:c>
      <x:c r="D38" s="48" t="n">
        <x:f>C38*B38*$B$82/$B$83</x:f>
        <x:v>219.537563</x:v>
      </x:c>
      <x:c r="E38" s="2"/>
      <x:c r="F38" s="2"/>
      <x:c r="G38" s="2"/>
      <x:c r="H38" s="2"/>
      <x:c r="I38" s="2"/>
      <x:c r="J38" s="2" t="str">
        <x:v>Completo</x:v>
      </x:c>
    </x:row>
    <x:row r="39" ht="24" customHeight="1">
      <x:c r="A39" s="4" t="n">
        <x:v>45078</x:v>
      </x:c>
      <x:c r="B39" s="2" t="n">
        <x:v>30</x:v>
      </x:c>
      <x:c r="C39" s="48" t="n">
        <x:v>449.92416388888887</x:v>
      </x:c>
      <x:c r="D39" s="48" t="n">
        <x:f>C39*B39*$B$82/$B$83</x:f>
        <x:v>323.945398</x:v>
      </x:c>
      <x:c r="E39" s="2"/>
      <x:c r="F39" s="2"/>
      <x:c r="G39" s="2"/>
      <x:c r="H39" s="2"/>
      <x:c r="I39" s="2"/>
      <x:c r="J39" s="2" t="str">
        <x:v>Completo</x:v>
      </x:c>
    </x:row>
    <x:row r="40" ht="24" customHeight="1">
      <x:c r="A40" s="4" t="n">
        <x:v>45108</x:v>
      </x:c>
      <x:c r="B40" s="2" t="n">
        <x:v>31</x:v>
      </x:c>
      <x:c r="C40" s="48" t="n">
        <x:v>294.23226478494627</x:v>
      </x:c>
      <x:c r="D40" s="48" t="n">
        <x:f>C40*B40*$B$82/$B$83</x:f>
        <x:v>218.908805</x:v>
      </x:c>
      <x:c r="E40" s="2"/>
      <x:c r="F40" s="2"/>
      <x:c r="G40" s="2"/>
      <x:c r="H40" s="2"/>
      <x:c r="I40" s="2"/>
      <x:c r="J40" s="2" t="str">
        <x:v>Completo</x:v>
      </x:c>
    </x:row>
    <x:row r="41" ht="24" customHeight="1">
      <x:c r="A41" s="4" t="n">
        <x:v>45139</x:v>
      </x:c>
      <x:c r="B41" s="2" t="n">
        <x:v>31</x:v>
      </x:c>
      <x:c r="C41" s="48" t="n">
        <x:v>306.1637271505376</x:v>
      </x:c>
      <x:c r="D41" s="48" t="n">
        <x:f>C41*B41*$B$82/$B$83</x:f>
        <x:v>227.78581300000002</x:v>
      </x:c>
      <x:c r="E41" s="2"/>
      <x:c r="F41" s="2"/>
      <x:c r="G41" s="2"/>
      <x:c r="H41" s="2"/>
      <x:c r="I41" s="2"/>
      <x:c r="J41" s="2" t="str">
        <x:v>Completo</x:v>
      </x:c>
    </x:row>
    <x:row r="42" ht="24" customHeight="1">
      <x:c r="A42" s="4" t="n">
        <x:v>45170</x:v>
      </x:c>
      <x:c r="B42" s="2" t="n">
        <x:v>30</x:v>
      </x:c>
      <x:c r="C42" s="48" t="n">
        <x:v>294.31219027777774</x:v>
      </x:c>
      <x:c r="D42" s="48" t="n">
        <x:f>C42*B42*$B$82/$B$83</x:f>
        <x:v>211.904777</x:v>
      </x:c>
      <x:c r="E42" s="2"/>
      <x:c r="F42" s="2"/>
      <x:c r="G42" s="2"/>
      <x:c r="H42" s="2"/>
      <x:c r="I42" s="2"/>
      <x:c r="J42" s="2" t="str">
        <x:v>Completo</x:v>
      </x:c>
    </x:row>
    <x:row r="43" ht="24" customHeight="1">
      <x:c r="A43" s="4" t="n">
        <x:v>45200</x:v>
      </x:c>
      <x:c r="B43" s="2" t="n">
        <x:v>31</x:v>
      </x:c>
      <x:c r="C43" s="48" t="n">
        <x:v>262.9964731182796</x:v>
      </x:c>
      <x:c r="D43" s="48" t="n">
        <x:f>C43*B43*$B$82/$B$83</x:f>
        <x:v>195.66937600000003</x:v>
      </x:c>
      <x:c r="E43" s="2"/>
      <x:c r="F43" s="2"/>
      <x:c r="G43" s="2"/>
      <x:c r="H43" s="2"/>
      <x:c r="I43" s="2"/>
      <x:c r="J43" s="2" t="str">
        <x:v>Completo</x:v>
      </x:c>
    </x:row>
    <x:row r="44" ht="24" customHeight="1">
      <x:c r="A44" s="4" t="n">
        <x:v>45231</x:v>
      </x:c>
      <x:c r="B44" s="2" t="n">
        <x:v>30</x:v>
      </x:c>
      <x:c r="C44" s="48" t="n">
        <x:v>276.7317916666667</x:v>
      </x:c>
      <x:c r="D44" s="48" t="n">
        <x:f>C44*B44*$B$82/$B$83</x:f>
        <x:v>199.24689</x:v>
      </x:c>
      <x:c r="E44" s="2"/>
      <x:c r="F44" s="2"/>
      <x:c r="G44" s="2"/>
      <x:c r="H44" s="2"/>
      <x:c r="I44" s="2"/>
      <x:c r="J44" s="2" t="str">
        <x:v>Completo</x:v>
      </x:c>
    </x:row>
    <x:row r="45" ht="24" customHeight="1">
      <x:c r="A45" s="4" t="n">
        <x:v>45261</x:v>
      </x:c>
      <x:c r="B45" s="2" t="n">
        <x:v>31</x:v>
      </x:c>
      <x:c r="C45" s="48" t="n">
        <x:v>280.65294489247316</x:v>
      </x:c>
      <x:c r="D45" s="48" t="n">
        <x:f>C45*B45*$B$82/$B$83</x:f>
        <x:v>208.80579100000003</x:v>
      </x:c>
      <x:c r="E45" s="2"/>
      <x:c r="F45" s="2"/>
      <x:c r="G45" s="2"/>
      <x:c r="H45" s="2"/>
      <x:c r="I45" s="2"/>
      <x:c r="J45" s="2" t="str">
        <x:v>Completo</x:v>
      </x:c>
    </x:row>
    <x:row r="46" ht="24" customHeight="1">
      <x:c r="A46" s="4" t="n">
        <x:v>45292</x:v>
      </x:c>
      <x:c r="B46" s="2" t="n">
        <x:v>31</x:v>
      </x:c>
      <x:c r="C46" s="48" t="n">
        <x:v>316.22352419354837</x:v>
      </x:c>
      <x:c r="D46" s="48" t="n">
        <x:f>C46*B46*$B$82/$B$83</x:f>
        <x:v>235.27030199999996</x:v>
      </x:c>
      <x:c r="E46" s="2"/>
      <x:c r="F46" s="2"/>
      <x:c r="G46" s="2"/>
      <x:c r="H46" s="2"/>
      <x:c r="I46" s="2"/>
      <x:c r="J46" s="2" t="str">
        <x:v>Completo</x:v>
      </x:c>
    </x:row>
    <x:row r="47" ht="24" customHeight="1">
      <x:c r="A47" s="4" t="n">
        <x:v>45323</x:v>
      </x:c>
      <x:c r="B47" s="2" t="n">
        <x:v>29</x:v>
      </x:c>
      <x:c r="C47" s="48" t="n">
        <x:v>343.87891810344826</x:v>
      </x:c>
      <x:c r="D47" s="48" t="n">
        <x:f>C47*B47*$B$82/$B$83</x:f>
        <x:v>239.339727</x:v>
      </x:c>
      <x:c r="E47" s="2"/>
      <x:c r="F47" s="2"/>
      <x:c r="G47" s="2"/>
      <x:c r="H47" s="2"/>
      <x:c r="I47" s="2"/>
      <x:c r="J47" s="2" t="str">
        <x:v>Completo</x:v>
      </x:c>
    </x:row>
    <x:row r="48" ht="24" customHeight="1">
      <x:c r="A48" s="4" t="n">
        <x:v>45352</x:v>
      </x:c>
      <x:c r="B48" s="2" t="n">
        <x:v>31</x:v>
      </x:c>
      <x:c r="C48" s="48" t="n">
        <x:v>367.492497311828</x:v>
      </x:c>
      <x:c r="D48" s="48" t="n">
        <x:f>C48*B48*$B$82/$B$83</x:f>
        <x:v>273.414418</x:v>
      </x:c>
      <x:c r="E48" s="2"/>
      <x:c r="F48" s="2"/>
      <x:c r="G48" s="2"/>
      <x:c r="H48" s="2"/>
      <x:c r="I48" s="2"/>
      <x:c r="J48" s="2" t="str">
        <x:v>Completo</x:v>
      </x:c>
    </x:row>
    <x:row r="49" ht="24" customHeight="1">
      <x:c r="A49" s="4" t="n">
        <x:v>45383</x:v>
      </x:c>
      <x:c r="B49" s="2" t="n">
        <x:v>30</x:v>
      </x:c>
      <x:c r="C49" s="48" t="n">
        <x:v>290.9427694444445</x:v>
      </x:c>
      <x:c r="D49" s="48" t="n">
        <x:f>C49*B49*$B$82/$B$83</x:f>
        <x:v>209.478794</x:v>
      </x:c>
      <x:c r="E49" s="2"/>
      <x:c r="F49" s="2"/>
      <x:c r="G49" s="2"/>
      <x:c r="H49" s="2"/>
      <x:c r="I49" s="2"/>
      <x:c r="J49" s="2" t="str">
        <x:v>Completo</x:v>
      </x:c>
    </x:row>
    <x:row r="50" ht="24" customHeight="1">
      <x:c r="A50" s="4" t="n">
        <x:v>45413</x:v>
      </x:c>
      <x:c r="B50" s="2" t="n">
        <x:v>31</x:v>
      </x:c>
      <x:c r="C50" s="48" t="n">
        <x:v>470.35091666666665</x:v>
      </x:c>
      <x:c r="D50" s="48" t="n">
        <x:f>C50*B50*$B$82/$B$83</x:f>
        <x:v>349.941082</x:v>
      </x:c>
      <x:c r="E50" s="2"/>
      <x:c r="F50" s="2"/>
      <x:c r="G50" s="2"/>
      <x:c r="H50" s="2"/>
      <x:c r="I50" s="2"/>
      <x:c r="J50" s="2" t="str">
        <x:v>Completo</x:v>
      </x:c>
    </x:row>
    <x:row r="51" ht="24" customHeight="1">
      <x:c r="A51" s="4" t="n">
        <x:v>45444</x:v>
      </x:c>
      <x:c r="B51" s="2" t="n">
        <x:v>30</x:v>
      </x:c>
      <x:c r="C51" s="48" t="n">
        <x:v>514.5811263888888</x:v>
      </x:c>
      <x:c r="D51" s="48" t="n">
        <x:f>C51*B51*$B$82/$B$83</x:f>
        <x:v>370.498411</x:v>
      </x:c>
      <x:c r="E51" s="2"/>
      <x:c r="F51" s="2"/>
      <x:c r="G51" s="2"/>
      <x:c r="H51" s="2"/>
      <x:c r="I51" s="2"/>
      <x:c r="J51" s="2" t="str">
        <x:v>Completo</x:v>
      </x:c>
    </x:row>
    <x:row r="52" ht="24" customHeight="1">
      <x:c r="A52" s="4" t="n">
        <x:v>45474</x:v>
      </x:c>
      <x:c r="B52" s="2" t="n">
        <x:v>31</x:v>
      </x:c>
      <x:c r="C52" s="48" t="n">
        <x:v>533.3846801075268</x:v>
      </x:c>
      <x:c r="D52" s="48" t="n">
        <x:f>C52*B52*$B$82/$B$83</x:f>
        <x:v>396.8382019999999</x:v>
      </x:c>
      <x:c r="E52" s="2"/>
      <x:c r="F52" s="2"/>
      <x:c r="G52" s="2"/>
      <x:c r="H52" s="2"/>
      <x:c r="I52" s="2"/>
      <x:c r="J52" s="2" t="str">
        <x:v>Completo</x:v>
      </x:c>
    </x:row>
    <x:row r="53" ht="24" customHeight="1">
      <x:c r="A53" s="4" t="n">
        <x:v>45505</x:v>
      </x:c>
      <x:c r="B53" s="2" t="n">
        <x:v>31</x:v>
      </x:c>
      <x:c r="C53" s="48" t="n">
        <x:v>511.9055053763441</x:v>
      </x:c>
      <x:c r="D53" s="48" t="n">
        <x:f>C53*B53*$B$82/$B$83</x:f>
        <x:v>380.857696</x:v>
      </x:c>
      <x:c r="E53" s="2"/>
      <x:c r="F53" s="2"/>
      <x:c r="G53" s="2"/>
      <x:c r="H53" s="2"/>
      <x:c r="I53" s="2"/>
      <x:c r="J53" s="2" t="str">
        <x:v>Completo</x:v>
      </x:c>
    </x:row>
    <x:row r="54" ht="24" customHeight="1">
      <x:c r="A54" s="4" t="n">
        <x:v>45536</x:v>
      </x:c>
      <x:c r="B54" s="2" t="n">
        <x:v>30</x:v>
      </x:c>
      <x:c r="C54" s="48" t="n">
        <x:v>425.6193597222222</x:v>
      </x:c>
      <x:c r="D54" s="48" t="n">
        <x:f>C54*B54*$B$82/$B$83</x:f>
        <x:v>306.445939</x:v>
      </x:c>
      <x:c r="E54" s="2"/>
      <x:c r="F54" s="2"/>
      <x:c r="G54" s="2"/>
      <x:c r="H54" s="2"/>
      <x:c r="I54" s="2"/>
      <x:c r="J54" s="2" t="str">
        <x:v>Completo</x:v>
      </x:c>
    </x:row>
    <x:row r="55" ht="24" customHeight="1">
      <x:c r="A55" s="4" t="n">
        <x:v>45566</x:v>
      </x:c>
      <x:c r="B55" s="2" t="n">
        <x:v>31</x:v>
      </x:c>
      <x:c r="C55" s="48" t="n">
        <x:v>352.3306948924731</x:v>
      </x:c>
      <x:c r="D55" s="48" t="n">
        <x:f>C55*B55*$B$82/$B$83</x:f>
        <x:v>262.13403700000003</x:v>
      </x:c>
      <x:c r="E55" s="2"/>
      <x:c r="F55" s="2"/>
      <x:c r="G55" s="2"/>
      <x:c r="H55" s="2"/>
      <x:c r="I55" s="2"/>
      <x:c r="J55" s="2" t="str">
        <x:v>Completo</x:v>
      </x:c>
    </x:row>
    <x:row r="56" ht="24" customHeight="1">
      <x:c r="A56" s="4" t="n">
        <x:v>45597</x:v>
      </x:c>
      <x:c r="B56" s="2" t="n">
        <x:v>30</x:v>
      </x:c>
      <x:c r="C56" s="48" t="n">
        <x:v>359.8452222222222</x:v>
      </x:c>
      <x:c r="D56" s="48" t="n">
        <x:f>C56*B56*$B$82/$B$83</x:f>
        <x:v>259.08856</x:v>
      </x:c>
      <x:c r="E56" s="2"/>
      <x:c r="F56" s="2"/>
      <x:c r="G56" s="2"/>
      <x:c r="H56" s="2"/>
      <x:c r="I56" s="2"/>
      <x:c r="J56" s="2" t="str">
        <x:v>Completo</x:v>
      </x:c>
    </x:row>
    <x:row r="57" ht="24" customHeight="1">
      <x:c r="A57" s="4" t="n">
        <x:v>45627</x:v>
      </x:c>
      <x:c r="B57" s="2" t="n">
        <x:v>31</x:v>
      </x:c>
      <x:c r="C57" s="48" t="n">
        <x:v>366.53911021505377</x:v>
      </x:c>
      <x:c r="D57" s="48" t="n">
        <x:f>C57*B57*$B$82/$B$83</x:f>
        <x:v>272.705098</x:v>
      </x:c>
      <x:c r="E57" s="2"/>
      <x:c r="F57" s="2"/>
      <x:c r="G57" s="2"/>
      <x:c r="H57" s="2"/>
      <x:c r="I57" s="2"/>
      <x:c r="J57" s="2" t="str">
        <x:v>Completo</x:v>
      </x:c>
    </x:row>
    <x:row r="58" ht="24" customHeight="1">
      <x:c r="A58" s="4" t="n">
        <x:v>45658</x:v>
      </x:c>
      <x:c r="B58" s="2" t="n">
        <x:v>31</x:v>
      </x:c>
      <x:c r="C58" s="48" t="n">
        <x:v>357.9485134408602</x:v>
      </x:c>
      <x:c r="D58" s="48" t="n">
        <x:f>C58*B58*$B$82/$B$83</x:f>
        <x:v>266.313694</x:v>
      </x:c>
      <x:c r="E58" s="2"/>
      <x:c r="F58" s="2"/>
      <x:c r="G58" s="2"/>
      <x:c r="H58" s="2"/>
      <x:c r="I58" s="2"/>
      <x:c r="J58" s="2" t="str">
        <x:v>Completo</x:v>
      </x:c>
    </x:row>
    <x:row r="59" ht="24" customHeight="1">
      <x:c r="A59" s="4" t="n">
        <x:v>45689</x:v>
      </x:c>
      <x:c r="B59" s="2" t="n">
        <x:v>28</x:v>
      </x:c>
      <x:c r="C59" s="48" t="n">
        <x:v>373.41121279761904</x:v>
      </x:c>
      <x:c r="D59" s="48" t="n">
        <x:f>C59*B59*$B$82/$B$83</x:f>
        <x:v>250.932335</x:v>
      </x:c>
      <x:c r="E59" s="2"/>
      <x:c r="F59" s="2"/>
      <x:c r="G59" s="2"/>
      <x:c r="H59" s="2"/>
      <x:c r="I59" s="2"/>
      <x:c r="J59" s="2" t="str">
        <x:v>Completo</x:v>
      </x:c>
    </x:row>
    <x:row r="60" ht="24" customHeight="1">
      <x:c r="A60" s="4" t="n">
        <x:v>45717</x:v>
      </x:c>
      <x:c r="B60" s="2" t="n">
        <x:v>31</x:v>
      </x:c>
      <x:c r="C60" s="48" t="n">
        <x:v>375.96816129032254</x:v>
      </x:c>
      <x:c r="D60" s="48" t="n">
        <x:f>C60*B60*$B$82/$B$83</x:f>
        <x:v>279.720312</x:v>
      </x:c>
      <x:c r="E60" s="2"/>
      <x:c r="F60" s="2"/>
      <x:c r="G60" s="2"/>
      <x:c r="H60" s="2"/>
      <x:c r="I60" s="2"/>
      <x:c r="J60" s="2" t="str">
        <x:v>Completo</x:v>
      </x:c>
    </x:row>
    <x:row r="61" ht="24" customHeight="1">
      <x:c r="A61" s="4" t="n">
        <x:v>45748</x:v>
      </x:c>
      <x:c r="B61" s="2" t="n">
        <x:v>30</x:v>
      </x:c>
      <x:c r="C61" s="48" t="n">
        <x:v>367.7452263888889</x:v>
      </x:c>
      <x:c r="D61" s="48" t="n">
        <x:f>C61*B61*$B$82/$B$83</x:f>
        <x:v>264.776563</x:v>
      </x:c>
      <x:c r="E61" s="2"/>
      <x:c r="F61" s="2"/>
      <x:c r="G61" s="2"/>
      <x:c r="H61" s="2"/>
      <x:c r="I61" s="2"/>
      <x:c r="J61" s="2" t="str">
        <x:v>Completo</x:v>
      </x:c>
    </x:row>
    <x:row r="62" ht="24" customHeight="1">
      <x:c r="A62" s="4" t="n">
        <x:v>45778</x:v>
      </x:c>
      <x:c r="B62" s="2" t="n">
        <x:v>31</x:v>
      </x:c>
      <x:c r="C62" s="48" t="n">
        <x:v>376.53041532258067</x:v>
      </x:c>
      <x:c r="D62" s="48" t="n">
        <x:f>C62*B62*$B$82/$B$83</x:f>
        <x:v>280.13862900000004</x:v>
      </x:c>
      <x:c r="E62" s="2"/>
      <x:c r="F62" s="2"/>
      <x:c r="G62" s="2"/>
      <x:c r="H62" s="2"/>
      <x:c r="I62" s="2"/>
      <x:c r="J62" s="2" t="str">
        <x:v>Completo</x:v>
      </x:c>
    </x:row>
    <x:row r="63" ht="24" customHeight="1">
      <x:c r="A63" s="4" t="n">
        <x:v>45809</x:v>
      </x:c>
      <x:c r="B63" s="2" t="n">
        <x:v>30</x:v>
      </x:c>
      <x:c r="C63" s="48" t="n">
        <x:v>400.4519319444444</x:v>
      </x:c>
      <x:c r="D63" s="48" t="n">
        <x:f>C63*B63*$B$82/$B$83</x:f>
        <x:v>288.325391</x:v>
      </x:c>
      <x:c r="E63" s="2"/>
      <x:c r="F63" s="2"/>
      <x:c r="G63" s="2"/>
      <x:c r="H63" s="2"/>
      <x:c r="I63" s="2"/>
      <x:c r="J63" s="2" t="str">
        <x:v>Completo</x:v>
      </x:c>
    </x:row>
    <x:row r="64" ht="24" customHeight="1">
      <x:c r="A64" s="4" t="n">
        <x:v>45839</x:v>
      </x:c>
      <x:c r="B64" s="2" t="n">
        <x:v>31</x:v>
      </x:c>
      <x:c r="C64" s="48" t="n">
        <x:v>462.3067137096774</x:v>
      </x:c>
      <x:c r="D64" s="48" t="n">
        <x:f>C64*B64*$B$82/$B$83</x:f>
        <x:v>343.956195</x:v>
      </x:c>
      <x:c r="E64" s="2"/>
      <x:c r="F64" s="2"/>
      <x:c r="G64" s="2"/>
      <x:c r="H64" s="2"/>
      <x:c r="I64" s="2"/>
      <x:c r="J64" s="2" t="str">
        <x:v>Completo</x:v>
      </x:c>
    </x:row>
    <x:row r="65" ht="24" customHeight="1">
      <x:c r="A65" s="4" t="n">
        <x:v>45870</x:v>
      </x:c>
      <x:c r="B65" s="2" t="n">
        <x:v>31</x:v>
      </x:c>
      <x:c r="C65" s="48" t="n">
        <x:v>375.7153346774193</x:v>
      </x:c>
      <x:c r="D65" s="48" t="n">
        <x:f>C65*B65*$B$82/$B$83</x:f>
        <x:v>279.53220899999997</x:v>
      </x:c>
      <x:c r="E65" s="2"/>
      <x:c r="F65" s="2"/>
      <x:c r="G65" s="2"/>
      <x:c r="H65" s="2"/>
      <x:c r="I65" s="2"/>
      <x:c r="J65" s="2" t="str">
        <x:v>Completo</x:v>
      </x:c>
    </x:row>
    <x:row r="66" ht="24" customHeight="1">
      <x:c r="A66" s="4" t="n">
        <x:v>45901</x:v>
      </x:c>
      <x:c r="B66" s="2" t="n">
        <x:v>30</x:v>
      </x:c>
      <x:c r="C66" s="48" t="n">
        <x:v>441.24354444444447</x:v>
      </x:c>
      <x:c r="D66" s="48" t="n">
        <x:f>C66*B66*$B$82/$B$83</x:f>
        <x:v>317.695352</x:v>
      </x:c>
      <x:c r="E66" s="2"/>
      <x:c r="F66" s="2"/>
      <x:c r="G66" s="2"/>
      <x:c r="H66" s="2"/>
      <x:c r="I66" s="2"/>
      <x:c r="J66" s="2" t="str">
        <x:v>Completo</x:v>
      </x:c>
    </x:row>
    <x:row r="67" ht="24" customHeight="1">
      <x:c r="A67" s="4" t="n">
        <x:v>45931</x:v>
      </x:c>
      <x:c r="B67" s="2" t="n">
        <x:v>31</x:v>
      </x:c>
      <x:c r="C67" s="48" t="n">
        <x:v>389.78196236559137</x:v>
      </x:c>
      <x:c r="D67" s="48" t="n">
        <x:f>C67*B67*$B$82/$B$83</x:f>
        <x:v>289.99778000000003</x:v>
      </x:c>
      <x:c r="E67" s="2"/>
      <x:c r="F67" s="2"/>
      <x:c r="G67" s="2"/>
      <x:c r="H67" s="2"/>
      <x:c r="I67" s="2"/>
      <x:c r="J67" s="2" t="str">
        <x:v>Completo</x:v>
      </x:c>
    </x:row>
    <x:row r="68" ht="24" customHeight="1">
      <x:c r="A68" s="4" t="n">
        <x:v>45962</x:v>
      </x:c>
      <x:c r="B68" s="2" t="n">
        <x:v>30</x:v>
      </x:c>
      <x:c r="C68" s="48" t="n">
        <x:v>407.35884999999996</x:v>
      </x:c>
      <x:c r="D68" s="48" t="n">
        <x:f>C68*B68*$B$82/$B$83</x:f>
        <x:v>293.298372</x:v>
      </x:c>
      <x:c r="E68" s="2"/>
      <x:c r="F68" s="2"/>
      <x:c r="G68" s="2"/>
      <x:c r="H68" s="2"/>
      <x:c r="I68" s="2"/>
      <x:c r="J68" s="2" t="str">
        <x:v>Completo</x:v>
      </x:c>
    </x:row>
    <x:row r="69" ht="24" customHeight="1">
      <x:c r="A69" s="4" t="n">
        <x:v>45992</x:v>
      </x:c>
      <x:c r="B69" s="2" t="n">
        <x:v>31</x:v>
      </x:c>
      <x:c r="C69" s="48" t="n">
        <x:v>369.6520739247312</x:v>
      </x:c>
      <x:c r="D69" s="48" t="n">
        <x:f>C69*B69*$B$82/$B$83</x:f>
        <x:v>275.02114300000005</x:v>
      </x:c>
      <x:c r="E69" s="2"/>
      <x:c r="F69" s="2"/>
      <x:c r="G69" s="2"/>
      <x:c r="H69" s="2"/>
      <x:c r="I69" s="2"/>
      <x:c r="J69" s="2" t="str">
        <x:v>Completo</x:v>
      </x:c>
    </x:row>
    <x:row r="70" ht="24" customHeight="1">
      <x:c r="A70" s="4" t="n">
        <x:v>46023</x:v>
      </x:c>
      <x:c r="B70" s="2" t="n">
        <x:v>31</x:v>
      </x:c>
      <x:c r="C70" s="48" t="n">
        <x:v>386.1554623655914</x:v>
      </x:c>
      <x:c r="D70" s="48" t="n">
        <x:f>C70*B70*$B$82/$B$83</x:f>
        <x:v>287.299664</x:v>
      </x:c>
      <x:c r="E70" s="2"/>
      <x:c r="F70" s="2"/>
      <x:c r="G70" s="2"/>
      <x:c r="H70" s="2"/>
      <x:c r="I70" s="2"/>
      <x:c r="J70" s="2" t="str">
        <x:v>Completo</x:v>
      </x:c>
    </x:row>
    <x:row r="71" ht="24" customHeight="1">
      <x:c r="A71" s="4" t="n">
        <x:v>46054</x:v>
      </x:c>
      <x:c r="B71" s="2" t="n">
        <x:v>28</x:v>
      </x:c>
      <x:c r="C71" s="48" t="n">
        <x:v>380.2738779761905</x:v>
      </x:c>
      <x:c r="D71" s="48" t="n">
        <x:f>C71*B71*$B$82/$B$83</x:f>
        <x:v>255.54404600000004</x:v>
      </x:c>
      <x:c r="E71" s="2"/>
      <x:c r="F71" s="2"/>
      <x:c r="G71" s="2"/>
      <x:c r="H71" s="2"/>
      <x:c r="I71" s="2"/>
      <x:c r="J71" s="2" t="str">
        <x:v>Completo</x:v>
      </x:c>
    </x:row>
    <x:row r="72" ht="24" customHeight="1">
      <x:c r="A72" s="4" t="n">
        <x:v>46082</x:v>
      </x:c>
      <x:c r="B72" s="2" t="n">
        <x:v>31</x:v>
      </x:c>
      <x:c r="C72" s="48" t="n">
        <x:v>429.2034650537634</x:v>
      </x:c>
      <x:c r="D72" s="48" t="n">
        <x:f>C72*B72*$B$82/$B$83</x:f>
        <x:v>319.327378</x:v>
      </x:c>
      <x:c r="E72" s="2"/>
      <x:c r="F72" s="2"/>
      <x:c r="G72" s="2"/>
      <x:c r="H72" s="2"/>
      <x:c r="I72" s="2"/>
      <x:c r="J72" s="2" t="str">
        <x:v>Completo</x:v>
      </x:c>
    </x:row>
    <x:row r="73" ht="24" customHeight="1">
      <x:c r="A73" s="4" t="n">
        <x:v>46113</x:v>
      </x:c>
      <x:c r="B73" s="2" t="n">
        <x:v>30</x:v>
      </x:c>
      <x:c r="C73" s="48" t="n">
        <x:v>439.80491527777775</x:v>
      </x:c>
      <x:c r="D73" s="48" t="n">
        <x:f>C73*B73*$B$82/$B$83</x:f>
        <x:v>316.659539</x:v>
      </x:c>
      <x:c r="E73" s="2"/>
      <x:c r="F73" s="2"/>
      <x:c r="G73" s="2"/>
      <x:c r="H73" s="2"/>
      <x:c r="I73" s="2"/>
      <x:c r="J73" s="2" t="str">
        <x:v>Completo</x:v>
      </x:c>
    </x:row>
    <x:row r="74" ht="24" customHeight="1">
      <x:c r="A74" s="4" t="n">
        <x:v>46143</x:v>
      </x:c>
      <x:c r="B74" s="2" t="n">
        <x:v>31</x:v>
      </x:c>
      <x:c r="C74" s="48" t="n">
        <x:v>539.3291129032258</x:v>
      </x:c>
      <x:c r="D74" s="48" t="n">
        <x:f>C74*B74*$B$82/$B$83</x:f>
        <x:v>401.26086</x:v>
      </x:c>
      <x:c r="E74" s="2"/>
      <x:c r="F74" s="2"/>
      <x:c r="G74" s="2"/>
      <x:c r="H74" s="2"/>
      <x:c r="I74" s="2"/>
      <x:c r="J74" s="2" t="str">
        <x:v>Completo</x:v>
      </x:c>
    </x:row>
    <x:row r="75" ht="24" customHeight="1">
      <x:c r="A75" s="4" t="n">
        <x:v>46174</x:v>
      </x:c>
      <x:c r="B75" s="2" t="n">
        <x:v>30</x:v>
      </x:c>
      <x:c r="C75" s="48" t="n">
        <x:v>525.1162138888889</x:v>
      </x:c>
      <x:c r="D75" s="48" t="n">
        <x:f>C75*B75*$B$82/$B$83</x:f>
        <x:v>378.083674</x:v>
      </x:c>
      <x:c r="E75" s="2"/>
      <x:c r="F75" s="2"/>
      <x:c r="G75" s="2"/>
      <x:c r="H75" s="2"/>
      <x:c r="I75" s="2"/>
      <x:c r="J75" s="2" t="str">
        <x:v>Completo</x:v>
      </x:c>
    </x:row>
    <x:row r="76" ht="24" customHeight="1">
      <x:c r="A76" s="4" t="n">
        <x:v>46204</x:v>
      </x:c>
      <x:c r="B76" s="2" t="n">
        <x:v>31</x:v>
      </x:c>
      <x:c r="C76" s="48" t="n">
        <x:v>471.9185</x:v>
      </x:c>
      <x:c r="D76" s="48" t="n">
        <x:f>C76*B76*$B$82/$B$83</x:f>
        <x:v>351.107364</x:v>
      </x:c>
      <x:c r="E76" s="2"/>
      <x:c r="F76" s="2"/>
      <x:c r="G76" s="2"/>
      <x:c r="H76" s="2"/>
      <x:c r="I76" s="2"/>
      <x:c r="J76" s="2" t="str">
        <x:v>Completo</x:v>
      </x:c>
    </x:row>
    <x:row r="77" ht="24" customHeight="1">
      <x:c r="A77" s="4" t="n">
        <x:v>46235</x:v>
      </x:c>
      <x:c r="B77" s="2" t="n">
        <x:v>31</x:v>
      </x:c>
      <x:c r="C77" s="48" t="n">
        <x:v>547.1720067204301</x:v>
      </x:c>
      <x:c r="D77" s="48" t="n">
        <x:f>C77*B77*$B$82/$B$83</x:f>
        <x:v>407.095973</x:v>
      </x:c>
      <x:c r="E77" s="2"/>
      <x:c r="F77" s="2"/>
      <x:c r="G77" s="2"/>
      <x:c r="H77" s="2"/>
      <x:c r="I77" s="2"/>
      <x:c r="J77" s="2" t="str">
        <x:v>Completo</x:v>
      </x:c>
    </x:row>
    <x:row r="78" ht="24" customHeight="1">
      <x:c r="A78" s="4" t="n">
        <x:v>46266</x:v>
      </x:c>
      <x:c r="B78" s="2" t="n">
        <x:v>23</x:v>
      </x:c>
      <x:c r="C78" s="48" t="n">
        <x:v>544.4114166666667</x:v>
      </x:c>
      <x:c r="D78" s="48" t="n">
        <x:f>C78*B78*$B$82/$B$83</x:f>
        <x:v>300.515102</x:v>
      </x:c>
      <x:c r="E78" s="2"/>
      <x:c r="F78" s="2"/>
      <x:c r="G78" s="2"/>
      <x:c r="H78" s="2"/>
      <x:c r="I78" s="2"/>
      <x:c r="J78" s="2" t="str">
        <x:v>Parcial: 2026-09-23</x:v>
      </x:c>
    </x:row>
    <x:row r="79" ht="24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</x:row>
    <x:row r="80" ht="24" customHeight="1">
      <x:c r="A80" s="2" t="str">
        <x:v>Insumos y fuentes: conversiones exactas y datos operativos provisionales.</x:v>
      </x:c>
      <x:c r="B80" s="2"/>
      <x:c r="C80" s="2"/>
      <x:c r="D80" s="2"/>
      <x:c r="E80" s="2"/>
      <x:c r="F80" s="2"/>
      <x:c r="G80" s="2"/>
      <x:c r="H80" s="2"/>
      <x:c r="I80" s="2"/>
      <x:c r="J80" s="2"/>
    </x:row>
    <x:row r="81" ht="24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</x:row>
    <x:row r="82" ht="24" customHeight="1">
      <x:c r="A82" s="2" t="str">
        <x:v>Horas por día</x:v>
      </x:c>
      <x:c r="B82" s="2" t="n">
        <x:v>24</x:v>
      </x:c>
      <x:c r="C82" s="2"/>
      <x:c r="D82" s="2"/>
      <x:c r="E82" s="2"/>
      <x:c r="F82" s="2"/>
      <x:c r="G82" s="2"/>
      <x:c r="H82" s="2"/>
      <x:c r="I82" s="2"/>
      <x:c r="J82" s="2"/>
    </x:row>
    <x:row r="83" ht="24" customHeight="1">
      <x:c r="A83" s="2" t="str">
        <x:v>MWh por GWh</x:v>
      </x:c>
      <x:c r="B83" s="2" t="n">
        <x:v>1000</x:v>
      </x:c>
      <x:c r="C83" s="2"/>
      <x:c r="D83" s="2"/>
      <x:c r="E83" s="2"/>
      <x:c r="F83" s="2"/>
      <x:c r="G83" s="2"/>
      <x:c r="H83" s="2"/>
      <x:c r="I83" s="2"/>
      <x:c r="J83" s="2"/>
    </x:row>
    <x:row r="84" ht="24" customHeight="1">
      <x:c r="A84" s="2"/>
      <x:c r="B84" s="2"/>
      <x:c r="C84" s="2"/>
      <x:c r="D84" s="2"/>
      <x:c r="E84" s="2"/>
      <x:c r="F84" s="2"/>
      <x:c r="G84" s="2"/>
      <x:c r="H84" s="2"/>
      <x:c r="I84" s="2"/>
      <x:c r="J84" s="2"/>
    </x:row>
    <x:row r="85" ht="24" customHeight="1">
      <x:c r="A85" s="2" t="str">
        <x:v>CAMMESA, base diaria capturada el 26/09/2026; hoja Base Detalle diaria GUMAs ACT, columna Z.</x:v>
      </x:c>
      <x:c r="B85" s="2"/>
      <x:c r="C85" s="2"/>
      <x:c r="D85" s="2"/>
      <x:c r="E85" s="2"/>
      <x:c r="F85" s="2"/>
      <x:c r="G85" s="2"/>
      <x:c r="H85" s="2"/>
      <x:c r="I85" s="2"/>
      <x:c r="J85" s="2"/>
    </x:row>
    <x:row r="86" ht="24" customHeight="1">
      <x:c r="A86" s="2" t="str">
        <x:v>https://cammesaweb.cammesa.com/download/base-de-datos-2/?wpdmdl=39428</x:v>
      </x:c>
      <x:c r="B86" s="2"/>
      <x:c r="C86" s="2"/>
      <x:c r="D86" s="2"/>
      <x:c r="E86" s="2"/>
      <x:c r="F86" s="2"/>
      <x:c r="G86" s="2"/>
      <x:c r="H86" s="2"/>
      <x:c r="I86" s="2"/>
      <x:c r="J86" s="2"/>
    </x:row>
    <x:row r="87" ht="24" customHeight="1">
      <x:c r="A87" s="2"/>
      <x:c r="B87" s="2"/>
      <x:c r="C87" s="2"/>
      <x:c r="D87" s="2"/>
      <x:c r="E87" s="2"/>
      <x:c r="F87" s="2"/>
      <x:c r="G87" s="2"/>
      <x:c r="H87" s="2"/>
      <x:c r="I87" s="2"/>
      <x:c r="J87" s="2"/>
    </x:row>
    <x:row r="88" ht="24" customHeight="1">
      <x:c r="A88" s="2" t="str">
        <x:v>Las memorias anuales declaran consumos y fuentes. Fuentes originales:</x:v>
      </x:c>
      <x:c r="B88" s="2"/>
      <x:c r="C88" s="2"/>
      <x:c r="D88" s="2"/>
      <x:c r="E88" s="2"/>
      <x:c r="F88" s="2"/>
      <x:c r="G88" s="2"/>
      <x:c r="H88" s="2"/>
      <x:c r="I88" s="2"/>
      <x:c r="J88" s="2"/>
    </x:row>
    <x:row r="89" ht="24" customHeight="1">
      <x:c r="A89" s="2" t="str">
        <x:v>https://cdn.aluar.com.ar/assets/uploads/EEFF_Aluar_Ejercicio_2024_2025_4_T_7869bb3511.pdf</x:v>
      </x:c>
      <x:c r="B89" s="2"/>
      <x:c r="C89" s="2"/>
      <x:c r="D89" s="2"/>
      <x:c r="E89" s="2"/>
      <x:c r="F89" s="2"/>
      <x:c r="G89" s="2"/>
      <x:c r="H89" s="2"/>
      <x:c r="I89" s="2"/>
      <x:c r="J89" s="2"/>
    </x:row>
    <x:row r="90" ht="24" customHeight="1">
      <x:c r="A90" s="2" t="str">
        <x:v>https://cdn.aluar.com.ar/assets/uploads/EEFF_Aluar_Ejercicio_2025_2026_4_T_c41c605c28.pdf</x:v>
      </x:c>
      <x:c r="B90" s="2"/>
      <x:c r="C90" s="2"/>
      <x:c r="D90" s="2"/>
      <x:c r="E90" s="2"/>
      <x:c r="F90" s="2"/>
      <x:c r="G90" s="2"/>
      <x:c r="H90" s="2"/>
      <x:c r="I90" s="2"/>
      <x:c r="J90" s="2"/>
    </x:row>
    <x:row r="91" ht="24" customHeight="1">
      <x:c r="A91" s="2"/>
      <x:c r="B91" s="2"/>
      <x:c r="C91" s="2"/>
      <x:c r="D91" s="2"/>
      <x:c r="E91" s="2"/>
      <x:c r="F91" s="2"/>
      <x:c r="G91" s="2"/>
      <x:c r="H91" s="2"/>
      <x:c r="I91" s="2"/>
      <x:c r="J91" s="2"/>
    </x:row>
    <x:row r="92" ht="24" customHeight="1">
      <x:c r="A92" s="2" t="str">
        <x:v>Trimestre julio-septiembre 2025: 113.363 t. Ventas eólicas/térmicas: 81,8 GWh. No son autoconsumo mensual.</x:v>
      </x:c>
      <x:c r="B92" s="2"/>
      <x:c r="C92" s="2"/>
      <x:c r="D92" s="2"/>
      <x:c r="E92" s="2"/>
      <x:c r="F92" s="2"/>
      <x:c r="G92" s="2"/>
      <x:c r="H92" s="2"/>
      <x:c r="I92" s="2"/>
      <x:c r="J92" s="2"/>
    </x:row>
    <x:row r="93" ht="24" customHeight="1">
      <x:c r="A93" s="2" t="str">
        <x:v>https://cdn.aluar.com.ar/assets/uploads/EEFF_Aluar_Ejercicio_2025_2026_1_T_ec2d20bfc1.pdf</x:v>
      </x:c>
      <x:c r="B93" s="2"/>
      <x:c r="C93" s="2"/>
      <x:c r="D93" s="2"/>
      <x:c r="E93" s="2"/>
      <x:c r="F93" s="2"/>
      <x:c r="G93" s="2"/>
      <x:c r="H93" s="2"/>
      <x:c r="I93" s="2"/>
      <x:c r="J93" s="2"/>
    </x:row>
    <x:row r="94" ht="24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</x:row>
    <x:row r="95" ht="24" customHeight="1">
      <x:c r="A95" s="2" t="str">
        <x:v>Faltan producción, consumo bruto, autogeneración utilizada, ventas/inyecciones y pérdidas para agosto.</x:v>
      </x:c>
      <x:c r="B95" s="2"/>
      <x:c r="C95" s="2"/>
      <x:c r="D95" s="2"/>
      <x:c r="E95" s="2"/>
      <x:c r="F95" s="2"/>
      <x:c r="G95" s="2"/>
      <x:c r="H95" s="2"/>
      <x:c r="I95" s="2"/>
      <x:c r="J95" s="2"/>
    </x:row>
    <x:row r="96" ht="24" customHeight="1">
      <x:c r="A96" s="2" t="str">
        <x:v>Los informes privados MEMNet requieren acceso autorizado. No se enviaron solicitudes ni se accedió a datos privados.</x:v>
      </x:c>
      <x:c r="B96" s="2"/>
      <x:c r="C96" s="2"/>
      <x:c r="D96" s="2"/>
      <x:c r="E96" s="2"/>
      <x:c r="F96" s="2"/>
      <x:c r="G96" s="2"/>
      <x:c r="H96" s="2"/>
      <x:c r="I96" s="2"/>
      <x:c r="J96" s="2"/>
    </x:row>
    <x:row r="97" ht="24" customHeight="1">
      <x:c r="A97" s="2"/>
      <x:c r="B97" s="2"/>
      <x:c r="C97" s="2"/>
      <x:c r="D97" s="2"/>
      <x:c r="E97" s="2"/>
      <x:c r="F97" s="2"/>
      <x:c r="G97" s="2"/>
      <x:c r="H97" s="2"/>
      <x:c r="I97" s="2"/>
      <x:c r="J97" s="2"/>
    </x:row>
    <x:row r="98" ht="24" customHeight="1">
      <x:c r="A98" s="2"/>
      <x:c r="B98" s="2"/>
      <x:c r="C98" s="2"/>
      <x:c r="D98" s="2"/>
      <x:c r="E98" s="2"/>
      <x:c r="F98" s="2"/>
      <x:c r="G98" s="2"/>
      <x:c r="H98" s="2"/>
      <x:c r="I98" s="2"/>
      <x:c r="J98" s="2"/>
    </x:row>
    <x:row r="99" ht="24" customHeight="1">
      <x:c r="A99" s="2"/>
      <x:c r="B99" s="2"/>
      <x:c r="C99" s="2"/>
      <x:c r="D99" s="2"/>
      <x:c r="E99" s="2"/>
      <x:c r="F99" s="2"/>
      <x:c r="G99" s="2"/>
      <x:c r="H99" s="2"/>
      <x:c r="I99" s="2"/>
      <x:c r="J99" s="2"/>
    </x:row>
    <x:row r="100" ht="24" customHeight="1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</x:row>
    <x:row r="101" ht="24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</x:row>
    <x:row r="102" ht="24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</x:row>
    <x:row r="103" ht="24" customHeight="1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</x:row>
    <x:row r="104" ht="24" customHeight="1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</x:row>
    <x:row r="105" ht="24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</x:row>
    <x:row r="106" ht="24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</x:row>
    <x:row r="107" ht="24" customHeight="1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</x:row>
    <x:row r="108" ht="24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</x:row>
    <x:row r="109" ht="24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</x:row>
    <x:row r="110" ht="24" customHeight="1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</x:row>
    <x:row r="111" ht="24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</x:row>
    <x:row r="112" ht="24" customHeight="1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</x:row>
    <x:row r="113" ht="24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</x:row>
    <x:row r="114" ht="24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</x:row>
    <x:row r="115" ht="24" customHeight="1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5E4B"/>
  </x:sheetPr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6" hidden="0" customWidth="1"/>
    <x:col min="2" max="2" width="43" hidden="0" customWidth="1"/>
    <x:col min="3" max="3" width="27" hidden="0" customWidth="1"/>
    <x:col min="4" max="4" width="11" hidden="0" customWidth="1"/>
    <x:col min="5" max="5" width="16" hidden="0" customWidth="1"/>
    <x:col min="6" max="6" width="19" hidden="0" customWidth="1"/>
    <x:col min="7" max="7" width="19" hidden="0" customWidth="1"/>
    <x:col min="8" max="8" width="19" hidden="0" customWidth="1"/>
    <x:col min="9" max="9" width="18" hidden="0" customWidth="1"/>
    <x:col min="10" max="10" width="25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3" t="str">
        <x:v>Historia eléctrica por actividad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4" customHeight="1">
      <x:c r="A3" s="2" t="str">
        <x:v>GUMAs + AUTO. 56 meses completos: enero 2022-agosto 2026. Septiembre parcial, 1-23.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 t="str">
        <x:v>Promedios de todos los días. Usuarios vigentes, no panel fijo. No equivale a GUMA/GUME/GUDI.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 ht="24" customHeight="1">
      <x:c r="A5" s="2" t="str">
        <x:v>https://cammesaweb.cammesa.com/download/base-de-datos-2/?wpdmdl=39428</x:v>
      </x:c>
      <x:c r="B5" s="2"/>
      <x:c r="C5" s="2"/>
      <x:c r="D5" s="2"/>
      <x:c r="E5" s="2"/>
      <x:c r="F5" s="2"/>
      <x:c r="G5" s="2"/>
      <x:c r="H5" s="2"/>
      <x:c r="I5" s="2"/>
      <x:c r="J5" s="2"/>
    </x:row>
    <x:row r="6" ht="24" customHeight="1">
      <x:c r="A6" s="2" t="str">
        <x:v>Fuente: hoja Base Detalle diaria GUMAs ACT. Columnas I:X, excluyendo subtotales. Captura 26/09/2026.</x:v>
      </x:c>
      <x:c r="B6" s="2"/>
      <x:c r="C6" s="2"/>
      <x:c r="D6" s="2"/>
      <x:c r="E6" s="2"/>
      <x:c r="F6" s="2"/>
      <x:c r="G6" s="2"/>
      <x:c r="H6" s="2"/>
      <x:c r="I6" s="2"/>
      <x:c r="J6" s="2"/>
    </x:row>
    <x:row r="7" ht="24" customHeight="1">
      <x:c r="A7" s="2" t="str">
        <x:v>Agosto: PDF 17/09 = 2.293,1 MW; PDF 24/09 = 2.295,2 MW; esta base = 2.292,0 MW. Causa sin confirmar.</x:v>
      </x:c>
      <x:c r="B7" s="2"/>
      <x:c r="C7" s="2"/>
      <x:c r="D7" s="2"/>
      <x:c r="E7" s="2"/>
      <x:c r="F7" s="2"/>
      <x:c r="G7" s="2"/>
      <x:c r="H7" s="2"/>
      <x:c r="I7" s="2"/>
      <x:c r="J7" s="2"/>
    </x:row>
    <x:row r="8" ht="24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</x:row>
    <x:row r="9" ht="42" customHeight="1">
      <x:c r="A9" s="60" t="str">
        <x:v>Mes</x:v>
      </x:c>
      <x:c r="B9" s="60" t="str">
        <x:v>Actividad</x:v>
      </x:c>
      <x:c r="C9" s="60" t="str">
        <x:v>Rama</x:v>
      </x:c>
      <x:c r="D9" s="60" t="str">
        <x:v>Días</x:v>
      </x:c>
      <x:c r="E9" s="60" t="str">
        <x:v>Período</x:v>
      </x:c>
      <x:c r="F9" s="60" t="str">
        <x:v>MW medios</x:v>
      </x:c>
      <x:c r="G9" s="60" t="str">
        <x:v>MW año anterior</x:v>
      </x:c>
      <x:c r="H9" s="60" t="str">
        <x:v>Interanual</x:v>
      </x:c>
      <x:c r="I9" s="60" t="str">
        <x:v>% de rama</x:v>
      </x:c>
      <x:c r="J9" s="60" t="str">
        <x:v>Rama MW medios</x:v>
      </x:c>
    </x:row>
    <x:row r="10" ht="65" customHeight="1">
      <x:c r="A10" s="61" t="n">
        <x:v>44562</x:v>
      </x:c>
      <x:c r="B10" s="32" t="str">
        <x:v>Cargas y puertos</x:v>
      </x:c>
      <x:c r="C10" s="32" t="str">
        <x:v>Alimentación, comercios y servicios</x:v>
      </x:c>
      <x:c r="D10" s="62" t="n">
        <x:v>31</x:v>
      </x:c>
      <x:c r="E10" s="2" t="str">
        <x:v>Completo</x:v>
      </x:c>
      <x:c r="F10" s="56" t="n">
        <x:v>9.15655510752688</x:v>
      </x:c>
      <x:c r="G10" s="56" t="str">
        <x:f>"n.a."</x:f>
        <x:v>n.a.</x:v>
      </x:c>
      <x:c r="H10" s="57" t="str">
        <x:f>IF(ISNUMBER(G10),IF(G10=0,"n.a.",F10/G10-1),"n.a.")</x:f>
        <x:v>n.a.</x:v>
      </x:c>
      <x:c r="I10" s="58" t="n">
        <x:f>F10/J10</x:f>
        <x:v>0.024224444027575166</x:v>
      </x:c>
      <x:c r="J10" s="56" t="n">
        <x:v>377.988245967742</x:v>
      </x:c>
    </x:row>
    <x:row r="11" ht="65" customHeight="1">
      <x:c r="A11" s="61" t="n">
        <x:v>44562</x:v>
      </x:c>
      <x:c r="B11" s="32" t="str">
        <x:v>Comercio y servicios: principalmente supermercados y centros comerciales</x:v>
      </x:c>
      <x:c r="C11" s="32" t="str">
        <x:v>Alimentación, comercios y servicios</x:v>
      </x:c>
      <x:c r="D11" s="62" t="n">
        <x:v>31</x:v>
      </x:c>
      <x:c r="E11" s="2" t="str">
        <x:v>Completo</x:v>
      </x:c>
      <x:c r="F11" s="56" t="n">
        <x:v>34.46153897849462</x:v>
      </x:c>
      <x:c r="G11" s="56" t="str">
        <x:f>"n.a."</x:f>
        <x:v>n.a.</x:v>
      </x:c>
      <x:c r="H11" s="57" t="str">
        <x:f>IF(ISNUMBER(G11),IF(G11=0,"n.a.",F11/G11-1),"n.a.")</x:f>
        <x:v>n.a.</x:v>
      </x:c>
      <x:c r="I11" s="58" t="n">
        <x:f>F11/J11</x:f>
        <x:v>0.09117092752517922</x:v>
      </x:c>
      <x:c r="J11" s="56" t="n">
        <x:v>377.988245967742</x:v>
      </x:c>
    </x:row>
    <x:row r="12" ht="65" customHeight="1">
      <x:c r="A12" s="61" t="n">
        <x:v>44562</x:v>
      </x:c>
      <x:c r="B12" s="32" t="str">
        <x:v>Alimentación y artículos de consumo masivo</x:v>
      </x:c>
      <x:c r="C12" s="32" t="str">
        <x:v>Alimentación, comercios y servicios</x:v>
      </x:c>
      <x:c r="D12" s="62" t="n">
        <x:v>31</x:v>
      </x:c>
      <x:c r="E12" s="2" t="str">
        <x:v>Completo</x:v>
      </x:c>
      <x:c r="F12" s="56" t="n">
        <x:v>252.2577674731183</x:v>
      </x:c>
      <x:c r="G12" s="56" t="str">
        <x:f>"n.a."</x:f>
        <x:v>n.a.</x:v>
      </x:c>
      <x:c r="H12" s="57" t="str">
        <x:f>IF(ISNUMBER(G12),IF(G12=0,"n.a.",F12/G12-1),"n.a.")</x:f>
        <x:v>n.a.</x:v>
      </x:c>
      <x:c r="I12" s="58" t="n">
        <x:f>F12/J12</x:f>
        <x:v>0.6673693432643043</x:v>
      </x:c>
      <x:c r="J12" s="56" t="n">
        <x:v>377.988245967742</x:v>
      </x:c>
    </x:row>
    <x:row r="13" ht="65" customHeight="1">
      <x:c r="A13" s="61" t="n">
        <x:v>44562</x:v>
      </x:c>
      <x:c r="B13" s="32" t="str">
        <x:v>Servicios públicos y transporte: agua y transporte en GBA</x:v>
      </x:c>
      <x:c r="C13" s="32" t="str">
        <x:v>Alimentación, comercios y servicios</x:v>
      </x:c>
      <x:c r="D13" s="62" t="n">
        <x:v>31</x:v>
      </x:c>
      <x:c r="E13" s="2" t="str">
        <x:v>Completo</x:v>
      </x:c>
      <x:c r="F13" s="56" t="n">
        <x:v>82.11238440860215</x:v>
      </x:c>
      <x:c r="G13" s="56" t="str">
        <x:f>"n.a."</x:f>
        <x:v>n.a.</x:v>
      </x:c>
      <x:c r="H13" s="57" t="str">
        <x:f>IF(ISNUMBER(G13),IF(G13=0,"n.a.",F13/G13-1),"n.a.")</x:f>
        <x:v>n.a.</x:v>
      </x:c>
      <x:c r="I13" s="58" t="n">
        <x:f>F13/J13</x:f>
        <x:v>0.2172352851829412</x:v>
      </x:c>
      <x:c r="J13" s="56" t="n">
        <x:v>377.988245967742</x:v>
      </x:c>
    </x:row>
    <x:row r="14" ht="65" customHeight="1">
      <x:c r="A14" s="61" t="n">
        <x:v>44562</x:v>
      </x:c>
      <x:c r="B14" s="32" t="str">
        <x:v>Industria automotriz</x:v>
      </x:c>
      <x:c r="C14" s="32" t="str">
        <x:v>Industrias sin Aluar</x:v>
      </x:c>
      <x:c r="D14" s="62" t="n">
        <x:v>31</x:v>
      </x:c>
      <x:c r="E14" s="2" t="str">
        <x:v>Completo</x:v>
      </x:c>
      <x:c r="F14" s="56" t="n">
        <x:v>27.15961559139785</x:v>
      </x:c>
      <x:c r="G14" s="56" t="str">
        <x:f>"n.a."</x:f>
        <x:v>n.a.</x:v>
      </x:c>
      <x:c r="H14" s="57" t="str">
        <x:f>IF(ISNUMBER(G14),IF(G14=0,"n.a.",F14/G14-1),"n.a.")</x:f>
        <x:v>n.a.</x:v>
      </x:c>
      <x:c r="I14" s="58" t="n">
        <x:f>F14/J14</x:f>
        <x:v>0.023605175929647733</x:v>
      </x:c>
      <x:c r="J14" s="56" t="n">
        <x:v>1150.5788252688171</x:v>
      </x:c>
    </x:row>
    <x:row r="15" ht="65" customHeight="1">
      <x:c r="A15" s="61" t="n">
        <x:v>44562</x:v>
      </x:c>
      <x:c r="B15" s="32" t="str">
        <x:v>Derivados de petróleo</x:v>
      </x:c>
      <x:c r="C15" s="32" t="str">
        <x:v>Industrias sin Aluar</x:v>
      </x:c>
      <x:c r="D15" s="62" t="n">
        <x:v>31</x:v>
      </x:c>
      <x:c r="E15" s="2" t="str">
        <x:v>Completo</x:v>
      </x:c>
      <x:c r="F15" s="56" t="n">
        <x:v>166.43643279569895</x:v>
      </x:c>
      <x:c r="G15" s="56" t="str">
        <x:f>"n.a."</x:f>
        <x:v>n.a.</x:v>
      </x:c>
      <x:c r="H15" s="57" t="str">
        <x:f>IF(ISNUMBER(G15),IF(G15=0,"n.a.",F15/G15-1),"n.a.")</x:f>
        <x:v>n.a.</x:v>
      </x:c>
      <x:c r="I15" s="58" t="n">
        <x:f>F15/J15</x:f>
        <x:v>0.14465452443626653</x:v>
      </x:c>
      <x:c r="J15" s="56" t="n">
        <x:v>1150.5788252688171</x:v>
      </x:c>
    </x:row>
    <x:row r="16" ht="65" customHeight="1">
      <x:c r="A16" s="61" t="n">
        <x:v>44562</x:v>
      </x:c>
      <x:c r="B16" s="32" t="str">
        <x:v>Construcción: elaboración de cemento y canteras</x:v>
      </x:c>
      <x:c r="C16" s="32" t="str">
        <x:v>Industrias sin Aluar</x:v>
      </x:c>
      <x:c r="D16" s="62" t="n">
        <x:v>31</x:v>
      </x:c>
      <x:c r="E16" s="2" t="str">
        <x:v>Completo</x:v>
      </x:c>
      <x:c r="F16" s="56" t="n">
        <x:v>169.1680806451613</x:v>
      </x:c>
      <x:c r="G16" s="56" t="str">
        <x:f>"n.a."</x:f>
        <x:v>n.a.</x:v>
      </x:c>
      <x:c r="H16" s="57" t="str">
        <x:f>IF(ISNUMBER(G16),IF(G16=0,"n.a.",F16/G16-1),"n.a.")</x:f>
        <x:v>n.a.</x:v>
      </x:c>
      <x:c r="I16" s="58" t="n">
        <x:f>F16/J16</x:f>
        <x:v>0.14702867541964149</x:v>
      </x:c>
      <x:c r="J16" s="56" t="n">
        <x:v>1150.5788252688171</x:v>
      </x:c>
    </x:row>
    <x:row r="17" ht="65" customHeight="1">
      <x:c r="A17" s="61" t="n">
        <x:v>44562</x:v>
      </x:c>
      <x:c r="B17" s="32" t="str">
        <x:v>Madera y papel</x:v>
      </x:c>
      <x:c r="C17" s="32" t="str">
        <x:v>Industrias sin Aluar</x:v>
      </x:c>
      <x:c r="D17" s="62" t="n">
        <x:v>31</x:v>
      </x:c>
      <x:c r="E17" s="2" t="str">
        <x:v>Completo</x:v>
      </x:c>
      <x:c r="F17" s="56" t="n">
        <x:v>102.87712499999999</x:v>
      </x:c>
      <x:c r="G17" s="56" t="str">
        <x:f>"n.a."</x:f>
        <x:v>n.a.</x:v>
      </x:c>
      <x:c r="H17" s="57" t="str">
        <x:f>IF(ISNUMBER(G17),IF(G17=0,"n.a.",F17/G17-1),"n.a.")</x:f>
        <x:v>n.a.</x:v>
      </x:c>
      <x:c r="I17" s="58" t="n">
        <x:f>F17/J17</x:f>
        <x:v>0.08941336546495555</x:v>
      </x:c>
      <x:c r="J17" s="56" t="n">
        <x:v>1150.5788252688171</x:v>
      </x:c>
    </x:row>
    <x:row r="18" ht="65" customHeight="1">
      <x:c r="A18" s="61" t="n">
        <x:v>44562</x:v>
      </x:c>
      <x:c r="B18" s="32" t="str">
        <x:v>Productos metálicos no automotores</x:v>
      </x:c>
      <x:c r="C18" s="32" t="str">
        <x:v>Industrias sin Aluar</x:v>
      </x:c>
      <x:c r="D18" s="62" t="n">
        <x:v>31</x:v>
      </x:c>
      <x:c r="E18" s="2" t="str">
        <x:v>Completo</x:v>
      </x:c>
      <x:c r="F18" s="56" t="n">
        <x:v>54.45709274193548</x:v>
      </x:c>
      <x:c r="G18" s="56" t="str">
        <x:f>"n.a."</x:f>
        <x:v>n.a.</x:v>
      </x:c>
      <x:c r="H18" s="57" t="str">
        <x:f>IF(ISNUMBER(G18),IF(G18=0,"n.a.",F18/G18-1),"n.a.")</x:f>
        <x:v>n.a.</x:v>
      </x:c>
      <x:c r="I18" s="58" t="n">
        <x:f>F18/J18</x:f>
        <x:v>0.0473301711677271</x:v>
      </x:c>
      <x:c r="J18" s="56" t="n">
        <x:v>1150.5788252688171</x:v>
      </x:c>
    </x:row>
    <x:row r="19" ht="65" customHeight="1">
      <x:c r="A19" s="61" t="n">
        <x:v>44562</x:v>
      </x:c>
      <x:c r="B19" s="32" t="str">
        <x:v>Gran siderurgia</x:v>
      </x:c>
      <x:c r="C19" s="32" t="str">
        <x:v>Industrias sin Aluar</x:v>
      </x:c>
      <x:c r="D19" s="62" t="n">
        <x:v>31</x:v>
      </x:c>
      <x:c r="E19" s="2" t="str">
        <x:v>Completo</x:v>
      </x:c>
      <x:c r="F19" s="56" t="n">
        <x:v>255.77257258064515</x:v>
      </x:c>
      <x:c r="G19" s="56" t="str">
        <x:f>"n.a."</x:f>
        <x:v>n.a.</x:v>
      </x:c>
      <x:c r="H19" s="57" t="str">
        <x:f>IF(ISNUMBER(G19),IF(G19=0,"n.a.",F19/G19-1),"n.a.")</x:f>
        <x:v>n.a.</x:v>
      </x:c>
      <x:c r="I19" s="58" t="n">
        <x:f>F19/J19</x:f>
        <x:v>0.2222990437190493</x:v>
      </x:c>
      <x:c r="J19" s="56" t="n">
        <x:v>1150.5788252688171</x:v>
      </x:c>
    </x:row>
    <x:row r="20" ht="65" customHeight="1">
      <x:c r="A20" s="61" t="n">
        <x:v>44562</x:v>
      </x:c>
      <x:c r="B20" s="32" t="str">
        <x:v>Industria textil</x:v>
      </x:c>
      <x:c r="C20" s="32" t="str">
        <x:v>Industrias sin Aluar</x:v>
      </x:c>
      <x:c r="D20" s="62" t="n">
        <x:v>31</x:v>
      </x:c>
      <x:c r="E20" s="2" t="str">
        <x:v>Completo</x:v>
      </x:c>
      <x:c r="F20" s="56" t="n">
        <x:v>47.675805107526884</x:v>
      </x:c>
      <x:c r="G20" s="56" t="str">
        <x:f>"n.a."</x:f>
        <x:v>n.a.</x:v>
      </x:c>
      <x:c r="H20" s="57" t="str">
        <x:f>IF(ISNUMBER(G20),IF(G20=0,"n.a.",F20/G20-1),"n.a.")</x:f>
        <x:v>n.a.</x:v>
      </x:c>
      <x:c r="I20" s="58" t="n">
        <x:f>F20/J20</x:f>
        <x:v>0.04143636581908074</x:v>
      </x:c>
      <x:c r="J20" s="56" t="n">
        <x:v>1150.5788252688171</x:v>
      </x:c>
    </x:row>
    <x:row r="21" ht="65" customHeight="1">
      <x:c r="A21" s="61" t="n">
        <x:v>44562</x:v>
      </x:c>
      <x:c r="B21" s="32" t="str">
        <x:v>Químicas, caucho, plástico y otros minerales no metálicos</x:v>
      </x:c>
      <x:c r="C21" s="32" t="str">
        <x:v>Industrias sin Aluar</x:v>
      </x:c>
      <x:c r="D21" s="62" t="n">
        <x:v>31</x:v>
      </x:c>
      <x:c r="E21" s="2" t="str">
        <x:v>Completo</x:v>
      </x:c>
      <x:c r="F21" s="56" t="n">
        <x:v>327.0321008064516</x:v>
      </x:c>
      <x:c r="G21" s="56" t="str">
        <x:f>"n.a."</x:f>
        <x:v>n.a.</x:v>
      </x:c>
      <x:c r="H21" s="57" t="str">
        <x:f>IF(ISNUMBER(G21),IF(G21=0,"n.a.",F21/G21-1),"n.a.")</x:f>
        <x:v>n.a.</x:v>
      </x:c>
      <x:c r="I21" s="58" t="n">
        <x:f>F21/J21</x:f>
        <x:v>0.2842326780436316</x:v>
      </x:c>
      <x:c r="J21" s="56" t="n">
        <x:v>1150.5788252688171</x:v>
      </x:c>
    </x:row>
    <x:row r="22" ht="65" customHeight="1">
      <x:c r="A22" s="61" t="n">
        <x:v>44562</x:v>
      </x:c>
      <x:c r="B22" s="32" t="str">
        <x:v>Extracción de minerales</x:v>
      </x:c>
      <x:c r="C22" s="32" t="str">
        <x:v>Petróleos y minerales</x:v>
      </x:c>
      <x:c r="D22" s="62" t="n">
        <x:v>31</x:v>
      </x:c>
      <x:c r="E22" s="2" t="str">
        <x:v>Completo</x:v>
      </x:c>
      <x:c r="F22" s="56" t="n">
        <x:v>14.804048387096774</x:v>
      </x:c>
      <x:c r="G22" s="56" t="str">
        <x:f>"n.a."</x:f>
        <x:v>n.a.</x:v>
      </x:c>
      <x:c r="H22" s="57" t="str">
        <x:f>IF(ISNUMBER(G22),IF(G22=0,"n.a.",F22/G22-1),"n.a.")</x:f>
        <x:v>n.a.</x:v>
      </x:c>
      <x:c r="I22" s="58" t="n">
        <x:f>F22/J22</x:f>
        <x:v>0.08311393156765734</x:v>
      </x:c>
      <x:c r="J22" s="56" t="n">
        <x:v>178.11753225806453</x:v>
      </x:c>
    </x:row>
    <x:row r="23" ht="65" customHeight="1">
      <x:c r="A23" s="61" t="n">
        <x:v>44562</x:v>
      </x:c>
      <x:c r="B23" s="32" t="str">
        <x:v>Extracción de petróleo</x:v>
      </x:c>
      <x:c r="C23" s="32" t="str">
        <x:v>Petróleos y minerales</x:v>
      </x:c>
      <x:c r="D23" s="62" t="n">
        <x:v>31</x:v>
      </x:c>
      <x:c r="E23" s="2" t="str">
        <x:v>Completo</x:v>
      </x:c>
      <x:c r="F23" s="56" t="n">
        <x:v>163.31348387096773</x:v>
      </x:c>
      <x:c r="G23" s="56" t="str">
        <x:f>"n.a."</x:f>
        <x:v>n.a.</x:v>
      </x:c>
      <x:c r="H23" s="57" t="str">
        <x:f>IF(ISNUMBER(G23),IF(G23=0,"n.a.",F23/G23-1),"n.a.")</x:f>
        <x:v>n.a.</x:v>
      </x:c>
      <x:c r="I23" s="58" t="n">
        <x:f>F23/J23</x:f>
        <x:v>0.9168860684323425</x:v>
      </x:c>
      <x:c r="J23" s="56" t="n">
        <x:v>178.11753225806453</x:v>
      </x:c>
    </x:row>
    <x:row r="24" ht="65" customHeight="1">
      <x:c r="A24" s="61" t="n">
        <x:v>44593</x:v>
      </x:c>
      <x:c r="B24" s="32" t="str">
        <x:v>Cargas y puertos</x:v>
      </x:c>
      <x:c r="C24" s="32" t="str">
        <x:v>Alimentación, comercios y servicios</x:v>
      </x:c>
      <x:c r="D24" s="62" t="n">
        <x:v>28</x:v>
      </x:c>
      <x:c r="E24" s="2" t="str">
        <x:v>Completo</x:v>
      </x:c>
      <x:c r="F24" s="56" t="n">
        <x:v>8.332269345238094</x:v>
      </x:c>
      <x:c r="G24" s="56" t="str">
        <x:f>"n.a."</x:f>
        <x:v>n.a.</x:v>
      </x:c>
      <x:c r="H24" s="57" t="str">
        <x:f>IF(ISNUMBER(G24),IF(G24=0,"n.a.",F24/G24-1),"n.a.")</x:f>
        <x:v>n.a.</x:v>
      </x:c>
      <x:c r="I24" s="58" t="n">
        <x:f>F24/J24</x:f>
        <x:v>0.02066072033752179</x:v>
      </x:c>
      <x:c r="J24" s="56" t="n">
        <x:v>403.29036011904765</x:v>
      </x:c>
    </x:row>
    <x:row r="25" ht="65" customHeight="1">
      <x:c r="A25" s="61" t="n">
        <x:v>44593</x:v>
      </x:c>
      <x:c r="B25" s="32" t="str">
        <x:v>Comercio y servicios: principalmente supermercados y centros comerciales</x:v>
      </x:c>
      <x:c r="C25" s="32" t="str">
        <x:v>Alimentación, comercios y servicios</x:v>
      </x:c>
      <x:c r="D25" s="62" t="n">
        <x:v>28</x:v>
      </x:c>
      <x:c r="E25" s="2" t="str">
        <x:v>Completo</x:v>
      </x:c>
      <x:c r="F25" s="56" t="n">
        <x:v>32.13583035714286</x:v>
      </x:c>
      <x:c r="G25" s="56" t="str">
        <x:f>"n.a."</x:f>
        <x:v>n.a.</x:v>
      </x:c>
      <x:c r="H25" s="57" t="str">
        <x:f>IF(ISNUMBER(G25),IF(G25=0,"n.a.",F25/G25-1),"n.a.")</x:f>
        <x:v>n.a.</x:v>
      </x:c>
      <x:c r="I25" s="58" t="n">
        <x:f>F25/J25</x:f>
        <x:v>0.07968410241111802</x:v>
      </x:c>
      <x:c r="J25" s="56" t="n">
        <x:v>403.29036011904765</x:v>
      </x:c>
    </x:row>
    <x:row r="26" ht="65" customHeight="1">
      <x:c r="A26" s="61" t="n">
        <x:v>44593</x:v>
      </x:c>
      <x:c r="B26" s="32" t="str">
        <x:v>Alimentación y artículos de consumo masivo</x:v>
      </x:c>
      <x:c r="C26" s="32" t="str">
        <x:v>Alimentación, comercios y servicios</x:v>
      </x:c>
      <x:c r="D26" s="62" t="n">
        <x:v>28</x:v>
      </x:c>
      <x:c r="E26" s="2" t="str">
        <x:v>Completo</x:v>
      </x:c>
      <x:c r="F26" s="56" t="n">
        <x:v>280.3545535714286</x:v>
      </x:c>
      <x:c r="G26" s="56" t="str">
        <x:f>"n.a."</x:f>
        <x:v>n.a.</x:v>
      </x:c>
      <x:c r="H26" s="57" t="str">
        <x:f>IF(ISNUMBER(G26),IF(G26=0,"n.a.",F26/G26-1),"n.a.")</x:f>
        <x:v>n.a.</x:v>
      </x:c>
      <x:c r="I26" s="58" t="n">
        <x:f>F26/J26</x:f>
        <x:v>0.6951680012601107</x:v>
      </x:c>
      <x:c r="J26" s="56" t="n">
        <x:v>403.29036011904765</x:v>
      </x:c>
    </x:row>
    <x:row r="27" ht="65" customHeight="1">
      <x:c r="A27" s="61" t="n">
        <x:v>44593</x:v>
      </x:c>
      <x:c r="B27" s="32" t="str">
        <x:v>Servicios públicos y transporte: agua y transporte en GBA</x:v>
      </x:c>
      <x:c r="C27" s="32" t="str">
        <x:v>Alimentación, comercios y servicios</x:v>
      </x:c>
      <x:c r="D27" s="62" t="n">
        <x:v>28</x:v>
      </x:c>
      <x:c r="E27" s="2" t="str">
        <x:v>Completo</x:v>
      </x:c>
      <x:c r="F27" s="56" t="n">
        <x:v>82.4677068452381</x:v>
      </x:c>
      <x:c r="G27" s="56" t="str">
        <x:f>"n.a."</x:f>
        <x:v>n.a.</x:v>
      </x:c>
      <x:c r="H27" s="57" t="str">
        <x:f>IF(ISNUMBER(G27),IF(G27=0,"n.a.",F27/G27-1),"n.a.")</x:f>
        <x:v>n.a.</x:v>
      </x:c>
      <x:c r="I27" s="58" t="n">
        <x:f>F27/J27</x:f>
        <x:v>0.20448717599124952</x:v>
      </x:c>
      <x:c r="J27" s="56" t="n">
        <x:v>403.29036011904765</x:v>
      </x:c>
    </x:row>
    <x:row r="28" ht="65" customHeight="1">
      <x:c r="A28" s="61" t="n">
        <x:v>44593</x:v>
      </x:c>
      <x:c r="B28" s="32" t="str">
        <x:v>Industria automotriz</x:v>
      </x:c>
      <x:c r="C28" s="32" t="str">
        <x:v>Industrias sin Aluar</x:v>
      </x:c>
      <x:c r="D28" s="62" t="n">
        <x:v>28</x:v>
      </x:c>
      <x:c r="E28" s="2" t="str">
        <x:v>Completo</x:v>
      </x:c>
      <x:c r="F28" s="56" t="n">
        <x:v>37.02190773809524</x:v>
      </x:c>
      <x:c r="G28" s="56" t="str">
        <x:f>"n.a."</x:f>
        <x:v>n.a.</x:v>
      </x:c>
      <x:c r="H28" s="57" t="str">
        <x:f>IF(ISNUMBER(G28),IF(G28=0,"n.a.",F28/G28-1),"n.a.")</x:f>
        <x:v>n.a.</x:v>
      </x:c>
      <x:c r="I28" s="58" t="n">
        <x:f>F28/J28</x:f>
        <x:v>0.030416685383119726</x:v>
      </x:c>
      <x:c r="J28" s="56" t="n">
        <x:v>1217.1578616071426</x:v>
      </x:c>
    </x:row>
    <x:row r="29" ht="65" customHeight="1">
      <x:c r="A29" s="61" t="n">
        <x:v>44593</x:v>
      </x:c>
      <x:c r="B29" s="32" t="str">
        <x:v>Derivados de petróleo</x:v>
      </x:c>
      <x:c r="C29" s="32" t="str">
        <x:v>Industrias sin Aluar</x:v>
      </x:c>
      <x:c r="D29" s="62" t="n">
        <x:v>28</x:v>
      </x:c>
      <x:c r="E29" s="2" t="str">
        <x:v>Completo</x:v>
      </x:c>
      <x:c r="F29" s="56" t="n">
        <x:v>147.58782291666668</x:v>
      </x:c>
      <x:c r="G29" s="56" t="str">
        <x:f>"n.a."</x:f>
        <x:v>n.a.</x:v>
      </x:c>
      <x:c r="H29" s="57" t="str">
        <x:f>IF(ISNUMBER(G29),IF(G29=0,"n.a.",F29/G29-1),"n.a.")</x:f>
        <x:v>n.a.</x:v>
      </x:c>
      <x:c r="I29" s="58" t="n">
        <x:f>F29/J29</x:f>
        <x:v>0.12125610618970231</x:v>
      </x:c>
      <x:c r="J29" s="56" t="n">
        <x:v>1217.1578616071426</x:v>
      </x:c>
    </x:row>
    <x:row r="30" ht="65" customHeight="1">
      <x:c r="A30" s="61" t="n">
        <x:v>44593</x:v>
      </x:c>
      <x:c r="B30" s="32" t="str">
        <x:v>Construcción: elaboración de cemento y canteras</x:v>
      </x:c>
      <x:c r="C30" s="32" t="str">
        <x:v>Industrias sin Aluar</x:v>
      </x:c>
      <x:c r="D30" s="62" t="n">
        <x:v>28</x:v>
      </x:c>
      <x:c r="E30" s="2" t="str">
        <x:v>Completo</x:v>
      </x:c>
      <x:c r="F30" s="56" t="n">
        <x:v>177.95991220238096</x:v>
      </x:c>
      <x:c r="G30" s="56" t="str">
        <x:f>"n.a."</x:f>
        <x:v>n.a.</x:v>
      </x:c>
      <x:c r="H30" s="57" t="str">
        <x:f>IF(ISNUMBER(G30),IF(G30=0,"n.a.",F30/G30-1),"n.a.")</x:f>
        <x:v>n.a.</x:v>
      </x:c>
      <x:c r="I30" s="58" t="n">
        <x:f>F30/J30</x:f>
        <x:v>0.14620939305884417</x:v>
      </x:c>
      <x:c r="J30" s="56" t="n">
        <x:v>1217.1578616071426</x:v>
      </x:c>
    </x:row>
    <x:row r="31" ht="65" customHeight="1">
      <x:c r="A31" s="61" t="n">
        <x:v>44593</x:v>
      </x:c>
      <x:c r="B31" s="32" t="str">
        <x:v>Madera y papel</x:v>
      </x:c>
      <x:c r="C31" s="32" t="str">
        <x:v>Industrias sin Aluar</x:v>
      </x:c>
      <x:c r="D31" s="62" t="n">
        <x:v>28</x:v>
      </x:c>
      <x:c r="E31" s="2" t="str">
        <x:v>Completo</x:v>
      </x:c>
      <x:c r="F31" s="56" t="n">
        <x:v>110.09395833333333</x:v>
      </x:c>
      <x:c r="G31" s="56" t="str">
        <x:f>"n.a."</x:f>
        <x:v>n.a.</x:v>
      </x:c>
      <x:c r="H31" s="57" t="str">
        <x:f>IF(ISNUMBER(G31),IF(G31=0,"n.a.",F31/G31-1),"n.a.")</x:f>
        <x:v>n.a.</x:v>
      </x:c>
      <x:c r="I31" s="58" t="n">
        <x:f>F31/J31</x:f>
        <x:v>0.09045166761521353</x:v>
      </x:c>
      <x:c r="J31" s="56" t="n">
        <x:v>1217.1578616071426</x:v>
      </x:c>
    </x:row>
    <x:row r="32" ht="65" customHeight="1">
      <x:c r="A32" s="61" t="n">
        <x:v>44593</x:v>
      </x:c>
      <x:c r="B32" s="32" t="str">
        <x:v>Productos metálicos no automotores</x:v>
      </x:c>
      <x:c r="C32" s="32" t="str">
        <x:v>Industrias sin Aluar</x:v>
      </x:c>
      <x:c r="D32" s="62" t="n">
        <x:v>28</x:v>
      </x:c>
      <x:c r="E32" s="2" t="str">
        <x:v>Completo</x:v>
      </x:c>
      <x:c r="F32" s="56" t="n">
        <x:v>64.37421875</x:v>
      </x:c>
      <x:c r="G32" s="56" t="str">
        <x:f>"n.a."</x:f>
        <x:v>n.a.</x:v>
      </x:c>
      <x:c r="H32" s="57" t="str">
        <x:f>IF(ISNUMBER(G32),IF(G32=0,"n.a.",F32/G32-1),"n.a.")</x:f>
        <x:v>n.a.</x:v>
      </x:c>
      <x:c r="I32" s="58" t="n">
        <x:f>F32/J32</x:f>
        <x:v>0.05288896434929146</x:v>
      </x:c>
      <x:c r="J32" s="56" t="n">
        <x:v>1217.1578616071426</x:v>
      </x:c>
    </x:row>
    <x:row r="33" ht="65" customHeight="1">
      <x:c r="A33" s="61" t="n">
        <x:v>44593</x:v>
      </x:c>
      <x:c r="B33" s="32" t="str">
        <x:v>Gran siderurgia</x:v>
      </x:c>
      <x:c r="C33" s="32" t="str">
        <x:v>Industrias sin Aluar</x:v>
      </x:c>
      <x:c r="D33" s="62" t="n">
        <x:v>28</x:v>
      </x:c>
      <x:c r="E33" s="2" t="str">
        <x:v>Completo</x:v>
      </x:c>
      <x:c r="F33" s="56" t="n">
        <x:v>289.5002470238095</x:v>
      </x:c>
      <x:c r="G33" s="56" t="str">
        <x:f>"n.a."</x:f>
        <x:v>n.a.</x:v>
      </x:c>
      <x:c r="H33" s="57" t="str">
        <x:f>IF(ISNUMBER(G33),IF(G33=0,"n.a.",F33/G33-1),"n.a.")</x:f>
        <x:v>n.a.</x:v>
      </x:c>
      <x:c r="I33" s="58" t="n">
        <x:f>F33/J33</x:f>
        <x:v>0.2378493835150944</x:v>
      </x:c>
      <x:c r="J33" s="56" t="n">
        <x:v>1217.1578616071426</x:v>
      </x:c>
    </x:row>
    <x:row r="34" ht="65" customHeight="1">
      <x:c r="A34" s="61" t="n">
        <x:v>44593</x:v>
      </x:c>
      <x:c r="B34" s="32" t="str">
        <x:v>Industria textil</x:v>
      </x:c>
      <x:c r="C34" s="32" t="str">
        <x:v>Industrias sin Aluar</x:v>
      </x:c>
      <x:c r="D34" s="62" t="n">
        <x:v>28</x:v>
      </x:c>
      <x:c r="E34" s="2" t="str">
        <x:v>Completo</x:v>
      </x:c>
      <x:c r="F34" s="56" t="n">
        <x:v>64.0452261904762</x:v>
      </x:c>
      <x:c r="G34" s="56" t="str">
        <x:f>"n.a."</x:f>
        <x:v>n.a.</x:v>
      </x:c>
      <x:c r="H34" s="57" t="str">
        <x:f>IF(ISNUMBER(G34),IF(G34=0,"n.a.",F34/G34-1),"n.a.")</x:f>
        <x:v>n.a.</x:v>
      </x:c>
      <x:c r="I34" s="58" t="n">
        <x:f>F34/J34</x:f>
        <x:v>0.05261866863014013</x:v>
      </x:c>
      <x:c r="J34" s="56" t="n">
        <x:v>1217.1578616071426</x:v>
      </x:c>
    </x:row>
    <x:row r="35" ht="65" customHeight="1">
      <x:c r="A35" s="61" t="n">
        <x:v>44593</x:v>
      </x:c>
      <x:c r="B35" s="32" t="str">
        <x:v>Químicas, caucho, plástico y otros minerales no metálicos</x:v>
      </x:c>
      <x:c r="C35" s="32" t="str">
        <x:v>Industrias sin Aluar</x:v>
      </x:c>
      <x:c r="D35" s="62" t="n">
        <x:v>28</x:v>
      </x:c>
      <x:c r="E35" s="2" t="str">
        <x:v>Completo</x:v>
      </x:c>
      <x:c r="F35" s="56" t="n">
        <x:v>326.57456845238096</x:v>
      </x:c>
      <x:c r="G35" s="56" t="str">
        <x:f>"n.a."</x:f>
        <x:v>n.a.</x:v>
      </x:c>
      <x:c r="H35" s="57" t="str">
        <x:f>IF(ISNUMBER(G35),IF(G35=0,"n.a.",F35/G35-1),"n.a.")</x:f>
        <x:v>n.a.</x:v>
      </x:c>
      <x:c r="I35" s="58" t="n">
        <x:f>F35/J35</x:f>
        <x:v>0.26830913125859446</x:v>
      </x:c>
      <x:c r="J35" s="56" t="n">
        <x:v>1217.1578616071426</x:v>
      </x:c>
    </x:row>
    <x:row r="36" ht="65" customHeight="1">
      <x:c r="A36" s="61" t="n">
        <x:v>44593</x:v>
      </x:c>
      <x:c r="B36" s="32" t="str">
        <x:v>Extracción de minerales</x:v>
      </x:c>
      <x:c r="C36" s="32" t="str">
        <x:v>Petróleos y minerales</x:v>
      </x:c>
      <x:c r="D36" s="62" t="n">
        <x:v>28</x:v>
      </x:c>
      <x:c r="E36" s="2" t="str">
        <x:v>Completo</x:v>
      </x:c>
      <x:c r="F36" s="56" t="n">
        <x:v>16.29373363095238</x:v>
      </x:c>
      <x:c r="G36" s="56" t="str">
        <x:f>"n.a."</x:f>
        <x:v>n.a.</x:v>
      </x:c>
      <x:c r="H36" s="57" t="str">
        <x:f>IF(ISNUMBER(G36),IF(G36=0,"n.a.",F36/G36-1),"n.a.")</x:f>
        <x:v>n.a.</x:v>
      </x:c>
      <x:c r="I36" s="58" t="n">
        <x:f>F36/J36</x:f>
        <x:v>0.08894069145182143</x:v>
      </x:c>
      <x:c r="J36" s="56" t="n">
        <x:v>183.19773958333332</x:v>
      </x:c>
    </x:row>
    <x:row r="37" ht="65" customHeight="1">
      <x:c r="A37" s="61" t="n">
        <x:v>44593</x:v>
      </x:c>
      <x:c r="B37" s="32" t="str">
        <x:v>Extracción de petróleo</x:v>
      </x:c>
      <x:c r="C37" s="32" t="str">
        <x:v>Petróleos y minerales</x:v>
      </x:c>
      <x:c r="D37" s="62" t="n">
        <x:v>28</x:v>
      </x:c>
      <x:c r="E37" s="2" t="str">
        <x:v>Completo</x:v>
      </x:c>
      <x:c r="F37" s="56" t="n">
        <x:v>166.90400595238094</x:v>
      </x:c>
      <x:c r="G37" s="56" t="str">
        <x:f>"n.a."</x:f>
        <x:v>n.a.</x:v>
      </x:c>
      <x:c r="H37" s="57" t="str">
        <x:f>IF(ISNUMBER(G37),IF(G37=0,"n.a.",F37/G37-1),"n.a.")</x:f>
        <x:v>n.a.</x:v>
      </x:c>
      <x:c r="I37" s="58" t="n">
        <x:f>F37/J37</x:f>
        <x:v>0.9110593085481786</x:v>
      </x:c>
      <x:c r="J37" s="56" t="n">
        <x:v>183.19773958333332</x:v>
      </x:c>
    </x:row>
    <x:row r="38" ht="65" customHeight="1">
      <x:c r="A38" s="61" t="n">
        <x:v>44621</x:v>
      </x:c>
      <x:c r="B38" s="32" t="str">
        <x:v>Cargas y puertos</x:v>
      </x:c>
      <x:c r="C38" s="32" t="str">
        <x:v>Alimentación, comercios y servicios</x:v>
      </x:c>
      <x:c r="D38" s="62" t="n">
        <x:v>31</x:v>
      </x:c>
      <x:c r="E38" s="2" t="str">
        <x:v>Completo</x:v>
      </x:c>
      <x:c r="F38" s="56" t="n">
        <x:v>7.846103494623656</x:v>
      </x:c>
      <x:c r="G38" s="56" t="str">
        <x:f>"n.a."</x:f>
        <x:v>n.a.</x:v>
      </x:c>
      <x:c r="H38" s="57" t="str">
        <x:f>IF(ISNUMBER(G38),IF(G38=0,"n.a.",F38/G38-1),"n.a.")</x:f>
        <x:v>n.a.</x:v>
      </x:c>
      <x:c r="I38" s="58" t="n">
        <x:f>F38/J38</x:f>
        <x:v>0.019736788942953352</x:v>
      </x:c>
      <x:c r="J38" s="56" t="n">
        <x:v>397.53698118279567</x:v>
      </x:c>
    </x:row>
    <x:row r="39" ht="65" customHeight="1">
      <x:c r="A39" s="61" t="n">
        <x:v>44621</x:v>
      </x:c>
      <x:c r="B39" s="32" t="str">
        <x:v>Comercio y servicios: principalmente supermercados y centros comerciales</x:v>
      </x:c>
      <x:c r="C39" s="32" t="str">
        <x:v>Alimentación, comercios y servicios</x:v>
      </x:c>
      <x:c r="D39" s="62" t="n">
        <x:v>31</x:v>
      </x:c>
      <x:c r="E39" s="2" t="str">
        <x:v>Completo</x:v>
      </x:c>
      <x:c r="F39" s="56" t="n">
        <x:v>29.484176075268817</x:v>
      </x:c>
      <x:c r="G39" s="56" t="str">
        <x:f>"n.a."</x:f>
        <x:v>n.a.</x:v>
      </x:c>
      <x:c r="H39" s="57" t="str">
        <x:f>IF(ISNUMBER(G39),IF(G39=0,"n.a.",F39/G39-1),"n.a.")</x:f>
        <x:v>n.a.</x:v>
      </x:c>
      <x:c r="I39" s="58" t="n">
        <x:f>F39/J39</x:f>
        <x:v>0.07416712776643888</x:v>
      </x:c>
      <x:c r="J39" s="56" t="n">
        <x:v>397.53698118279567</x:v>
      </x:c>
    </x:row>
    <x:row r="40" ht="65" customHeight="1">
      <x:c r="A40" s="61" t="n">
        <x:v>44621</x:v>
      </x:c>
      <x:c r="B40" s="32" t="str">
        <x:v>Alimentación y artículos de consumo masivo</x:v>
      </x:c>
      <x:c r="C40" s="32" t="str">
        <x:v>Alimentación, comercios y servicios</x:v>
      </x:c>
      <x:c r="D40" s="62" t="n">
        <x:v>31</x:v>
      </x:c>
      <x:c r="E40" s="2" t="str">
        <x:v>Completo</x:v>
      </x:c>
      <x:c r="F40" s="56" t="n">
        <x:v>277.9242338709677</x:v>
      </x:c>
      <x:c r="G40" s="56" t="str">
        <x:f>"n.a."</x:f>
        <x:v>n.a.</x:v>
      </x:c>
      <x:c r="H40" s="57" t="str">
        <x:f>IF(ISNUMBER(G40),IF(G40=0,"n.a.",F40/G40-1),"n.a.")</x:f>
        <x:v>n.a.</x:v>
      </x:c>
      <x:c r="I40" s="58" t="n">
        <x:f>F40/J40</x:f>
        <x:v>0.6991154207693006</x:v>
      </x:c>
      <x:c r="J40" s="56" t="n">
        <x:v>397.53698118279567</x:v>
      </x:c>
    </x:row>
    <x:row r="41" ht="65" customHeight="1">
      <x:c r="A41" s="61" t="n">
        <x:v>44621</x:v>
      </x:c>
      <x:c r="B41" s="32" t="str">
        <x:v>Servicios públicos y transporte: agua y transporte en GBA</x:v>
      </x:c>
      <x:c r="C41" s="32" t="str">
        <x:v>Alimentación, comercios y servicios</x:v>
      </x:c>
      <x:c r="D41" s="62" t="n">
        <x:v>31</x:v>
      </x:c>
      <x:c r="E41" s="2" t="str">
        <x:v>Completo</x:v>
      </x:c>
      <x:c r="F41" s="56" t="n">
        <x:v>82.28246774193548</x:v>
      </x:c>
      <x:c r="G41" s="56" t="str">
        <x:f>"n.a."</x:f>
        <x:v>n.a.</x:v>
      </x:c>
      <x:c r="H41" s="57" t="str">
        <x:f>IF(ISNUMBER(G41),IF(G41=0,"n.a.",F41/G41-1),"n.a.")</x:f>
        <x:v>n.a.</x:v>
      </x:c>
      <x:c r="I41" s="58" t="n">
        <x:f>F41/J41</x:f>
        <x:v>0.2069806625213072</x:v>
      </x:c>
      <x:c r="J41" s="56" t="n">
        <x:v>397.53698118279567</x:v>
      </x:c>
    </x:row>
    <x:row r="42" ht="65" customHeight="1">
      <x:c r="A42" s="61" t="n">
        <x:v>44621</x:v>
      </x:c>
      <x:c r="B42" s="32" t="str">
        <x:v>Industria automotriz</x:v>
      </x:c>
      <x:c r="C42" s="32" t="str">
        <x:v>Industrias sin Aluar</x:v>
      </x:c>
      <x:c r="D42" s="62" t="n">
        <x:v>31</x:v>
      </x:c>
      <x:c r="E42" s="2" t="str">
        <x:v>Completo</x:v>
      </x:c>
      <x:c r="F42" s="56" t="n">
        <x:v>37.392795698924736</x:v>
      </x:c>
      <x:c r="G42" s="56" t="str">
        <x:f>"n.a."</x:f>
        <x:v>n.a.</x:v>
      </x:c>
      <x:c r="H42" s="57" t="str">
        <x:f>IF(ISNUMBER(G42),IF(G42=0,"n.a.",F42/G42-1),"n.a.")</x:f>
        <x:v>n.a.</x:v>
      </x:c>
      <x:c r="I42" s="58" t="n">
        <x:f>F42/J42</x:f>
        <x:v>0.028915673540251353</x:v>
      </x:c>
      <x:c r="J42" s="56" t="n">
        <x:v>1293.1670309139786</x:v>
      </x:c>
    </x:row>
    <x:row r="43" ht="65" customHeight="1">
      <x:c r="A43" s="61" t="n">
        <x:v>44621</x:v>
      </x:c>
      <x:c r="B43" s="32" t="str">
        <x:v>Derivados de petróleo</x:v>
      </x:c>
      <x:c r="C43" s="32" t="str">
        <x:v>Industrias sin Aluar</x:v>
      </x:c>
      <x:c r="D43" s="62" t="n">
        <x:v>31</x:v>
      </x:c>
      <x:c r="E43" s="2" t="str">
        <x:v>Completo</x:v>
      </x:c>
      <x:c r="F43" s="56" t="n">
        <x:v>164.19376478494624</x:v>
      </x:c>
      <x:c r="G43" s="56" t="str">
        <x:f>"n.a."</x:f>
        <x:v>n.a.</x:v>
      </x:c>
      <x:c r="H43" s="57" t="str">
        <x:f>IF(ISNUMBER(G43),IF(G43=0,"n.a.",F43/G43-1),"n.a.")</x:f>
        <x:v>n.a.</x:v>
      </x:c>
      <x:c r="I43" s="58" t="n">
        <x:f>F43/J43</x:f>
        <x:v>0.12697026823278826</x:v>
      </x:c>
      <x:c r="J43" s="56" t="n">
        <x:v>1293.1670309139786</x:v>
      </x:c>
    </x:row>
    <x:row r="44" ht="65" customHeight="1">
      <x:c r="A44" s="61" t="n">
        <x:v>44621</x:v>
      </x:c>
      <x:c r="B44" s="32" t="str">
        <x:v>Construcción: elaboración de cemento y canteras</x:v>
      </x:c>
      <x:c r="C44" s="32" t="str">
        <x:v>Industrias sin Aluar</x:v>
      </x:c>
      <x:c r="D44" s="62" t="n">
        <x:v>31</x:v>
      </x:c>
      <x:c r="E44" s="2" t="str">
        <x:v>Completo</x:v>
      </x:c>
      <x:c r="F44" s="56" t="n">
        <x:v>173.1340806451613</x:v>
      </x:c>
      <x:c r="G44" s="56" t="str">
        <x:f>"n.a."</x:f>
        <x:v>n.a.</x:v>
      </x:c>
      <x:c r="H44" s="57" t="str">
        <x:f>IF(ISNUMBER(G44),IF(G44=0,"n.a.",F44/G44-1),"n.a.")</x:f>
        <x:v>n.a.</x:v>
      </x:c>
      <x:c r="I44" s="58" t="n">
        <x:f>F44/J44</x:f>
        <x:v>0.1338837725570489</x:v>
      </x:c>
      <x:c r="J44" s="56" t="n">
        <x:v>1293.1670309139786</x:v>
      </x:c>
    </x:row>
    <x:row r="45" ht="65" customHeight="1">
      <x:c r="A45" s="61" t="n">
        <x:v>44621</x:v>
      </x:c>
      <x:c r="B45" s="32" t="str">
        <x:v>Madera y papel</x:v>
      </x:c>
      <x:c r="C45" s="32" t="str">
        <x:v>Industrias sin Aluar</x:v>
      </x:c>
      <x:c r="D45" s="62" t="n">
        <x:v>31</x:v>
      </x:c>
      <x:c r="E45" s="2" t="str">
        <x:v>Completo</x:v>
      </x:c>
      <x:c r="F45" s="56" t="n">
        <x:v>105.10348521505377</x:v>
      </x:c>
      <x:c r="G45" s="56" t="str">
        <x:f>"n.a."</x:f>
        <x:v>n.a.</x:v>
      </x:c>
      <x:c r="H45" s="57" t="str">
        <x:f>IF(ISNUMBER(G45),IF(G45=0,"n.a.",F45/G45-1),"n.a.")</x:f>
        <x:v>n.a.</x:v>
      </x:c>
      <x:c r="I45" s="58" t="n">
        <x:f>F45/J45</x:f>
        <x:v>0.08127603217719617</x:v>
      </x:c>
      <x:c r="J45" s="56" t="n">
        <x:v>1293.1670309139786</x:v>
      </x:c>
    </x:row>
    <x:row r="46" ht="65" customHeight="1">
      <x:c r="A46" s="61" t="n">
        <x:v>44621</x:v>
      </x:c>
      <x:c r="B46" s="32" t="str">
        <x:v>Productos metálicos no automotores</x:v>
      </x:c>
      <x:c r="C46" s="32" t="str">
        <x:v>Industrias sin Aluar</x:v>
      </x:c>
      <x:c r="D46" s="62" t="n">
        <x:v>31</x:v>
      </x:c>
      <x:c r="E46" s="2" t="str">
        <x:v>Completo</x:v>
      </x:c>
      <x:c r="F46" s="56" t="n">
        <x:v>62.94465725806452</x:v>
      </x:c>
      <x:c r="G46" s="56" t="str">
        <x:f>"n.a."</x:f>
        <x:v>n.a.</x:v>
      </x:c>
      <x:c r="H46" s="57" t="str">
        <x:f>IF(ISNUMBER(G46),IF(G46=0,"n.a.",F46/G46-1),"n.a.")</x:f>
        <x:v>n.a.</x:v>
      </x:c>
      <x:c r="I46" s="58" t="n">
        <x:f>F46/J46</x:f>
        <x:v>0.048674808244667966</x:v>
      </x:c>
      <x:c r="J46" s="56" t="n">
        <x:v>1293.1670309139786</x:v>
      </x:c>
    </x:row>
    <x:row r="47" ht="65" customHeight="1">
      <x:c r="A47" s="61" t="n">
        <x:v>44621</x:v>
      </x:c>
      <x:c r="B47" s="32" t="str">
        <x:v>Gran siderurgia</x:v>
      </x:c>
      <x:c r="C47" s="32" t="str">
        <x:v>Industrias sin Aluar</x:v>
      </x:c>
      <x:c r="D47" s="62" t="n">
        <x:v>31</x:v>
      </x:c>
      <x:c r="E47" s="2" t="str">
        <x:v>Completo</x:v>
      </x:c>
      <x:c r="F47" s="56" t="n">
        <x:v>330.94274462365587</x:v>
      </x:c>
      <x:c r="G47" s="56" t="str">
        <x:f>"n.a."</x:f>
        <x:v>n.a.</x:v>
      </x:c>
      <x:c r="H47" s="57" t="str">
        <x:f>IF(ISNUMBER(G47),IF(G47=0,"n.a.",F47/G47-1),"n.a.")</x:f>
        <x:v>n.a.</x:v>
      </x:c>
      <x:c r="I47" s="58" t="n">
        <x:f>F47/J47</x:f>
        <x:v>0.25591647228258957</x:v>
      </x:c>
      <x:c r="J47" s="56" t="n">
        <x:v>1293.1670309139786</x:v>
      </x:c>
    </x:row>
    <x:row r="48" ht="65" customHeight="1">
      <x:c r="A48" s="61" t="n">
        <x:v>44621</x:v>
      </x:c>
      <x:c r="B48" s="32" t="str">
        <x:v>Industria textil</x:v>
      </x:c>
      <x:c r="C48" s="32" t="str">
        <x:v>Industrias sin Aluar</x:v>
      </x:c>
      <x:c r="D48" s="62" t="n">
        <x:v>31</x:v>
      </x:c>
      <x:c r="E48" s="2" t="str">
        <x:v>Completo</x:v>
      </x:c>
      <x:c r="F48" s="56" t="n">
        <x:v>63.16328225806452</x:v>
      </x:c>
      <x:c r="G48" s="56" t="str">
        <x:f>"n.a."</x:f>
        <x:v>n.a.</x:v>
      </x:c>
      <x:c r="H48" s="57" t="str">
        <x:f>IF(ISNUMBER(G48),IF(G48=0,"n.a.",F48/G48-1),"n.a.")</x:f>
        <x:v>n.a.</x:v>
      </x:c>
      <x:c r="I48" s="58" t="n">
        <x:f>F48/J48</x:f>
        <x:v>0.04884386993180786</x:v>
      </x:c>
      <x:c r="J48" s="56" t="n">
        <x:v>1293.1670309139786</x:v>
      </x:c>
    </x:row>
    <x:row r="49" ht="65" customHeight="1">
      <x:c r="A49" s="61" t="n">
        <x:v>44621</x:v>
      </x:c>
      <x:c r="B49" s="32" t="str">
        <x:v>Químicas, caucho, plástico y otros minerales no metálicos</x:v>
      </x:c>
      <x:c r="C49" s="32" t="str">
        <x:v>Industrias sin Aluar</x:v>
      </x:c>
      <x:c r="D49" s="62" t="n">
        <x:v>31</x:v>
      </x:c>
      <x:c r="E49" s="2" t="str">
        <x:v>Completo</x:v>
      </x:c>
      <x:c r="F49" s="56" t="n">
        <x:v>356.29222043010753</x:v>
      </x:c>
      <x:c r="G49" s="56" t="str">
        <x:f>"n.a."</x:f>
        <x:v>n.a.</x:v>
      </x:c>
      <x:c r="H49" s="57" t="str">
        <x:f>IF(ISNUMBER(G49),IF(G49=0,"n.a.",F49/G49-1),"n.a.")</x:f>
        <x:v>n.a.</x:v>
      </x:c>
      <x:c r="I49" s="58" t="n">
        <x:f>F49/J49</x:f>
        <x:v>0.27551910303364985</x:v>
      </x:c>
      <x:c r="J49" s="56" t="n">
        <x:v>1293.1670309139786</x:v>
      </x:c>
    </x:row>
    <x:row r="50" ht="65" customHeight="1">
      <x:c r="A50" s="61" t="n">
        <x:v>44621</x:v>
      </x:c>
      <x:c r="B50" s="32" t="str">
        <x:v>Extracción de minerales</x:v>
      </x:c>
      <x:c r="C50" s="32" t="str">
        <x:v>Petróleos y minerales</x:v>
      </x:c>
      <x:c r="D50" s="62" t="n">
        <x:v>31</x:v>
      </x:c>
      <x:c r="E50" s="2" t="str">
        <x:v>Completo</x:v>
      </x:c>
      <x:c r="F50" s="56" t="n">
        <x:v>17.75885752688172</x:v>
      </x:c>
      <x:c r="G50" s="56" t="str">
        <x:f>"n.a."</x:f>
        <x:v>n.a.</x:v>
      </x:c>
      <x:c r="H50" s="57" t="str">
        <x:f>IF(ISNUMBER(G50),IF(G50=0,"n.a.",F50/G50-1),"n.a.")</x:f>
        <x:v>n.a.</x:v>
      </x:c>
      <x:c r="I50" s="58" t="n">
        <x:f>F50/J50</x:f>
        <x:v>0.09456292540635962</x:v>
      </x:c>
      <x:c r="J50" s="56" t="n">
        <x:v>187.79936693548387</x:v>
      </x:c>
    </x:row>
    <x:row r="51" ht="65" customHeight="1">
      <x:c r="A51" s="61" t="n">
        <x:v>44621</x:v>
      </x:c>
      <x:c r="B51" s="32" t="str">
        <x:v>Extracción de petróleo</x:v>
      </x:c>
      <x:c r="C51" s="32" t="str">
        <x:v>Petróleos y minerales</x:v>
      </x:c>
      <x:c r="D51" s="62" t="n">
        <x:v>31</x:v>
      </x:c>
      <x:c r="E51" s="2" t="str">
        <x:v>Completo</x:v>
      </x:c>
      <x:c r="F51" s="56" t="n">
        <x:v>170.04050940860213</x:v>
      </x:c>
      <x:c r="G51" s="56" t="str">
        <x:f>"n.a."</x:f>
        <x:v>n.a.</x:v>
      </x:c>
      <x:c r="H51" s="57" t="str">
        <x:f>IF(ISNUMBER(G51),IF(G51=0,"n.a.",F51/G51-1),"n.a.")</x:f>
        <x:v>n.a.</x:v>
      </x:c>
      <x:c r="I51" s="58" t="n">
        <x:f>F51/J51</x:f>
        <x:v>0.9054370745936403</x:v>
      </x:c>
      <x:c r="J51" s="56" t="n">
        <x:v>187.79936693548387</x:v>
      </x:c>
    </x:row>
    <x:row r="52" ht="65" customHeight="1">
      <x:c r="A52" s="61" t="n">
        <x:v>44652</x:v>
      </x:c>
      <x:c r="B52" s="32" t="str">
        <x:v>Cargas y puertos</x:v>
      </x:c>
      <x:c r="C52" s="32" t="str">
        <x:v>Alimentación, comercios y servicios</x:v>
      </x:c>
      <x:c r="D52" s="62" t="n">
        <x:v>30</x:v>
      </x:c>
      <x:c r="E52" s="2" t="str">
        <x:v>Completo</x:v>
      </x:c>
      <x:c r="F52" s="56" t="n">
        <x:v>7.616648611111112</x:v>
      </x:c>
      <x:c r="G52" s="56" t="str">
        <x:f>"n.a."</x:f>
        <x:v>n.a.</x:v>
      </x:c>
      <x:c r="H52" s="57" t="str">
        <x:f>IF(ISNUMBER(G52),IF(G52=0,"n.a.",F52/G52-1),"n.a.")</x:f>
        <x:v>n.a.</x:v>
      </x:c>
      <x:c r="I52" s="58" t="n">
        <x:f>F52/J52</x:f>
        <x:v>0.018861247683227802</x:v>
      </x:c>
      <x:c r="J52" s="56" t="n">
        <x:v>403.82527916666663</x:v>
      </x:c>
    </x:row>
    <x:row r="53" ht="65" customHeight="1">
      <x:c r="A53" s="61" t="n">
        <x:v>44652</x:v>
      </x:c>
      <x:c r="B53" s="32" t="str">
        <x:v>Comercio y servicios: principalmente supermercados y centros comerciales</x:v>
      </x:c>
      <x:c r="C53" s="32" t="str">
        <x:v>Alimentación, comercios y servicios</x:v>
      </x:c>
      <x:c r="D53" s="62" t="n">
        <x:v>30</x:v>
      </x:c>
      <x:c r="E53" s="2" t="str">
        <x:v>Completo</x:v>
      </x:c>
      <x:c r="F53" s="56" t="n">
        <x:v>26.603906944444443</x:v>
      </x:c>
      <x:c r="G53" s="56" t="str">
        <x:f>"n.a."</x:f>
        <x:v>n.a.</x:v>
      </x:c>
      <x:c r="H53" s="57" t="str">
        <x:f>IF(ISNUMBER(G53),IF(G53=0,"n.a.",F53/G53-1),"n.a.")</x:f>
        <x:v>n.a.</x:v>
      </x:c>
      <x:c r="I53" s="58" t="n">
        <x:f>F53/J53</x:f>
        <x:v>0.06587974630846348</x:v>
      </x:c>
      <x:c r="J53" s="56" t="n">
        <x:v>403.82527916666663</x:v>
      </x:c>
    </x:row>
    <x:row r="54" ht="65" customHeight="1">
      <x:c r="A54" s="61" t="n">
        <x:v>44652</x:v>
      </x:c>
      <x:c r="B54" s="32" t="str">
        <x:v>Alimentación y artículos de consumo masivo</x:v>
      </x:c>
      <x:c r="C54" s="32" t="str">
        <x:v>Alimentación, comercios y servicios</x:v>
      </x:c>
      <x:c r="D54" s="62" t="n">
        <x:v>30</x:v>
      </x:c>
      <x:c r="E54" s="2" t="str">
        <x:v>Completo</x:v>
      </x:c>
      <x:c r="F54" s="56" t="n">
        <x:v>286.55909722222225</x:v>
      </x:c>
      <x:c r="G54" s="56" t="str">
        <x:f>"n.a."</x:f>
        <x:v>n.a.</x:v>
      </x:c>
      <x:c r="H54" s="57" t="str">
        <x:f>IF(ISNUMBER(G54),IF(G54=0,"n.a.",F54/G54-1),"n.a.")</x:f>
        <x:v>n.a.</x:v>
      </x:c>
      <x:c r="I54" s="58" t="n">
        <x:f>F54/J54</x:f>
        <x:v>0.7096115870050663</x:v>
      </x:c>
      <x:c r="J54" s="56" t="n">
        <x:v>403.82527916666663</x:v>
      </x:c>
    </x:row>
    <x:row r="55" ht="65" customHeight="1">
      <x:c r="A55" s="61" t="n">
        <x:v>44652</x:v>
      </x:c>
      <x:c r="B55" s="32" t="str">
        <x:v>Servicios públicos y transporte: agua y transporte en GBA</x:v>
      </x:c>
      <x:c r="C55" s="32" t="str">
        <x:v>Alimentación, comercios y servicios</x:v>
      </x:c>
      <x:c r="D55" s="62" t="n">
        <x:v>30</x:v>
      </x:c>
      <x:c r="E55" s="2" t="str">
        <x:v>Completo</x:v>
      </x:c>
      <x:c r="F55" s="56" t="n">
        <x:v>83.04562638888889</x:v>
      </x:c>
      <x:c r="G55" s="56" t="str">
        <x:f>"n.a."</x:f>
        <x:v>n.a.</x:v>
      </x:c>
      <x:c r="H55" s="57" t="str">
        <x:f>IF(ISNUMBER(G55),IF(G55=0,"n.a.",F55/G55-1),"n.a.")</x:f>
        <x:v>n.a.</x:v>
      </x:c>
      <x:c r="I55" s="58" t="n">
        <x:f>F55/J55</x:f>
        <x:v>0.20564741900324257</x:v>
      </x:c>
      <x:c r="J55" s="56" t="n">
        <x:v>403.82527916666663</x:v>
      </x:c>
    </x:row>
    <x:row r="56" ht="65" customHeight="1">
      <x:c r="A56" s="61" t="n">
        <x:v>44652</x:v>
      </x:c>
      <x:c r="B56" s="32" t="str">
        <x:v>Industria automotriz</x:v>
      </x:c>
      <x:c r="C56" s="32" t="str">
        <x:v>Industrias sin Aluar</x:v>
      </x:c>
      <x:c r="D56" s="62" t="n">
        <x:v>30</x:v>
      </x:c>
      <x:c r="E56" s="2" t="str">
        <x:v>Completo</x:v>
      </x:c>
      <x:c r="F56" s="56" t="n">
        <x:v>35.554947222222225</x:v>
      </x:c>
      <x:c r="G56" s="56" t="str">
        <x:f>"n.a."</x:f>
        <x:v>n.a.</x:v>
      </x:c>
      <x:c r="H56" s="57" t="str">
        <x:f>IF(ISNUMBER(G56),IF(G56=0,"n.a.",F56/G56-1),"n.a.")</x:f>
        <x:v>n.a.</x:v>
      </x:c>
      <x:c r="I56" s="58" t="n">
        <x:f>F56/J56</x:f>
        <x:v>0.026799187398304832</x:v>
      </x:c>
      <x:c r="J56" s="56" t="n">
        <x:v>1326.7173625</x:v>
      </x:c>
    </x:row>
    <x:row r="57" ht="65" customHeight="1">
      <x:c r="A57" s="61" t="n">
        <x:v>44652</x:v>
      </x:c>
      <x:c r="B57" s="32" t="str">
        <x:v>Derivados de petróleo</x:v>
      </x:c>
      <x:c r="C57" s="32" t="str">
        <x:v>Industrias sin Aluar</x:v>
      </x:c>
      <x:c r="D57" s="62" t="n">
        <x:v>30</x:v>
      </x:c>
      <x:c r="E57" s="2" t="str">
        <x:v>Completo</x:v>
      </x:c>
      <x:c r="F57" s="56" t="n">
        <x:v>200.17178194444443</x:v>
      </x:c>
      <x:c r="G57" s="56" t="str">
        <x:f>"n.a."</x:f>
        <x:v>n.a.</x:v>
      </x:c>
      <x:c r="H57" s="57" t="str">
        <x:f>IF(ISNUMBER(G57),IF(G57=0,"n.a.",F57/G57-1),"n.a.")</x:f>
        <x:v>n.a.</x:v>
      </x:c>
      <x:c r="I57" s="58" t="n">
        <x:f>F57/J57</x:f>
        <x:v>0.1508774872496209</x:v>
      </x:c>
      <x:c r="J57" s="56" t="n">
        <x:v>1326.7173625</x:v>
      </x:c>
    </x:row>
    <x:row r="58" ht="65" customHeight="1">
      <x:c r="A58" s="61" t="n">
        <x:v>44652</x:v>
      </x:c>
      <x:c r="B58" s="32" t="str">
        <x:v>Construcción: elaboración de cemento y canteras</x:v>
      </x:c>
      <x:c r="C58" s="32" t="str">
        <x:v>Industrias sin Aluar</x:v>
      </x:c>
      <x:c r="D58" s="62" t="n">
        <x:v>30</x:v>
      </x:c>
      <x:c r="E58" s="2" t="str">
        <x:v>Completo</x:v>
      </x:c>
      <x:c r="F58" s="56" t="n">
        <x:v>174.80569027777776</x:v>
      </x:c>
      <x:c r="G58" s="56" t="str">
        <x:f>"n.a."</x:f>
        <x:v>n.a.</x:v>
      </x:c>
      <x:c r="H58" s="57" t="str">
        <x:f>IF(ISNUMBER(G58),IF(G58=0,"n.a.",F58/G58-1),"n.a.")</x:f>
        <x:v>n.a.</x:v>
      </x:c>
      <x:c r="I58" s="58" t="n">
        <x:f>F58/J58</x:f>
        <x:v>0.13175804826160006</x:v>
      </x:c>
      <x:c r="J58" s="56" t="n">
        <x:v>1326.7173625</x:v>
      </x:c>
    </x:row>
    <x:row r="59" ht="65" customHeight="1">
      <x:c r="A59" s="61" t="n">
        <x:v>44652</x:v>
      </x:c>
      <x:c r="B59" s="32" t="str">
        <x:v>Madera y papel</x:v>
      </x:c>
      <x:c r="C59" s="32" t="str">
        <x:v>Industrias sin Aluar</x:v>
      </x:c>
      <x:c r="D59" s="62" t="n">
        <x:v>30</x:v>
      </x:c>
      <x:c r="E59" s="2" t="str">
        <x:v>Completo</x:v>
      </x:c>
      <x:c r="F59" s="56" t="n">
        <x:v>104.13508888888889</x:v>
      </x:c>
      <x:c r="G59" s="56" t="str">
        <x:f>"n.a."</x:f>
        <x:v>n.a.</x:v>
      </x:c>
      <x:c r="H59" s="57" t="str">
        <x:f>IF(ISNUMBER(G59),IF(G59=0,"n.a.",F59/G59-1),"n.a.")</x:f>
        <x:v>n.a.</x:v>
      </x:c>
      <x:c r="I59" s="58" t="n">
        <x:f>F59/J59</x:f>
        <x:v>0.07849078623095873</x:v>
      </x:c>
      <x:c r="J59" s="56" t="n">
        <x:v>1326.7173625</x:v>
      </x:c>
    </x:row>
    <x:row r="60" ht="65" customHeight="1">
      <x:c r="A60" s="61" t="n">
        <x:v>44652</x:v>
      </x:c>
      <x:c r="B60" s="32" t="str">
        <x:v>Productos metálicos no automotores</x:v>
      </x:c>
      <x:c r="C60" s="32" t="str">
        <x:v>Industrias sin Aluar</x:v>
      </x:c>
      <x:c r="D60" s="62" t="n">
        <x:v>30</x:v>
      </x:c>
      <x:c r="E60" s="2" t="str">
        <x:v>Completo</x:v>
      </x:c>
      <x:c r="F60" s="56" t="n">
        <x:v>56.47754722222223</x:v>
      </x:c>
      <x:c r="G60" s="56" t="str">
        <x:f>"n.a."</x:f>
        <x:v>n.a.</x:v>
      </x:c>
      <x:c r="H60" s="57" t="str">
        <x:f>IF(ISNUMBER(G60),IF(G60=0,"n.a.",F60/G60-1),"n.a.")</x:f>
        <x:v>n.a.</x:v>
      </x:c>
      <x:c r="I60" s="58" t="n">
        <x:f>F60/J60</x:f>
        <x:v>0.042569388792650424</x:v>
      </x:c>
      <x:c r="J60" s="56" t="n">
        <x:v>1326.7173625</x:v>
      </x:c>
    </x:row>
    <x:row r="61" ht="65" customHeight="1">
      <x:c r="A61" s="61" t="n">
        <x:v>44652</x:v>
      </x:c>
      <x:c r="B61" s="32" t="str">
        <x:v>Gran siderurgia</x:v>
      </x:c>
      <x:c r="C61" s="32" t="str">
        <x:v>Industrias sin Aluar</x:v>
      </x:c>
      <x:c r="D61" s="62" t="n">
        <x:v>30</x:v>
      </x:c>
      <x:c r="E61" s="2" t="str">
        <x:v>Completo</x:v>
      </x:c>
      <x:c r="F61" s="56" t="n">
        <x:v>295.4892416666667</x:v>
      </x:c>
      <x:c r="G61" s="56" t="str">
        <x:f>"n.a."</x:f>
        <x:v>n.a.</x:v>
      </x:c>
      <x:c r="H61" s="57" t="str">
        <x:f>IF(ISNUMBER(G61),IF(G61=0,"n.a.",F61/G61-1),"n.a.")</x:f>
        <x:v>n.a.</x:v>
      </x:c>
      <x:c r="I61" s="58" t="n">
        <x:f>F61/J61</x:f>
        <x:v>0.22272207330569754</x:v>
      </x:c>
      <x:c r="J61" s="56" t="n">
        <x:v>1326.7173625</x:v>
      </x:c>
    </x:row>
    <x:row r="62" ht="65" customHeight="1">
      <x:c r="A62" s="61" t="n">
        <x:v>44652</x:v>
      </x:c>
      <x:c r="B62" s="32" t="str">
        <x:v>Industria textil</x:v>
      </x:c>
      <x:c r="C62" s="32" t="str">
        <x:v>Industrias sin Aluar</x:v>
      </x:c>
      <x:c r="D62" s="62" t="n">
        <x:v>30</x:v>
      </x:c>
      <x:c r="E62" s="2" t="str">
        <x:v>Completo</x:v>
      </x:c>
      <x:c r="F62" s="56" t="n">
        <x:v>61.509987499999994</x:v>
      </x:c>
      <x:c r="G62" s="56" t="str">
        <x:f>"n.a."</x:f>
        <x:v>n.a.</x:v>
      </x:c>
      <x:c r="H62" s="57" t="str">
        <x:f>IF(ISNUMBER(G62),IF(G62=0,"n.a.",F62/G62-1),"n.a.")</x:f>
        <x:v>n.a.</x:v>
      </x:c>
      <x:c r="I62" s="58" t="n">
        <x:f>F62/J62</x:f>
        <x:v>0.046362540536963835</x:v>
      </x:c>
      <x:c r="J62" s="56" t="n">
        <x:v>1326.7173625</x:v>
      </x:c>
    </x:row>
    <x:row r="63" ht="65" customHeight="1">
      <x:c r="A63" s="61" t="n">
        <x:v>44652</x:v>
      </x:c>
      <x:c r="B63" s="32" t="str">
        <x:v>Químicas, caucho, plástico y otros minerales no metálicos</x:v>
      </x:c>
      <x:c r="C63" s="32" t="str">
        <x:v>Industrias sin Aluar</x:v>
      </x:c>
      <x:c r="D63" s="62" t="n">
        <x:v>30</x:v>
      </x:c>
      <x:c r="E63" s="2" t="str">
        <x:v>Completo</x:v>
      </x:c>
      <x:c r="F63" s="56" t="n">
        <x:v>398.57307777777777</x:v>
      </x:c>
      <x:c r="G63" s="56" t="str">
        <x:f>"n.a."</x:f>
        <x:v>n.a.</x:v>
      </x:c>
      <x:c r="H63" s="57" t="str">
        <x:f>IF(ISNUMBER(G63),IF(G63=0,"n.a.",F63/G63-1),"n.a.")</x:f>
        <x:v>n.a.</x:v>
      </x:c>
      <x:c r="I63" s="58" t="n">
        <x:f>F63/J63</x:f>
        <x:v>0.30042048822420364</x:v>
      </x:c>
      <x:c r="J63" s="56" t="n">
        <x:v>1326.7173625</x:v>
      </x:c>
    </x:row>
    <x:row r="64" ht="65" customHeight="1">
      <x:c r="A64" s="61" t="n">
        <x:v>44652</x:v>
      </x:c>
      <x:c r="B64" s="32" t="str">
        <x:v>Extracción de minerales</x:v>
      </x:c>
      <x:c r="C64" s="32" t="str">
        <x:v>Petróleos y minerales</x:v>
      </x:c>
      <x:c r="D64" s="62" t="n">
        <x:v>30</x:v>
      </x:c>
      <x:c r="E64" s="2" t="str">
        <x:v>Completo</x:v>
      </x:c>
      <x:c r="F64" s="56" t="n">
        <x:v>18.193920833333333</x:v>
      </x:c>
      <x:c r="G64" s="56" t="str">
        <x:f>"n.a."</x:f>
        <x:v>n.a.</x:v>
      </x:c>
      <x:c r="H64" s="57" t="str">
        <x:f>IF(ISNUMBER(G64),IF(G64=0,"n.a.",F64/G64-1),"n.a.")</x:f>
        <x:v>n.a.</x:v>
      </x:c>
      <x:c r="I64" s="58" t="n">
        <x:f>F64/J64</x:f>
        <x:v>0.09021440062437325</x:v>
      </x:c>
      <x:c r="J64" s="56" t="n">
        <x:v>201.67424166666666</x:v>
      </x:c>
    </x:row>
    <x:row r="65" ht="65" customHeight="1">
      <x:c r="A65" s="61" t="n">
        <x:v>44652</x:v>
      </x:c>
      <x:c r="B65" s="32" t="str">
        <x:v>Extracción de petróleo</x:v>
      </x:c>
      <x:c r="C65" s="32" t="str">
        <x:v>Petróleos y minerales</x:v>
      </x:c>
      <x:c r="D65" s="62" t="n">
        <x:v>30</x:v>
      </x:c>
      <x:c r="E65" s="2" t="str">
        <x:v>Completo</x:v>
      </x:c>
      <x:c r="F65" s="56" t="n">
        <x:v>183.48032083333334</x:v>
      </x:c>
      <x:c r="G65" s="56" t="str">
        <x:f>"n.a."</x:f>
        <x:v>n.a.</x:v>
      </x:c>
      <x:c r="H65" s="57" t="str">
        <x:f>IF(ISNUMBER(G65),IF(G65=0,"n.a.",F65/G65-1),"n.a.")</x:f>
        <x:v>n.a.</x:v>
      </x:c>
      <x:c r="I65" s="58" t="n">
        <x:f>F65/J65</x:f>
        <x:v>0.9097855993756269</x:v>
      </x:c>
      <x:c r="J65" s="56" t="n">
        <x:v>201.67424166666666</x:v>
      </x:c>
    </x:row>
    <x:row r="66" ht="65" customHeight="1">
      <x:c r="A66" s="61" t="n">
        <x:v>44682</x:v>
      </x:c>
      <x:c r="B66" s="32" t="str">
        <x:v>Cargas y puertos</x:v>
      </x:c>
      <x:c r="C66" s="32" t="str">
        <x:v>Alimentación, comercios y servicios</x:v>
      </x:c>
      <x:c r="D66" s="62" t="n">
        <x:v>31</x:v>
      </x:c>
      <x:c r="E66" s="2" t="str">
        <x:v>Completo</x:v>
      </x:c>
      <x:c r="F66" s="56" t="n">
        <x:v>8.200380376344086</x:v>
      </x:c>
      <x:c r="G66" s="56" t="str">
        <x:f>"n.a."</x:f>
        <x:v>n.a.</x:v>
      </x:c>
      <x:c r="H66" s="57" t="str">
        <x:f>IF(ISNUMBER(G66),IF(G66=0,"n.a.",F66/G66-1),"n.a.")</x:f>
        <x:v>n.a.</x:v>
      </x:c>
      <x:c r="I66" s="58" t="n">
        <x:f>F66/J66</x:f>
        <x:v>0.02062616758037892</x:v>
      </x:c>
      <x:c r="J66" s="56" t="n">
        <x:v>397.57169354838715</x:v>
      </x:c>
    </x:row>
    <x:row r="67" ht="65" customHeight="1">
      <x:c r="A67" s="61" t="n">
        <x:v>44682</x:v>
      </x:c>
      <x:c r="B67" s="32" t="str">
        <x:v>Comercio y servicios: principalmente supermercados y centros comerciales</x:v>
      </x:c>
      <x:c r="C67" s="32" t="str">
        <x:v>Alimentación, comercios y servicios</x:v>
      </x:c>
      <x:c r="D67" s="62" t="n">
        <x:v>31</x:v>
      </x:c>
      <x:c r="E67" s="2" t="str">
        <x:v>Completo</x:v>
      </x:c>
      <x:c r="F67" s="56" t="n">
        <x:v>26.370419354838713</x:v>
      </x:c>
      <x:c r="G67" s="56" t="str">
        <x:f>"n.a."</x:f>
        <x:v>n.a.</x:v>
      </x:c>
      <x:c r="H67" s="57" t="str">
        <x:f>IF(ISNUMBER(G67),IF(G67=0,"n.a.",F67/G67-1),"n.a.")</x:f>
        <x:v>n.a.</x:v>
      </x:c>
      <x:c r="I67" s="58" t="n">
        <x:f>F67/J67</x:f>
        <x:v>0.06632871450046847</x:v>
      </x:c>
      <x:c r="J67" s="56" t="n">
        <x:v>397.57169354838715</x:v>
      </x:c>
    </x:row>
    <x:row r="68" ht="65" customHeight="1">
      <x:c r="A68" s="61" t="n">
        <x:v>44682</x:v>
      </x:c>
      <x:c r="B68" s="32" t="str">
        <x:v>Alimentación y artículos de consumo masivo</x:v>
      </x:c>
      <x:c r="C68" s="32" t="str">
        <x:v>Alimentación, comercios y servicios</x:v>
      </x:c>
      <x:c r="D68" s="62" t="n">
        <x:v>31</x:v>
      </x:c>
      <x:c r="E68" s="2" t="str">
        <x:v>Completo</x:v>
      </x:c>
      <x:c r="F68" s="56" t="n">
        <x:v>280.4532822580645</x:v>
      </x:c>
      <x:c r="G68" s="56" t="str">
        <x:f>"n.a."</x:f>
        <x:v>n.a.</x:v>
      </x:c>
      <x:c r="H68" s="57" t="str">
        <x:f>IF(ISNUMBER(G68),IF(G68=0,"n.a.",F68/G68-1),"n.a.")</x:f>
        <x:v>n.a.</x:v>
      </x:c>
      <x:c r="I68" s="58" t="n">
        <x:f>F68/J68</x:f>
        <x:v>0.7054156188912163</x:v>
      </x:c>
      <x:c r="J68" s="56" t="n">
        <x:v>397.57169354838715</x:v>
      </x:c>
    </x:row>
    <x:row r="69" ht="65" customHeight="1">
      <x:c r="A69" s="61" t="n">
        <x:v>44682</x:v>
      </x:c>
      <x:c r="B69" s="32" t="str">
        <x:v>Servicios públicos y transporte: agua y transporte en GBA</x:v>
      </x:c>
      <x:c r="C69" s="32" t="str">
        <x:v>Alimentación, comercios y servicios</x:v>
      </x:c>
      <x:c r="D69" s="62" t="n">
        <x:v>31</x:v>
      </x:c>
      <x:c r="E69" s="2" t="str">
        <x:v>Completo</x:v>
      </x:c>
      <x:c r="F69" s="56" t="n">
        <x:v>82.54761155913978</x:v>
      </x:c>
      <x:c r="G69" s="56" t="str">
        <x:f>"n.a."</x:f>
        <x:v>n.a.</x:v>
      </x:c>
      <x:c r="H69" s="57" t="str">
        <x:f>IF(ISNUMBER(G69),IF(G69=0,"n.a.",F69/G69-1),"n.a.")</x:f>
        <x:v>n.a.</x:v>
      </x:c>
      <x:c r="I69" s="58" t="n">
        <x:f>F69/J69</x:f>
        <x:v>0.20762949902793615</x:v>
      </x:c>
      <x:c r="J69" s="56" t="n">
        <x:v>397.57169354838715</x:v>
      </x:c>
    </x:row>
    <x:row r="70" ht="65" customHeight="1">
      <x:c r="A70" s="61" t="n">
        <x:v>44682</x:v>
      </x:c>
      <x:c r="B70" s="32" t="str">
        <x:v>Industria automotriz</x:v>
      </x:c>
      <x:c r="C70" s="32" t="str">
        <x:v>Industrias sin Aluar</x:v>
      </x:c>
      <x:c r="D70" s="62" t="n">
        <x:v>31</x:v>
      </x:c>
      <x:c r="E70" s="2" t="str">
        <x:v>Completo</x:v>
      </x:c>
      <x:c r="F70" s="56" t="n">
        <x:v>33.78188172043011</x:v>
      </x:c>
      <x:c r="G70" s="56" t="str">
        <x:f>"n.a."</x:f>
        <x:v>n.a.</x:v>
      </x:c>
      <x:c r="H70" s="57" t="str">
        <x:f>IF(ISNUMBER(G70),IF(G70=0,"n.a.",F70/G70-1),"n.a.")</x:f>
        <x:v>n.a.</x:v>
      </x:c>
      <x:c r="I70" s="58" t="n">
        <x:f>F70/J70</x:f>
        <x:v>0.0252890525682542</x:v>
      </x:c>
      <x:c r="J70" s="56" t="n">
        <x:v>1335.830262096774</x:v>
      </x:c>
    </x:row>
    <x:row r="71" ht="65" customHeight="1">
      <x:c r="A71" s="61" t="n">
        <x:v>44682</x:v>
      </x:c>
      <x:c r="B71" s="32" t="str">
        <x:v>Derivados de petróleo</x:v>
      </x:c>
      <x:c r="C71" s="32" t="str">
        <x:v>Industrias sin Aluar</x:v>
      </x:c>
      <x:c r="D71" s="62" t="n">
        <x:v>31</x:v>
      </x:c>
      <x:c r="E71" s="2" t="str">
        <x:v>Completo</x:v>
      </x:c>
      <x:c r="F71" s="56" t="n">
        <x:v>210.03337231182797</x:v>
      </x:c>
      <x:c r="G71" s="56" t="str">
        <x:f>"n.a."</x:f>
        <x:v>n.a.</x:v>
      </x:c>
      <x:c r="H71" s="57" t="str">
        <x:f>IF(ISNUMBER(G71),IF(G71=0,"n.a.",F71/G71-1),"n.a.")</x:f>
        <x:v>n.a.</x:v>
      </x:c>
      <x:c r="I71" s="58" t="n">
        <x:f>F71/J71</x:f>
        <x:v>0.15723058405800072</x:v>
      </x:c>
      <x:c r="J71" s="56" t="n">
        <x:v>1335.830262096774</x:v>
      </x:c>
    </x:row>
    <x:row r="72" ht="65" customHeight="1">
      <x:c r="A72" s="61" t="n">
        <x:v>44682</x:v>
      </x:c>
      <x:c r="B72" s="32" t="str">
        <x:v>Construcción: elaboración de cemento y canteras</x:v>
      </x:c>
      <x:c r="C72" s="32" t="str">
        <x:v>Industrias sin Aluar</x:v>
      </x:c>
      <x:c r="D72" s="62" t="n">
        <x:v>31</x:v>
      </x:c>
      <x:c r="E72" s="2" t="str">
        <x:v>Completo</x:v>
      </x:c>
      <x:c r="F72" s="56" t="n">
        <x:v>175.85155241935482</x:v>
      </x:c>
      <x:c r="G72" s="56" t="str">
        <x:f>"n.a."</x:f>
        <x:v>n.a.</x:v>
      </x:c>
      <x:c r="H72" s="57" t="str">
        <x:f>IF(ISNUMBER(G72),IF(G72=0,"n.a.",F72/G72-1),"n.a.")</x:f>
        <x:v>n.a.</x:v>
      </x:c>
      <x:c r="I72" s="58" t="n">
        <x:f>F72/J72</x:f>
        <x:v>0.13164213853287843</x:v>
      </x:c>
      <x:c r="J72" s="56" t="n">
        <x:v>1335.830262096774</x:v>
      </x:c>
    </x:row>
    <x:row r="73" ht="65" customHeight="1">
      <x:c r="A73" s="61" t="n">
        <x:v>44682</x:v>
      </x:c>
      <x:c r="B73" s="32" t="str">
        <x:v>Madera y papel</x:v>
      </x:c>
      <x:c r="C73" s="32" t="str">
        <x:v>Industrias sin Aluar</x:v>
      </x:c>
      <x:c r="D73" s="62" t="n">
        <x:v>31</x:v>
      </x:c>
      <x:c r="E73" s="2" t="str">
        <x:v>Completo</x:v>
      </x:c>
      <x:c r="F73" s="56" t="n">
        <x:v>107.2743629032258</x:v>
      </x:c>
      <x:c r="G73" s="56" t="str">
        <x:f>"n.a."</x:f>
        <x:v>n.a.</x:v>
      </x:c>
      <x:c r="H73" s="57" t="str">
        <x:f>IF(ISNUMBER(G73),IF(G73=0,"n.a.",F73/G73-1),"n.a.")</x:f>
        <x:v>n.a.</x:v>
      </x:c>
      <x:c r="I73" s="58" t="n">
        <x:f>F73/J73</x:f>
        <x:v>0.08030538455899597</x:v>
      </x:c>
      <x:c r="J73" s="56" t="n">
        <x:v>1335.830262096774</x:v>
      </x:c>
    </x:row>
    <x:row r="74" ht="65" customHeight="1">
      <x:c r="A74" s="61" t="n">
        <x:v>44682</x:v>
      </x:c>
      <x:c r="B74" s="32" t="str">
        <x:v>Productos metálicos no automotores</x:v>
      </x:c>
      <x:c r="C74" s="32" t="str">
        <x:v>Industrias sin Aluar</x:v>
      </x:c>
      <x:c r="D74" s="62" t="n">
        <x:v>31</x:v>
      </x:c>
      <x:c r="E74" s="2" t="str">
        <x:v>Completo</x:v>
      </x:c>
      <x:c r="F74" s="56" t="n">
        <x:v>56.59469758064516</x:v>
      </x:c>
      <x:c r="G74" s="56" t="str">
        <x:f>"n.a."</x:f>
        <x:v>n.a.</x:v>
      </x:c>
      <x:c r="H74" s="57" t="str">
        <x:f>IF(ISNUMBER(G74),IF(G74=0,"n.a.",F74/G74-1),"n.a.")</x:f>
        <x:v>n.a.</x:v>
      </x:c>
      <x:c r="I74" s="58" t="n">
        <x:f>F74/J74</x:f>
        <x:v>0.04236668324298313</x:v>
      </x:c>
      <x:c r="J74" s="56" t="n">
        <x:v>1335.830262096774</x:v>
      </x:c>
    </x:row>
    <x:row r="75" ht="65" customHeight="1">
      <x:c r="A75" s="61" t="n">
        <x:v>44682</x:v>
      </x:c>
      <x:c r="B75" s="32" t="str">
        <x:v>Gran siderurgia</x:v>
      </x:c>
      <x:c r="C75" s="32" t="str">
        <x:v>Industrias sin Aluar</x:v>
      </x:c>
      <x:c r="D75" s="62" t="n">
        <x:v>31</x:v>
      </x:c>
      <x:c r="E75" s="2" t="str">
        <x:v>Completo</x:v>
      </x:c>
      <x:c r="F75" s="56" t="n">
        <x:v>357.4851182795699</x:v>
      </x:c>
      <x:c r="G75" s="56" t="str">
        <x:f>"n.a."</x:f>
        <x:v>n.a.</x:v>
      </x:c>
      <x:c r="H75" s="57" t="str">
        <x:f>IF(ISNUMBER(G75),IF(G75=0,"n.a.",F75/G75-1),"n.a.")</x:f>
        <x:v>n.a.</x:v>
      </x:c>
      <x:c r="I75" s="58" t="n">
        <x:f>F75/J75</x:f>
        <x:v>0.26761268135851823</x:v>
      </x:c>
      <x:c r="J75" s="56" t="n">
        <x:v>1335.830262096774</x:v>
      </x:c>
    </x:row>
    <x:row r="76" ht="65" customHeight="1">
      <x:c r="A76" s="61" t="n">
        <x:v>44682</x:v>
      </x:c>
      <x:c r="B76" s="32" t="str">
        <x:v>Industria textil</x:v>
      </x:c>
      <x:c r="C76" s="32" t="str">
        <x:v>Industrias sin Aluar</x:v>
      </x:c>
      <x:c r="D76" s="62" t="n">
        <x:v>31</x:v>
      </x:c>
      <x:c r="E76" s="2" t="str">
        <x:v>Completo</x:v>
      </x:c>
      <x:c r="F76" s="56" t="n">
        <x:v>59.93705107526882</x:v>
      </x:c>
      <x:c r="G76" s="56" t="str">
        <x:f>"n.a."</x:f>
        <x:v>n.a.</x:v>
      </x:c>
      <x:c r="H76" s="57" t="str">
        <x:f>IF(ISNUMBER(G76),IF(G76=0,"n.a.",F76/G76-1),"n.a.")</x:f>
        <x:v>n.a.</x:v>
      </x:c>
      <x:c r="I76" s="58" t="n">
        <x:f>F76/J76</x:f>
        <x:v>0.04486876272827445</x:v>
      </x:c>
      <x:c r="J76" s="56" t="n">
        <x:v>1335.830262096774</x:v>
      </x:c>
    </x:row>
    <x:row r="77" ht="65" customHeight="1">
      <x:c r="A77" s="61" t="n">
        <x:v>44682</x:v>
      </x:c>
      <x:c r="B77" s="32" t="str">
        <x:v>Químicas, caucho, plástico y otros minerales no metálicos</x:v>
      </x:c>
      <x:c r="C77" s="32" t="str">
        <x:v>Industrias sin Aluar</x:v>
      </x:c>
      <x:c r="D77" s="62" t="n">
        <x:v>31</x:v>
      </x:c>
      <x:c r="E77" s="2" t="str">
        <x:v>Completo</x:v>
      </x:c>
      <x:c r="F77" s="56" t="n">
        <x:v>334.87222580645164</x:v>
      </x:c>
      <x:c r="G77" s="56" t="str">
        <x:f>"n.a."</x:f>
        <x:v>n.a.</x:v>
      </x:c>
      <x:c r="H77" s="57" t="str">
        <x:f>IF(ISNUMBER(G77),IF(G77=0,"n.a.",F77/G77-1),"n.a.")</x:f>
        <x:v>n.a.</x:v>
      </x:c>
      <x:c r="I77" s="58" t="n">
        <x:f>F77/J77</x:f>
        <x:v>0.250684712952095</x:v>
      </x:c>
      <x:c r="J77" s="56" t="n">
        <x:v>1335.830262096774</x:v>
      </x:c>
    </x:row>
    <x:row r="78" ht="65" customHeight="1">
      <x:c r="A78" s="61" t="n">
        <x:v>44682</x:v>
      </x:c>
      <x:c r="B78" s="32" t="str">
        <x:v>Extracción de minerales</x:v>
      </x:c>
      <x:c r="C78" s="32" t="str">
        <x:v>Petróleos y minerales</x:v>
      </x:c>
      <x:c r="D78" s="62" t="n">
        <x:v>31</x:v>
      </x:c>
      <x:c r="E78" s="2" t="str">
        <x:v>Completo</x:v>
      </x:c>
      <x:c r="F78" s="56" t="n">
        <x:v>18.976434139784946</x:v>
      </x:c>
      <x:c r="G78" s="56" t="str">
        <x:f>"n.a."</x:f>
        <x:v>n.a.</x:v>
      </x:c>
      <x:c r="H78" s="57" t="str">
        <x:f>IF(ISNUMBER(G78),IF(G78=0,"n.a.",F78/G78-1),"n.a.")</x:f>
        <x:v>n.a.</x:v>
      </x:c>
      <x:c r="I78" s="58" t="n">
        <x:f>F78/J78</x:f>
        <x:v>0.09794182595040941</x:v>
      </x:c>
      <x:c r="J78" s="56" t="n">
        <x:v>193.75209677419355</x:v>
      </x:c>
    </x:row>
    <x:row r="79" ht="65" customHeight="1">
      <x:c r="A79" s="61" t="n">
        <x:v>44682</x:v>
      </x:c>
      <x:c r="B79" s="32" t="str">
        <x:v>Extracción de petróleo</x:v>
      </x:c>
      <x:c r="C79" s="32" t="str">
        <x:v>Petróleos y minerales</x:v>
      </x:c>
      <x:c r="D79" s="62" t="n">
        <x:v>31</x:v>
      </x:c>
      <x:c r="E79" s="2" t="str">
        <x:v>Completo</x:v>
      </x:c>
      <x:c r="F79" s="56" t="n">
        <x:v>174.7756626344086</x:v>
      </x:c>
      <x:c r="G79" s="56" t="str">
        <x:f>"n.a."</x:f>
        <x:v>n.a.</x:v>
      </x:c>
      <x:c r="H79" s="57" t="str">
        <x:f>IF(ISNUMBER(G79),IF(G79=0,"n.a.",F79/G79-1),"n.a.")</x:f>
        <x:v>n.a.</x:v>
      </x:c>
      <x:c r="I79" s="58" t="n">
        <x:f>F79/J79</x:f>
        <x:v>0.9020581740495907</x:v>
      </x:c>
      <x:c r="J79" s="56" t="n">
        <x:v>193.75209677419355</x:v>
      </x:c>
    </x:row>
    <x:row r="80" ht="65" customHeight="1">
      <x:c r="A80" s="61" t="n">
        <x:v>44713</x:v>
      </x:c>
      <x:c r="B80" s="32" t="str">
        <x:v>Cargas y puertos</x:v>
      </x:c>
      <x:c r="C80" s="32" t="str">
        <x:v>Alimentación, comercios y servicios</x:v>
      </x:c>
      <x:c r="D80" s="62" t="n">
        <x:v>30</x:v>
      </x:c>
      <x:c r="E80" s="2" t="str">
        <x:v>Completo</x:v>
      </x:c>
      <x:c r="F80" s="56" t="n">
        <x:v>8.289541666666667</x:v>
      </x:c>
      <x:c r="G80" s="56" t="str">
        <x:f>"n.a."</x:f>
        <x:v>n.a.</x:v>
      </x:c>
      <x:c r="H80" s="57" t="str">
        <x:f>IF(ISNUMBER(G80),IF(G80=0,"n.a.",F80/G80-1),"n.a.")</x:f>
        <x:v>n.a.</x:v>
      </x:c>
      <x:c r="I80" s="58" t="n">
        <x:f>F80/J80</x:f>
        <x:v>0.021189110604827022</x:v>
      </x:c>
      <x:c r="J80" s="56" t="n">
        <x:v>391.21706527777775</x:v>
      </x:c>
    </x:row>
    <x:row r="81" ht="65" customHeight="1">
      <x:c r="A81" s="61" t="n">
        <x:v>44713</x:v>
      </x:c>
      <x:c r="B81" s="32" t="str">
        <x:v>Comercio y servicios: principalmente supermercados y centros comerciales</x:v>
      </x:c>
      <x:c r="C81" s="32" t="str">
        <x:v>Alimentación, comercios y servicios</x:v>
      </x:c>
      <x:c r="D81" s="62" t="n">
        <x:v>30</x:v>
      </x:c>
      <x:c r="E81" s="2" t="str">
        <x:v>Completo</x:v>
      </x:c>
      <x:c r="F81" s="56" t="n">
        <x:v>26.9408125</x:v>
      </x:c>
      <x:c r="G81" s="56" t="str">
        <x:f>"n.a."</x:f>
        <x:v>n.a.</x:v>
      </x:c>
      <x:c r="H81" s="57" t="str">
        <x:f>IF(ISNUMBER(G81),IF(G81=0,"n.a.",F81/G81-1),"n.a.")</x:f>
        <x:v>n.a.</x:v>
      </x:c>
      <x:c r="I81" s="58" t="n">
        <x:f>F81/J81</x:f>
        <x:v>0.06886410356580709</x:v>
      </x:c>
      <x:c r="J81" s="56" t="n">
        <x:v>391.21706527777775</x:v>
      </x:c>
    </x:row>
    <x:row r="82" ht="65" customHeight="1">
      <x:c r="A82" s="61" t="n">
        <x:v>44713</x:v>
      </x:c>
      <x:c r="B82" s="32" t="str">
        <x:v>Alimentación y artículos de consumo masivo</x:v>
      </x:c>
      <x:c r="C82" s="32" t="str">
        <x:v>Alimentación, comercios y servicios</x:v>
      </x:c>
      <x:c r="D82" s="62" t="n">
        <x:v>30</x:v>
      </x:c>
      <x:c r="E82" s="2" t="str">
        <x:v>Completo</x:v>
      </x:c>
      <x:c r="F82" s="56" t="n">
        <x:v>273.6364597222222</x:v>
      </x:c>
      <x:c r="G82" s="56" t="str">
        <x:f>"n.a."</x:f>
        <x:v>n.a.</x:v>
      </x:c>
      <x:c r="H82" s="57" t="str">
        <x:f>IF(ISNUMBER(G82),IF(G82=0,"n.a.",F82/G82-1),"n.a.")</x:f>
        <x:v>n.a.</x:v>
      </x:c>
      <x:c r="I82" s="58" t="n">
        <x:f>F82/J82</x:f>
        <x:v>0.6994491907655683</x:v>
      </x:c>
      <x:c r="J82" s="56" t="n">
        <x:v>391.21706527777775</x:v>
      </x:c>
    </x:row>
    <x:row r="83" ht="65" customHeight="1">
      <x:c r="A83" s="61" t="n">
        <x:v>44713</x:v>
      </x:c>
      <x:c r="B83" s="32" t="str">
        <x:v>Servicios públicos y transporte: agua y transporte en GBA</x:v>
      </x:c>
      <x:c r="C83" s="32" t="str">
        <x:v>Alimentación, comercios y servicios</x:v>
      </x:c>
      <x:c r="D83" s="62" t="n">
        <x:v>30</x:v>
      </x:c>
      <x:c r="E83" s="2" t="str">
        <x:v>Completo</x:v>
      </x:c>
      <x:c r="F83" s="56" t="n">
        <x:v>82.35025138888889</x:v>
      </x:c>
      <x:c r="G83" s="56" t="str">
        <x:f>"n.a."</x:f>
        <x:v>n.a.</x:v>
      </x:c>
      <x:c r="H83" s="57" t="str">
        <x:f>IF(ISNUMBER(G83),IF(G83=0,"n.a.",F83/G83-1),"n.a.")</x:f>
        <x:v>n.a.</x:v>
      </x:c>
      <x:c r="I83" s="58" t="n">
        <x:f>F83/J83</x:f>
        <x:v>0.2104975950637975</x:v>
      </x:c>
      <x:c r="J83" s="56" t="n">
        <x:v>391.21706527777775</x:v>
      </x:c>
    </x:row>
    <x:row r="84" ht="65" customHeight="1">
      <x:c r="A84" s="61" t="n">
        <x:v>44713</x:v>
      </x:c>
      <x:c r="B84" s="32" t="str">
        <x:v>Industria automotriz</x:v>
      </x:c>
      <x:c r="C84" s="32" t="str">
        <x:v>Industrias sin Aluar</x:v>
      </x:c>
      <x:c r="D84" s="62" t="n">
        <x:v>30</x:v>
      </x:c>
      <x:c r="E84" s="2" t="str">
        <x:v>Completo</x:v>
      </x:c>
      <x:c r="F84" s="56" t="n">
        <x:v>38.01621111111111</x:v>
      </x:c>
      <x:c r="G84" s="56" t="str">
        <x:f>"n.a."</x:f>
        <x:v>n.a.</x:v>
      </x:c>
      <x:c r="H84" s="57" t="str">
        <x:f>IF(ISNUMBER(G84),IF(G84=0,"n.a.",F84/G84-1),"n.a.")</x:f>
        <x:v>n.a.</x:v>
      </x:c>
      <x:c r="I84" s="58" t="n">
        <x:f>F84/J84</x:f>
        <x:v>0.0290965854689322</x:v>
      </x:c>
      <x:c r="J84" s="56" t="n">
        <x:v>1306.5523152777778</x:v>
      </x:c>
    </x:row>
    <x:row r="85" ht="65" customHeight="1">
      <x:c r="A85" s="61" t="n">
        <x:v>44713</x:v>
      </x:c>
      <x:c r="B85" s="32" t="str">
        <x:v>Derivados de petróleo</x:v>
      </x:c>
      <x:c r="C85" s="32" t="str">
        <x:v>Industrias sin Aluar</x:v>
      </x:c>
      <x:c r="D85" s="62" t="n">
        <x:v>30</x:v>
      </x:c>
      <x:c r="E85" s="2" t="str">
        <x:v>Completo</x:v>
      </x:c>
      <x:c r="F85" s="56" t="n">
        <x:v>151.2083986111111</x:v>
      </x:c>
      <x:c r="G85" s="56" t="str">
        <x:f>"n.a."</x:f>
        <x:v>n.a.</x:v>
      </x:c>
      <x:c r="H85" s="57" t="str">
        <x:f>IF(ISNUMBER(G85),IF(G85=0,"n.a.",F85/G85-1),"n.a.")</x:f>
        <x:v>n.a.</x:v>
      </x:c>
      <x:c r="I85" s="58" t="n">
        <x:f>F85/J85</x:f>
        <x:v>0.1157308412705722</x:v>
      </x:c>
      <x:c r="J85" s="56" t="n">
        <x:v>1306.5523152777778</x:v>
      </x:c>
    </x:row>
    <x:row r="86" ht="65" customHeight="1">
      <x:c r="A86" s="61" t="n">
        <x:v>44713</x:v>
      </x:c>
      <x:c r="B86" s="32" t="str">
        <x:v>Construcción: elaboración de cemento y canteras</x:v>
      </x:c>
      <x:c r="C86" s="32" t="str">
        <x:v>Industrias sin Aluar</x:v>
      </x:c>
      <x:c r="D86" s="62" t="n">
        <x:v>30</x:v>
      </x:c>
      <x:c r="E86" s="2" t="str">
        <x:v>Completo</x:v>
      </x:c>
      <x:c r="F86" s="56" t="n">
        <x:v>168.804925</x:v>
      </x:c>
      <x:c r="G86" s="56" t="str">
        <x:f>"n.a."</x:f>
        <x:v>n.a.</x:v>
      </x:c>
      <x:c r="H86" s="57" t="str">
        <x:f>IF(ISNUMBER(G86),IF(G86=0,"n.a.",F86/G86-1),"n.a.")</x:f>
        <x:v>n.a.</x:v>
      </x:c>
      <x:c r="I86" s="58" t="n">
        <x:f>F86/J86</x:f>
        <x:v>0.12919874927787448</x:v>
      </x:c>
      <x:c r="J86" s="56" t="n">
        <x:v>1306.5523152777778</x:v>
      </x:c>
    </x:row>
    <x:row r="87" ht="65" customHeight="1">
      <x:c r="A87" s="61" t="n">
        <x:v>44713</x:v>
      </x:c>
      <x:c r="B87" s="32" t="str">
        <x:v>Madera y papel</x:v>
      </x:c>
      <x:c r="C87" s="32" t="str">
        <x:v>Industrias sin Aluar</x:v>
      </x:c>
      <x:c r="D87" s="62" t="n">
        <x:v>30</x:v>
      </x:c>
      <x:c r="E87" s="2" t="str">
        <x:v>Completo</x:v>
      </x:c>
      <x:c r="F87" s="56" t="n">
        <x:v>117.95675694444444</x:v>
      </x:c>
      <x:c r="G87" s="56" t="str">
        <x:f>"n.a."</x:f>
        <x:v>n.a.</x:v>
      </x:c>
      <x:c r="H87" s="57" t="str">
        <x:f>IF(ISNUMBER(G87),IF(G87=0,"n.a.",F87/G87-1),"n.a.")</x:f>
        <x:v>n.a.</x:v>
      </x:c>
      <x:c r="I87" s="58" t="n">
        <x:f>F87/J87</x:f>
        <x:v>0.09028092910261033</x:v>
      </x:c>
      <x:c r="J87" s="56" t="n">
        <x:v>1306.5523152777778</x:v>
      </x:c>
    </x:row>
    <x:row r="88" ht="65" customHeight="1">
      <x:c r="A88" s="61" t="n">
        <x:v>44713</x:v>
      </x:c>
      <x:c r="B88" s="32" t="str">
        <x:v>Productos metálicos no automotores</x:v>
      </x:c>
      <x:c r="C88" s="32" t="str">
        <x:v>Industrias sin Aluar</x:v>
      </x:c>
      <x:c r="D88" s="62" t="n">
        <x:v>30</x:v>
      </x:c>
      <x:c r="E88" s="2" t="str">
        <x:v>Completo</x:v>
      </x:c>
      <x:c r="F88" s="56" t="n">
        <x:v>57.894641666666665</x:v>
      </x:c>
      <x:c r="G88" s="56" t="str">
        <x:f>"n.a."</x:f>
        <x:v>n.a.</x:v>
      </x:c>
      <x:c r="H88" s="57" t="str">
        <x:f>IF(ISNUMBER(G88),IF(G88=0,"n.a.",F88/G88-1),"n.a.")</x:f>
        <x:v>n.a.</x:v>
      </x:c>
      <x:c r="I88" s="58" t="n">
        <x:f>F88/J88</x:f>
        <x:v>0.044311001549415995</x:v>
      </x:c>
      <x:c r="J88" s="56" t="n">
        <x:v>1306.5523152777778</x:v>
      </x:c>
    </x:row>
    <x:row r="89" ht="65" customHeight="1">
      <x:c r="A89" s="61" t="n">
        <x:v>44713</x:v>
      </x:c>
      <x:c r="B89" s="32" t="str">
        <x:v>Gran siderurgia</x:v>
      </x:c>
      <x:c r="C89" s="32" t="str">
        <x:v>Industrias sin Aluar</x:v>
      </x:c>
      <x:c r="D89" s="62" t="n">
        <x:v>30</x:v>
      </x:c>
      <x:c r="E89" s="2" t="str">
        <x:v>Completo</x:v>
      </x:c>
      <x:c r="F89" s="56" t="n">
        <x:v>384.8158569444444</x:v>
      </x:c>
      <x:c r="G89" s="56" t="str">
        <x:f>"n.a."</x:f>
        <x:v>n.a.</x:v>
      </x:c>
      <x:c r="H89" s="57" t="str">
        <x:f>IF(ISNUMBER(G89),IF(G89=0,"n.a.",F89/G89-1),"n.a.")</x:f>
        <x:v>n.a.</x:v>
      </x:c>
      <x:c r="I89" s="58" t="n">
        <x:f>F89/J89</x:f>
        <x:v>0.29452770657915156</x:v>
      </x:c>
      <x:c r="J89" s="56" t="n">
        <x:v>1306.5523152777778</x:v>
      </x:c>
    </x:row>
    <x:row r="90" ht="65" customHeight="1">
      <x:c r="A90" s="61" t="n">
        <x:v>44713</x:v>
      </x:c>
      <x:c r="B90" s="32" t="str">
        <x:v>Industria textil</x:v>
      </x:c>
      <x:c r="C90" s="32" t="str">
        <x:v>Industrias sin Aluar</x:v>
      </x:c>
      <x:c r="D90" s="62" t="n">
        <x:v>30</x:v>
      </x:c>
      <x:c r="E90" s="2" t="str">
        <x:v>Completo</x:v>
      </x:c>
      <x:c r="F90" s="56" t="n">
        <x:v>61.996325</x:v>
      </x:c>
      <x:c r="G90" s="56" t="str">
        <x:f>"n.a."</x:f>
        <x:v>n.a.</x:v>
      </x:c>
      <x:c r="H90" s="57" t="str">
        <x:f>IF(ISNUMBER(G90),IF(G90=0,"n.a.",F90/G90-1),"n.a.")</x:f>
        <x:v>n.a.</x:v>
      </x:c>
      <x:c r="I90" s="58" t="n">
        <x:f>F90/J90</x:f>
        <x:v>0.047450319650475956</x:v>
      </x:c>
      <x:c r="J90" s="56" t="n">
        <x:v>1306.5523152777778</x:v>
      </x:c>
    </x:row>
    <x:row r="91" ht="65" customHeight="1">
      <x:c r="A91" s="61" t="n">
        <x:v>44713</x:v>
      </x:c>
      <x:c r="B91" s="32" t="str">
        <x:v>Químicas, caucho, plástico y otros minerales no metálicos</x:v>
      </x:c>
      <x:c r="C91" s="32" t="str">
        <x:v>Industrias sin Aluar</x:v>
      </x:c>
      <x:c r="D91" s="62" t="n">
        <x:v>30</x:v>
      </x:c>
      <x:c r="E91" s="2" t="str">
        <x:v>Completo</x:v>
      </x:c>
      <x:c r="F91" s="56" t="n">
        <x:v>325.8592</x:v>
      </x:c>
      <x:c r="G91" s="56" t="str">
        <x:f>"n.a."</x:f>
        <x:v>n.a.</x:v>
      </x:c>
      <x:c r="H91" s="57" t="str">
        <x:f>IF(ISNUMBER(G91),IF(G91=0,"n.a.",F91/G91-1),"n.a.")</x:f>
        <x:v>n.a.</x:v>
      </x:c>
      <x:c r="I91" s="58" t="n">
        <x:f>F91/J91</x:f>
        <x:v>0.24940386710096726</x:v>
      </x:c>
      <x:c r="J91" s="56" t="n">
        <x:v>1306.5523152777778</x:v>
      </x:c>
    </x:row>
    <x:row r="92" ht="65" customHeight="1">
      <x:c r="A92" s="61" t="n">
        <x:v>44713</x:v>
      </x:c>
      <x:c r="B92" s="32" t="str">
        <x:v>Extracción de minerales</x:v>
      </x:c>
      <x:c r="C92" s="32" t="str">
        <x:v>Petróleos y minerales</x:v>
      </x:c>
      <x:c r="D92" s="62" t="n">
        <x:v>30</x:v>
      </x:c>
      <x:c r="E92" s="2" t="str">
        <x:v>Completo</x:v>
      </x:c>
      <x:c r="F92" s="56" t="n">
        <x:v>19.1463625</x:v>
      </x:c>
      <x:c r="G92" s="56" t="str">
        <x:f>"n.a."</x:f>
        <x:v>n.a.</x:v>
      </x:c>
      <x:c r="H92" s="57" t="str">
        <x:f>IF(ISNUMBER(G92),IF(G92=0,"n.a.",F92/G92-1),"n.a.")</x:f>
        <x:v>n.a.</x:v>
      </x:c>
      <x:c r="I92" s="58" t="n">
        <x:f>F92/J92</x:f>
        <x:v>0.09998739983240298</x:v>
      </x:c>
      <x:c r="J92" s="56" t="n">
        <x:v>191.48775277777776</x:v>
      </x:c>
    </x:row>
    <x:row r="93" ht="65" customHeight="1">
      <x:c r="A93" s="61" t="n">
        <x:v>44713</x:v>
      </x:c>
      <x:c r="B93" s="32" t="str">
        <x:v>Extracción de petróleo</x:v>
      </x:c>
      <x:c r="C93" s="32" t="str">
        <x:v>Petróleos y minerales</x:v>
      </x:c>
      <x:c r="D93" s="62" t="n">
        <x:v>30</x:v>
      </x:c>
      <x:c r="E93" s="2" t="str">
        <x:v>Completo</x:v>
      </x:c>
      <x:c r="F93" s="56" t="n">
        <x:v>172.34139027777778</x:v>
      </x:c>
      <x:c r="G93" s="56" t="str">
        <x:f>"n.a."</x:f>
        <x:v>n.a.</x:v>
      </x:c>
      <x:c r="H93" s="57" t="str">
        <x:f>IF(ISNUMBER(G93),IF(G93=0,"n.a.",F93/G93-1),"n.a.")</x:f>
        <x:v>n.a.</x:v>
      </x:c>
      <x:c r="I93" s="58" t="n">
        <x:f>F93/J93</x:f>
        <x:v>0.9000126001675971</x:v>
      </x:c>
      <x:c r="J93" s="56" t="n">
        <x:v>191.48775277777776</x:v>
      </x:c>
    </x:row>
    <x:row r="94" ht="65" customHeight="1">
      <x:c r="A94" s="61" t="n">
        <x:v>44743</x:v>
      </x:c>
      <x:c r="B94" s="32" t="str">
        <x:v>Cargas y puertos</x:v>
      </x:c>
      <x:c r="C94" s="32" t="str">
        <x:v>Alimentación, comercios y servicios</x:v>
      </x:c>
      <x:c r="D94" s="62" t="n">
        <x:v>31</x:v>
      </x:c>
      <x:c r="E94" s="2" t="str">
        <x:v>Completo</x:v>
      </x:c>
      <x:c r="F94" s="56" t="n">
        <x:v>7.611599462365592</x:v>
      </x:c>
      <x:c r="G94" s="56" t="str">
        <x:f>"n.a."</x:f>
        <x:v>n.a.</x:v>
      </x:c>
      <x:c r="H94" s="57" t="str">
        <x:f>IF(ISNUMBER(G94),IF(G94=0,"n.a.",F94/G94-1),"n.a.")</x:f>
        <x:v>n.a.</x:v>
      </x:c>
      <x:c r="I94" s="58" t="n">
        <x:f>F94/J94</x:f>
        <x:v>0.019942157555493063</x:v>
      </x:c>
      <x:c r="J94" s="56" t="n">
        <x:v>381.68384946236563</x:v>
      </x:c>
    </x:row>
    <x:row r="95" ht="65" customHeight="1">
      <x:c r="A95" s="61" t="n">
        <x:v>44743</x:v>
      </x:c>
      <x:c r="B95" s="32" t="str">
        <x:v>Comercio y servicios: principalmente supermercados y centros comerciales</x:v>
      </x:c>
      <x:c r="C95" s="32" t="str">
        <x:v>Alimentación, comercios y servicios</x:v>
      </x:c>
      <x:c r="D95" s="62" t="n">
        <x:v>31</x:v>
      </x:c>
      <x:c r="E95" s="2" t="str">
        <x:v>Completo</x:v>
      </x:c>
      <x:c r="F95" s="56" t="n">
        <x:v>27.236862903225806</x:v>
      </x:c>
      <x:c r="G95" s="56" t="str">
        <x:f>"n.a."</x:f>
        <x:v>n.a.</x:v>
      </x:c>
      <x:c r="H95" s="57" t="str">
        <x:f>IF(ISNUMBER(G95),IF(G95=0,"n.a.",F95/G95-1),"n.a.")</x:f>
        <x:v>n.a.</x:v>
      </x:c>
      <x:c r="I95" s="58" t="n">
        <x:f>F95/J95</x:f>
        <x:v>0.07135974692560677</x:v>
      </x:c>
      <x:c r="J95" s="56" t="n">
        <x:v>381.68384946236563</x:v>
      </x:c>
    </x:row>
    <x:row r="96" ht="65" customHeight="1">
      <x:c r="A96" s="61" t="n">
        <x:v>44743</x:v>
      </x:c>
      <x:c r="B96" s="32" t="str">
        <x:v>Alimentación y artículos de consumo masivo</x:v>
      </x:c>
      <x:c r="C96" s="32" t="str">
        <x:v>Alimentación, comercios y servicios</x:v>
      </x:c>
      <x:c r="D96" s="62" t="n">
        <x:v>31</x:v>
      </x:c>
      <x:c r="E96" s="2" t="str">
        <x:v>Completo</x:v>
      </x:c>
      <x:c r="F96" s="56" t="n">
        <x:v>265.324311827957</x:v>
      </x:c>
      <x:c r="G96" s="56" t="str">
        <x:f>"n.a."</x:f>
        <x:v>n.a.</x:v>
      </x:c>
      <x:c r="H96" s="57" t="str">
        <x:f>IF(ISNUMBER(G96),IF(G96=0,"n.a.",F96/G96-1),"n.a.")</x:f>
        <x:v>n.a.</x:v>
      </x:c>
      <x:c r="I96" s="58" t="n">
        <x:f>F96/J96</x:f>
        <x:v>0.6951415738488516</x:v>
      </x:c>
      <x:c r="J96" s="56" t="n">
        <x:v>381.68384946236563</x:v>
      </x:c>
    </x:row>
    <x:row r="97" ht="65" customHeight="1">
      <x:c r="A97" s="61" t="n">
        <x:v>44743</x:v>
      </x:c>
      <x:c r="B97" s="32" t="str">
        <x:v>Servicios públicos y transporte: agua y transporte en GBA</x:v>
      </x:c>
      <x:c r="C97" s="32" t="str">
        <x:v>Alimentación, comercios y servicios</x:v>
      </x:c>
      <x:c r="D97" s="62" t="n">
        <x:v>31</x:v>
      </x:c>
      <x:c r="E97" s="2" t="str">
        <x:v>Completo</x:v>
      </x:c>
      <x:c r="F97" s="56" t="n">
        <x:v>81.51107526881721</x:v>
      </x:c>
      <x:c r="G97" s="56" t="str">
        <x:f>"n.a."</x:f>
        <x:v>n.a.</x:v>
      </x:c>
      <x:c r="H97" s="57" t="str">
        <x:f>IF(ISNUMBER(G97),IF(G97=0,"n.a.",F97/G97-1),"n.a.")</x:f>
        <x:v>n.a.</x:v>
      </x:c>
      <x:c r="I97" s="58" t="n">
        <x:f>F97/J97</x:f>
        <x:v>0.2135565216700485</x:v>
      </x:c>
      <x:c r="J97" s="56" t="n">
        <x:v>381.68384946236563</x:v>
      </x:c>
    </x:row>
    <x:row r="98" ht="65" customHeight="1">
      <x:c r="A98" s="61" t="n">
        <x:v>44743</x:v>
      </x:c>
      <x:c r="B98" s="32" t="str">
        <x:v>Industria automotriz</x:v>
      </x:c>
      <x:c r="C98" s="32" t="str">
        <x:v>Industrias sin Aluar</x:v>
      </x:c>
      <x:c r="D98" s="62" t="n">
        <x:v>31</x:v>
      </x:c>
      <x:c r="E98" s="2" t="str">
        <x:v>Completo</x:v>
      </x:c>
      <x:c r="F98" s="56" t="n">
        <x:v>37.83148521505377</x:v>
      </x:c>
      <x:c r="G98" s="56" t="str">
        <x:f>"n.a."</x:f>
        <x:v>n.a.</x:v>
      </x:c>
      <x:c r="H98" s="57" t="str">
        <x:f>IF(ISNUMBER(G98),IF(G98=0,"n.a.",F98/G98-1),"n.a.")</x:f>
        <x:v>n.a.</x:v>
      </x:c>
      <x:c r="I98" s="58" t="n">
        <x:f>F98/J98</x:f>
        <x:v>0.029940385469829148</x:v>
      </x:c>
      <x:c r="J98" s="56" t="n">
        <x:v>1263.5603924731183</x:v>
      </x:c>
    </x:row>
    <x:row r="99" ht="65" customHeight="1">
      <x:c r="A99" s="61" t="n">
        <x:v>44743</x:v>
      </x:c>
      <x:c r="B99" s="32" t="str">
        <x:v>Derivados de petróleo</x:v>
      </x:c>
      <x:c r="C99" s="32" t="str">
        <x:v>Industrias sin Aluar</x:v>
      </x:c>
      <x:c r="D99" s="62" t="n">
        <x:v>31</x:v>
      </x:c>
      <x:c r="E99" s="2" t="str">
        <x:v>Completo</x:v>
      </x:c>
      <x:c r="F99" s="56" t="n">
        <x:v>154.71952956989247</x:v>
      </x:c>
      <x:c r="G99" s="56" t="str">
        <x:f>"n.a."</x:f>
        <x:v>n.a.</x:v>
      </x:c>
      <x:c r="H99" s="57" t="str">
        <x:f>IF(ISNUMBER(G99),IF(G99=0,"n.a.",F99/G99-1),"n.a.")</x:f>
        <x:v>n.a.</x:v>
      </x:c>
      <x:c r="I99" s="58" t="n">
        <x:f>F99/J99</x:f>
        <x:v>0.122447277147605</x:v>
      </x:c>
      <x:c r="J99" s="56" t="n">
        <x:v>1263.5603924731183</x:v>
      </x:c>
    </x:row>
    <x:row r="100" ht="65" customHeight="1">
      <x:c r="A100" s="61" t="n">
        <x:v>44743</x:v>
      </x:c>
      <x:c r="B100" s="32" t="str">
        <x:v>Construcción: elaboración de cemento y canteras</x:v>
      </x:c>
      <x:c r="C100" s="32" t="str">
        <x:v>Industrias sin Aluar</x:v>
      </x:c>
      <x:c r="D100" s="62" t="n">
        <x:v>31</x:v>
      </x:c>
      <x:c r="E100" s="2" t="str">
        <x:v>Completo</x:v>
      </x:c>
      <x:c r="F100" s="56" t="n">
        <x:v>173.9611061827957</x:v>
      </x:c>
      <x:c r="G100" s="56" t="str">
        <x:f>"n.a."</x:f>
        <x:v>n.a.</x:v>
      </x:c>
      <x:c r="H100" s="57" t="str">
        <x:f>IF(ISNUMBER(G100),IF(G100=0,"n.a.",F100/G100-1),"n.a.")</x:f>
        <x:v>n.a.</x:v>
      </x:c>
      <x:c r="I100" s="58" t="n">
        <x:f>F100/J100</x:f>
        <x:v>0.13767533963478254</x:v>
      </x:c>
      <x:c r="J100" s="56" t="n">
        <x:v>1263.5603924731183</x:v>
      </x:c>
    </x:row>
    <x:row r="101" ht="65" customHeight="1">
      <x:c r="A101" s="61" t="n">
        <x:v>44743</x:v>
      </x:c>
      <x:c r="B101" s="32" t="str">
        <x:v>Madera y papel</x:v>
      </x:c>
      <x:c r="C101" s="32" t="str">
        <x:v>Industrias sin Aluar</x:v>
      </x:c>
      <x:c r="D101" s="62" t="n">
        <x:v>31</x:v>
      </x:c>
      <x:c r="E101" s="2" t="str">
        <x:v>Completo</x:v>
      </x:c>
      <x:c r="F101" s="56" t="n">
        <x:v>111.7282620967742</x:v>
      </x:c>
      <x:c r="G101" s="56" t="str">
        <x:f>"n.a."</x:f>
        <x:v>n.a.</x:v>
      </x:c>
      <x:c r="H101" s="57" t="str">
        <x:f>IF(ISNUMBER(G101),IF(G101=0,"n.a.",F101/G101-1),"n.a.")</x:f>
        <x:v>n.a.</x:v>
      </x:c>
      <x:c r="I101" s="58" t="n">
        <x:f>F101/J101</x:f>
        <x:v>0.08842336524817208</x:v>
      </x:c>
      <x:c r="J101" s="56" t="n">
        <x:v>1263.5603924731183</x:v>
      </x:c>
    </x:row>
    <x:row r="102" ht="65" customHeight="1">
      <x:c r="A102" s="61" t="n">
        <x:v>44743</x:v>
      </x:c>
      <x:c r="B102" s="32" t="str">
        <x:v>Productos metálicos no automotores</x:v>
      </x:c>
      <x:c r="C102" s="32" t="str">
        <x:v>Industrias sin Aluar</x:v>
      </x:c>
      <x:c r="D102" s="62" t="n">
        <x:v>31</x:v>
      </x:c>
      <x:c r="E102" s="2" t="str">
        <x:v>Completo</x:v>
      </x:c>
      <x:c r="F102" s="56" t="n">
        <x:v>61.267581989247304</x:v>
      </x:c>
      <x:c r="G102" s="56" t="str">
        <x:f>"n.a."</x:f>
        <x:v>n.a.</x:v>
      </x:c>
      <x:c r="H102" s="57" t="str">
        <x:f>IF(ISNUMBER(G102),IF(G102=0,"n.a.",F102/G102-1),"n.a.")</x:f>
        <x:v>n.a.</x:v>
      </x:c>
      <x:c r="I102" s="58" t="n">
        <x:f>F102/J102</x:f>
        <x:v>0.0484880519793206</x:v>
      </x:c>
      <x:c r="J102" s="56" t="n">
        <x:v>1263.5603924731183</x:v>
      </x:c>
    </x:row>
    <x:row r="103" ht="65" customHeight="1">
      <x:c r="A103" s="61" t="n">
        <x:v>44743</x:v>
      </x:c>
      <x:c r="B103" s="32" t="str">
        <x:v>Gran siderurgia</x:v>
      </x:c>
      <x:c r="C103" s="32" t="str">
        <x:v>Industrias sin Aluar</x:v>
      </x:c>
      <x:c r="D103" s="62" t="n">
        <x:v>31</x:v>
      </x:c>
      <x:c r="E103" s="2" t="str">
        <x:v>Completo</x:v>
      </x:c>
      <x:c r="F103" s="56" t="n">
        <x:v>358.66349596774194</x:v>
      </x:c>
      <x:c r="G103" s="56" t="str">
        <x:f>"n.a."</x:f>
        <x:v>n.a.</x:v>
      </x:c>
      <x:c r="H103" s="57" t="str">
        <x:f>IF(ISNUMBER(G103),IF(G103=0,"n.a.",F103/G103-1),"n.a.")</x:f>
        <x:v>n.a.</x:v>
      </x:c>
      <x:c r="I103" s="58" t="n">
        <x:f>F103/J103</x:f>
        <x:v>0.28385148672296034</x:v>
      </x:c>
      <x:c r="J103" s="56" t="n">
        <x:v>1263.5603924731183</x:v>
      </x:c>
    </x:row>
    <x:row r="104" ht="65" customHeight="1">
      <x:c r="A104" s="61" t="n">
        <x:v>44743</x:v>
      </x:c>
      <x:c r="B104" s="32" t="str">
        <x:v>Industria textil</x:v>
      </x:c>
      <x:c r="C104" s="32" t="str">
        <x:v>Industrias sin Aluar</x:v>
      </x:c>
      <x:c r="D104" s="62" t="n">
        <x:v>31</x:v>
      </x:c>
      <x:c r="E104" s="2" t="str">
        <x:v>Completo</x:v>
      </x:c>
      <x:c r="F104" s="56" t="n">
        <x:v>62.80558064516129</x:v>
      </x:c>
      <x:c r="G104" s="56" t="str">
        <x:f>"n.a."</x:f>
        <x:v>n.a.</x:v>
      </x:c>
      <x:c r="H104" s="57" t="str">
        <x:f>IF(ISNUMBER(G104),IF(G104=0,"n.a.",F104/G104-1),"n.a.")</x:f>
        <x:v>n.a.</x:v>
      </x:c>
      <x:c r="I104" s="58" t="n">
        <x:f>F104/J104</x:f>
        <x:v>0.049705246396837696</x:v>
      </x:c>
      <x:c r="J104" s="56" t="n">
        <x:v>1263.5603924731183</x:v>
      </x:c>
    </x:row>
    <x:row r="105" ht="65" customHeight="1">
      <x:c r="A105" s="61" t="n">
        <x:v>44743</x:v>
      </x:c>
      <x:c r="B105" s="32" t="str">
        <x:v>Químicas, caucho, plástico y otros minerales no metálicos</x:v>
      </x:c>
      <x:c r="C105" s="32" t="str">
        <x:v>Industrias sin Aluar</x:v>
      </x:c>
      <x:c r="D105" s="62" t="n">
        <x:v>31</x:v>
      </x:c>
      <x:c r="E105" s="2" t="str">
        <x:v>Completo</x:v>
      </x:c>
      <x:c r="F105" s="56" t="n">
        <x:v>302.5833508064516</x:v>
      </x:c>
      <x:c r="G105" s="56" t="str">
        <x:f>"n.a."</x:f>
        <x:v>n.a.</x:v>
      </x:c>
      <x:c r="H105" s="57" t="str">
        <x:f>IF(ISNUMBER(G105),IF(G105=0,"n.a.",F105/G105-1),"n.a.")</x:f>
        <x:v>n.a.</x:v>
      </x:c>
      <x:c r="I105" s="58" t="n">
        <x:f>F105/J105</x:f>
        <x:v>0.23946884740049254</x:v>
      </x:c>
      <x:c r="J105" s="56" t="n">
        <x:v>1263.5603924731183</x:v>
      </x:c>
    </x:row>
    <x:row r="106" ht="65" customHeight="1">
      <x:c r="A106" s="61" t="n">
        <x:v>44743</x:v>
      </x:c>
      <x:c r="B106" s="32" t="str">
        <x:v>Extracción de minerales</x:v>
      </x:c>
      <x:c r="C106" s="32" t="str">
        <x:v>Petróleos y minerales</x:v>
      </x:c>
      <x:c r="D106" s="62" t="n">
        <x:v>31</x:v>
      </x:c>
      <x:c r="E106" s="2" t="str">
        <x:v>Completo</x:v>
      </x:c>
      <x:c r="F106" s="56" t="n">
        <x:v>20.446735215053764</x:v>
      </x:c>
      <x:c r="G106" s="56" t="str">
        <x:f>"n.a."</x:f>
        <x:v>n.a.</x:v>
      </x:c>
      <x:c r="H106" s="57" t="str">
        <x:f>IF(ISNUMBER(G106),IF(G106=0,"n.a.",F106/G106-1),"n.a.")</x:f>
        <x:v>n.a.</x:v>
      </x:c>
      <x:c r="I106" s="58" t="n">
        <x:f>F106/J106</x:f>
        <x:v>0.11074011876012994</x:v>
      </x:c>
      <x:c r="J106" s="56" t="n">
        <x:v>184.63710752688172</x:v>
      </x:c>
    </x:row>
    <x:row r="107" ht="65" customHeight="1">
      <x:c r="A107" s="61" t="n">
        <x:v>44743</x:v>
      </x:c>
      <x:c r="B107" s="32" t="str">
        <x:v>Extracción de petróleo</x:v>
      </x:c>
      <x:c r="C107" s="32" t="str">
        <x:v>Petróleos y minerales</x:v>
      </x:c>
      <x:c r="D107" s="62" t="n">
        <x:v>31</x:v>
      </x:c>
      <x:c r="E107" s="2" t="str">
        <x:v>Completo</x:v>
      </x:c>
      <x:c r="F107" s="56" t="n">
        <x:v>164.19037231182796</x:v>
      </x:c>
      <x:c r="G107" s="56" t="str">
        <x:f>"n.a."</x:f>
        <x:v>n.a.</x:v>
      </x:c>
      <x:c r="H107" s="57" t="str">
        <x:f>IF(ISNUMBER(G107),IF(G107=0,"n.a.",F107/G107-1),"n.a.")</x:f>
        <x:v>n.a.</x:v>
      </x:c>
      <x:c r="I107" s="58" t="n">
        <x:f>F107/J107</x:f>
        <x:v>0.8892598812398701</x:v>
      </x:c>
      <x:c r="J107" s="56" t="n">
        <x:v>184.63710752688172</x:v>
      </x:c>
    </x:row>
    <x:row r="108" ht="65" customHeight="1">
      <x:c r="A108" s="61" t="n">
        <x:v>44774</x:v>
      </x:c>
      <x:c r="B108" s="32" t="str">
        <x:v>Cargas y puertos</x:v>
      </x:c>
      <x:c r="C108" s="32" t="str">
        <x:v>Alimentación, comercios y servicios</x:v>
      </x:c>
      <x:c r="D108" s="62" t="n">
        <x:v>31</x:v>
      </x:c>
      <x:c r="E108" s="2" t="str">
        <x:v>Completo</x:v>
      </x:c>
      <x:c r="F108" s="56" t="n">
        <x:v>7.33959005376344</x:v>
      </x:c>
      <x:c r="G108" s="56" t="str">
        <x:f>"n.a."</x:f>
        <x:v>n.a.</x:v>
      </x:c>
      <x:c r="H108" s="57" t="str">
        <x:f>IF(ISNUMBER(G108),IF(G108=0,"n.a.",F108/G108-1),"n.a.")</x:f>
        <x:v>n.a.</x:v>
      </x:c>
      <x:c r="I108" s="58" t="n">
        <x:f>F108/J108</x:f>
        <x:v>0.01966425992872085</x:v>
      </x:c>
      <x:c r="J108" s="56" t="n">
        <x:v>373.24517069892477</x:v>
      </x:c>
    </x:row>
    <x:row r="109" ht="65" customHeight="1">
      <x:c r="A109" s="61" t="n">
        <x:v>44774</x:v>
      </x:c>
      <x:c r="B109" s="32" t="str">
        <x:v>Comercio y servicios: principalmente supermercados y centros comerciales</x:v>
      </x:c>
      <x:c r="C109" s="32" t="str">
        <x:v>Alimentación, comercios y servicios</x:v>
      </x:c>
      <x:c r="D109" s="62" t="n">
        <x:v>31</x:v>
      </x:c>
      <x:c r="E109" s="2" t="str">
        <x:v>Completo</x:v>
      </x:c>
      <x:c r="F109" s="56" t="n">
        <x:v>29.565193548387096</x:v>
      </x:c>
      <x:c r="G109" s="56" t="str">
        <x:f>"n.a."</x:f>
        <x:v>n.a.</x:v>
      </x:c>
      <x:c r="H109" s="57" t="str">
        <x:f>IF(ISNUMBER(G109),IF(G109=0,"n.a.",F109/G109-1),"n.a.")</x:f>
        <x:v>n.a.</x:v>
      </x:c>
      <x:c r="I109" s="58" t="n">
        <x:f>F109/J109</x:f>
        <x:v>0.07921118843419846</x:v>
      </x:c>
      <x:c r="J109" s="56" t="n">
        <x:v>373.24517069892477</x:v>
      </x:c>
    </x:row>
    <x:row r="110" ht="65" customHeight="1">
      <x:c r="A110" s="61" t="n">
        <x:v>44774</x:v>
      </x:c>
      <x:c r="B110" s="32" t="str">
        <x:v>Alimentación y artículos de consumo masivo</x:v>
      </x:c>
      <x:c r="C110" s="32" t="str">
        <x:v>Alimentación, comercios y servicios</x:v>
      </x:c>
      <x:c r="D110" s="62" t="n">
        <x:v>31</x:v>
      </x:c>
      <x:c r="E110" s="2" t="str">
        <x:v>Completo</x:v>
      </x:c>
      <x:c r="F110" s="56" t="n">
        <x:v>253.39793951612901</x:v>
      </x:c>
      <x:c r="G110" s="56" t="str">
        <x:f>"n.a."</x:f>
        <x:v>n.a.</x:v>
      </x:c>
      <x:c r="H110" s="57" t="str">
        <x:f>IF(ISNUMBER(G110),IF(G110=0,"n.a.",F110/G110-1),"n.a.")</x:f>
        <x:v>n.a.</x:v>
      </x:c>
      <x:c r="I110" s="58" t="n">
        <x:f>F110/J110</x:f>
        <x:v>0.6789048041576148</x:v>
      </x:c>
      <x:c r="J110" s="56" t="n">
        <x:v>373.24517069892477</x:v>
      </x:c>
    </x:row>
    <x:row r="111" ht="65" customHeight="1">
      <x:c r="A111" s="61" t="n">
        <x:v>44774</x:v>
      </x:c>
      <x:c r="B111" s="32" t="str">
        <x:v>Servicios públicos y transporte: agua y transporte en GBA</x:v>
      </x:c>
      <x:c r="C111" s="32" t="str">
        <x:v>Alimentación, comercios y servicios</x:v>
      </x:c>
      <x:c r="D111" s="62" t="n">
        <x:v>31</x:v>
      </x:c>
      <x:c r="E111" s="2" t="str">
        <x:v>Completo</x:v>
      </x:c>
      <x:c r="F111" s="56" t="n">
        <x:v>82.94244758064517</x:v>
      </x:c>
      <x:c r="G111" s="56" t="str">
        <x:f>"n.a."</x:f>
        <x:v>n.a.</x:v>
      </x:c>
      <x:c r="H111" s="57" t="str">
        <x:f>IF(ISNUMBER(G111),IF(G111=0,"n.a.",F111/G111-1),"n.a.")</x:f>
        <x:v>n.a.</x:v>
      </x:c>
      <x:c r="I111" s="58" t="n">
        <x:f>F111/J111</x:f>
        <x:v>0.2222197474794658</x:v>
      </x:c>
      <x:c r="J111" s="56" t="n">
        <x:v>373.24517069892477</x:v>
      </x:c>
    </x:row>
    <x:row r="112" ht="65" customHeight="1">
      <x:c r="A112" s="61" t="n">
        <x:v>44774</x:v>
      </x:c>
      <x:c r="B112" s="32" t="str">
        <x:v>Industria automotriz</x:v>
      </x:c>
      <x:c r="C112" s="32" t="str">
        <x:v>Industrias sin Aluar</x:v>
      </x:c>
      <x:c r="D112" s="62" t="n">
        <x:v>31</x:v>
      </x:c>
      <x:c r="E112" s="2" t="str">
        <x:v>Completo</x:v>
      </x:c>
      <x:c r="F112" s="56" t="n">
        <x:v>39.10302956989247</x:v>
      </x:c>
      <x:c r="G112" s="56" t="str">
        <x:f>"n.a."</x:f>
        <x:v>n.a.</x:v>
      </x:c>
      <x:c r="H112" s="57" t="str">
        <x:f>IF(ISNUMBER(G112),IF(G112=0,"n.a.",F112/G112-1),"n.a.")</x:f>
        <x:v>n.a.</x:v>
      </x:c>
      <x:c r="I112" s="58" t="n">
        <x:f>F112/J112</x:f>
        <x:v>0.030181677183743243</x:v>
      </x:c>
      <x:c r="J112" s="56" t="n">
        <x:v>1295.5883575268817</x:v>
      </x:c>
    </x:row>
    <x:row r="113" ht="65" customHeight="1">
      <x:c r="A113" s="61" t="n">
        <x:v>44774</x:v>
      </x:c>
      <x:c r="B113" s="32" t="str">
        <x:v>Derivados de petróleo</x:v>
      </x:c>
      <x:c r="C113" s="32" t="str">
        <x:v>Industrias sin Aluar</x:v>
      </x:c>
      <x:c r="D113" s="62" t="n">
        <x:v>31</x:v>
      </x:c>
      <x:c r="E113" s="2" t="str">
        <x:v>Completo</x:v>
      </x:c>
      <x:c r="F113" s="56" t="n">
        <x:v>156.43338440860217</x:v>
      </x:c>
      <x:c r="G113" s="56" t="str">
        <x:f>"n.a."</x:f>
        <x:v>n.a.</x:v>
      </x:c>
      <x:c r="H113" s="57" t="str">
        <x:f>IF(ISNUMBER(G113),IF(G113=0,"n.a.",F113/G113-1),"n.a.")</x:f>
        <x:v>n.a.</x:v>
      </x:c>
      <x:c r="I113" s="58" t="n">
        <x:f>F113/J113</x:f>
        <x:v>0.12074312299873873</x:v>
      </x:c>
      <x:c r="J113" s="56" t="n">
        <x:v>1295.5883575268817</x:v>
      </x:c>
    </x:row>
    <x:row r="114" ht="65" customHeight="1">
      <x:c r="A114" s="61" t="n">
        <x:v>44774</x:v>
      </x:c>
      <x:c r="B114" s="32" t="str">
        <x:v>Construcción: elaboración de cemento y canteras</x:v>
      </x:c>
      <x:c r="C114" s="32" t="str">
        <x:v>Industrias sin Aluar</x:v>
      </x:c>
      <x:c r="D114" s="62" t="n">
        <x:v>31</x:v>
      </x:c>
      <x:c r="E114" s="2" t="str">
        <x:v>Completo</x:v>
      </x:c>
      <x:c r="F114" s="56" t="n">
        <x:v>199.46865725806452</x:v>
      </x:c>
      <x:c r="G114" s="56" t="str">
        <x:f>"n.a."</x:f>
        <x:v>n.a.</x:v>
      </x:c>
      <x:c r="H114" s="57" t="str">
        <x:f>IF(ISNUMBER(G114),IF(G114=0,"n.a.",F114/G114-1),"n.a.")</x:f>
        <x:v>n.a.</x:v>
      </x:c>
      <x:c r="I114" s="58" t="n">
        <x:f>F114/J114</x:f>
        <x:v>0.15395990254097805</x:v>
      </x:c>
      <x:c r="J114" s="56" t="n">
        <x:v>1295.5883575268817</x:v>
      </x:c>
    </x:row>
    <x:row r="115" ht="65" customHeight="1">
      <x:c r="A115" s="61" t="n">
        <x:v>44774</x:v>
      </x:c>
      <x:c r="B115" s="32" t="str">
        <x:v>Madera y papel</x:v>
      </x:c>
      <x:c r="C115" s="32" t="str">
        <x:v>Industrias sin Aluar</x:v>
      </x:c>
      <x:c r="D115" s="62" t="n">
        <x:v>31</x:v>
      </x:c>
      <x:c r="E115" s="2" t="str">
        <x:v>Completo</x:v>
      </x:c>
      <x:c r="F115" s="56" t="n">
        <x:v>102.55399596774194</x:v>
      </x:c>
      <x:c r="G115" s="56" t="str">
        <x:f>"n.a."</x:f>
        <x:v>n.a.</x:v>
      </x:c>
      <x:c r="H115" s="57" t="str">
        <x:f>IF(ISNUMBER(G115),IF(G115=0,"n.a.",F115/G115-1),"n.a.")</x:f>
        <x:v>n.a.</x:v>
      </x:c>
      <x:c r="I115" s="58" t="n">
        <x:f>F115/J115</x:f>
        <x:v>0.0791563117806221</x:v>
      </x:c>
      <x:c r="J115" s="56" t="n">
        <x:v>1295.5883575268817</x:v>
      </x:c>
    </x:row>
    <x:row r="116" ht="65" customHeight="1">
      <x:c r="A116" s="61" t="n">
        <x:v>44774</x:v>
      </x:c>
      <x:c r="B116" s="32" t="str">
        <x:v>Productos metálicos no automotores</x:v>
      </x:c>
      <x:c r="C116" s="32" t="str">
        <x:v>Industrias sin Aluar</x:v>
      </x:c>
      <x:c r="D116" s="62" t="n">
        <x:v>31</x:v>
      </x:c>
      <x:c r="E116" s="2" t="str">
        <x:v>Completo</x:v>
      </x:c>
      <x:c r="F116" s="56" t="n">
        <x:v>66.19231317204301</x:v>
      </x:c>
      <x:c r="G116" s="56" t="str">
        <x:f>"n.a."</x:f>
        <x:v>n.a.</x:v>
      </x:c>
      <x:c r="H116" s="57" t="str">
        <x:f>IF(ISNUMBER(G116),IF(G116=0,"n.a.",F116/G116-1),"n.a.")</x:f>
        <x:v>n.a.</x:v>
      </x:c>
      <x:c r="I116" s="58" t="n">
        <x:f>F116/J116</x:f>
        <x:v>0.051090543371658546</x:v>
      </x:c>
      <x:c r="J116" s="56" t="n">
        <x:v>1295.5883575268817</x:v>
      </x:c>
    </x:row>
    <x:row r="117" ht="65" customHeight="1">
      <x:c r="A117" s="61" t="n">
        <x:v>44774</x:v>
      </x:c>
      <x:c r="B117" s="32" t="str">
        <x:v>Gran siderurgia</x:v>
      </x:c>
      <x:c r="C117" s="32" t="str">
        <x:v>Industrias sin Aluar</x:v>
      </x:c>
      <x:c r="D117" s="62" t="n">
        <x:v>31</x:v>
      </x:c>
      <x:c r="E117" s="2" t="str">
        <x:v>Completo</x:v>
      </x:c>
      <x:c r="F117" s="56" t="n">
        <x:v>357.5920174731183</x:v>
      </x:c>
      <x:c r="G117" s="56" t="str">
        <x:f>"n.a."</x:f>
        <x:v>n.a.</x:v>
      </x:c>
      <x:c r="H117" s="57" t="str">
        <x:f>IF(ISNUMBER(G117),IF(G117=0,"n.a.",F117/G117-1),"n.a.")</x:f>
        <x:v>n.a.</x:v>
      </x:c>
      <x:c r="I117" s="58" t="n">
        <x:f>F117/J117</x:f>
        <x:v>0.27600743353059864</x:v>
      </x:c>
      <x:c r="J117" s="56" t="n">
        <x:v>1295.5883575268817</x:v>
      </x:c>
    </x:row>
    <x:row r="118" ht="65" customHeight="1">
      <x:c r="A118" s="61" t="n">
        <x:v>44774</x:v>
      </x:c>
      <x:c r="B118" s="32" t="str">
        <x:v>Industria textil</x:v>
      </x:c>
      <x:c r="C118" s="32" t="str">
        <x:v>Industrias sin Aluar</x:v>
      </x:c>
      <x:c r="D118" s="62" t="n">
        <x:v>31</x:v>
      </x:c>
      <x:c r="E118" s="2" t="str">
        <x:v>Completo</x:v>
      </x:c>
      <x:c r="F118" s="56" t="n">
        <x:v>64.61975268817204</x:v>
      </x:c>
      <x:c r="G118" s="56" t="str">
        <x:f>"n.a."</x:f>
        <x:v>n.a.</x:v>
      </x:c>
      <x:c r="H118" s="57" t="str">
        <x:f>IF(ISNUMBER(G118),IF(G118=0,"n.a.",F118/G118-1),"n.a.")</x:f>
        <x:v>n.a.</x:v>
      </x:c>
      <x:c r="I118" s="58" t="n">
        <x:f>F118/J118</x:f>
        <x:v>0.04987676240895154</x:v>
      </x:c>
      <x:c r="J118" s="56" t="n">
        <x:v>1295.5883575268817</x:v>
      </x:c>
    </x:row>
    <x:row r="119" ht="65" customHeight="1">
      <x:c r="A119" s="61" t="n">
        <x:v>44774</x:v>
      </x:c>
      <x:c r="B119" s="32" t="str">
        <x:v>Químicas, caucho, plástico y otros minerales no metálicos</x:v>
      </x:c>
      <x:c r="C119" s="32" t="str">
        <x:v>Industrias sin Aluar</x:v>
      </x:c>
      <x:c r="D119" s="62" t="n">
        <x:v>31</x:v>
      </x:c>
      <x:c r="E119" s="2" t="str">
        <x:v>Completo</x:v>
      </x:c>
      <x:c r="F119" s="56" t="n">
        <x:v>309.6252069892473</x:v>
      </x:c>
      <x:c r="G119" s="56" t="str">
        <x:f>"n.a."</x:f>
        <x:v>n.a.</x:v>
      </x:c>
      <x:c r="H119" s="57" t="str">
        <x:f>IF(ISNUMBER(G119),IF(G119=0,"n.a.",F119/G119-1),"n.a.")</x:f>
        <x:v>n.a.</x:v>
      </x:c>
      <x:c r="I119" s="58" t="n">
        <x:f>F119/J119</x:f>
        <x:v>0.23898424618470918</x:v>
      </x:c>
      <x:c r="J119" s="56" t="n">
        <x:v>1295.5883575268817</x:v>
      </x:c>
    </x:row>
    <x:row r="120" ht="65" customHeight="1">
      <x:c r="A120" s="61" t="n">
        <x:v>44774</x:v>
      </x:c>
      <x:c r="B120" s="32" t="str">
        <x:v>Extracción de minerales</x:v>
      </x:c>
      <x:c r="C120" s="32" t="str">
        <x:v>Petróleos y minerales</x:v>
      </x:c>
      <x:c r="D120" s="62" t="n">
        <x:v>31</x:v>
      </x:c>
      <x:c r="E120" s="2" t="str">
        <x:v>Completo</x:v>
      </x:c>
      <x:c r="F120" s="56" t="n">
        <x:v>20.651995967741936</x:v>
      </x:c>
      <x:c r="G120" s="56" t="str">
        <x:f>"n.a."</x:f>
        <x:v>n.a.</x:v>
      </x:c>
      <x:c r="H120" s="57" t="str">
        <x:f>IF(ISNUMBER(G120),IF(G120=0,"n.a.",F120/G120-1),"n.a.")</x:f>
        <x:v>n.a.</x:v>
      </x:c>
      <x:c r="I120" s="58" t="n">
        <x:f>F120/J120</x:f>
        <x:v>0.11746363524860153</x:v>
      </x:c>
      <x:c r="J120" s="56" t="n">
        <x:v>175.8160806451613</x:v>
      </x:c>
    </x:row>
    <x:row r="121" ht="65" customHeight="1">
      <x:c r="A121" s="61" t="n">
        <x:v>44774</x:v>
      </x:c>
      <x:c r="B121" s="32" t="str">
        <x:v>Extracción de petróleo</x:v>
      </x:c>
      <x:c r="C121" s="32" t="str">
        <x:v>Petróleos y minerales</x:v>
      </x:c>
      <x:c r="D121" s="62" t="n">
        <x:v>31</x:v>
      </x:c>
      <x:c r="E121" s="2" t="str">
        <x:v>Completo</x:v>
      </x:c>
      <x:c r="F121" s="56" t="n">
        <x:v>155.16408467741934</x:v>
      </x:c>
      <x:c r="G121" s="56" t="str">
        <x:f>"n.a."</x:f>
        <x:v>n.a.</x:v>
      </x:c>
      <x:c r="H121" s="57" t="str">
        <x:f>IF(ISNUMBER(G121),IF(G121=0,"n.a.",F121/G121-1),"n.a.")</x:f>
        <x:v>n.a.</x:v>
      </x:c>
      <x:c r="I121" s="58" t="n">
        <x:f>F121/J121</x:f>
        <x:v>0.8825363647513984</x:v>
      </x:c>
      <x:c r="J121" s="56" t="n">
        <x:v>175.8160806451613</x:v>
      </x:c>
    </x:row>
    <x:row r="122" ht="65" customHeight="1">
      <x:c r="A122" s="61" t="n">
        <x:v>44805</x:v>
      </x:c>
      <x:c r="B122" s="32" t="str">
        <x:v>Cargas y puertos</x:v>
      </x:c>
      <x:c r="C122" s="32" t="str">
        <x:v>Alimentación, comercios y servicios</x:v>
      </x:c>
      <x:c r="D122" s="62" t="n">
        <x:v>30</x:v>
      </x:c>
      <x:c r="E122" s="2" t="str">
        <x:v>Completo</x:v>
      </x:c>
      <x:c r="F122" s="56" t="n">
        <x:v>7.475506944444445</x:v>
      </x:c>
      <x:c r="G122" s="56" t="str">
        <x:f>"n.a."</x:f>
        <x:v>n.a.</x:v>
      </x:c>
      <x:c r="H122" s="57" t="str">
        <x:f>IF(ISNUMBER(G122),IF(G122=0,"n.a.",F122/G122-1),"n.a.")</x:f>
        <x:v>n.a.</x:v>
      </x:c>
      <x:c r="I122" s="58" t="n">
        <x:f>F122/J122</x:f>
        <x:v>0.018972156103720942</x:v>
      </x:c>
      <x:c r="J122" s="56" t="n">
        <x:v>394.0251652777778</x:v>
      </x:c>
    </x:row>
    <x:row r="123" ht="65" customHeight="1">
      <x:c r="A123" s="61" t="n">
        <x:v>44805</x:v>
      </x:c>
      <x:c r="B123" s="32" t="str">
        <x:v>Comercio y servicios: principalmente supermercados y centros comerciales</x:v>
      </x:c>
      <x:c r="C123" s="32" t="str">
        <x:v>Alimentación, comercios y servicios</x:v>
      </x:c>
      <x:c r="D123" s="62" t="n">
        <x:v>30</x:v>
      </x:c>
      <x:c r="E123" s="2" t="str">
        <x:v>Completo</x:v>
      </x:c>
      <x:c r="F123" s="56" t="n">
        <x:v>29.170405555555554</x:v>
      </x:c>
      <x:c r="G123" s="56" t="str">
        <x:f>"n.a."</x:f>
        <x:v>n.a.</x:v>
      </x:c>
      <x:c r="H123" s="57" t="str">
        <x:f>IF(ISNUMBER(G123),IF(G123=0,"n.a.",F123/G123-1),"n.a.")</x:f>
        <x:v>n.a.</x:v>
      </x:c>
      <x:c r="I123" s="58" t="n">
        <x:f>F123/J123</x:f>
        <x:v>0.07403183381698769</x:v>
      </x:c>
      <x:c r="J123" s="56" t="n">
        <x:v>394.0251652777778</x:v>
      </x:c>
    </x:row>
    <x:row r="124" ht="65" customHeight="1">
      <x:c r="A124" s="61" t="n">
        <x:v>44805</x:v>
      </x:c>
      <x:c r="B124" s="32" t="str">
        <x:v>Alimentación y artículos de consumo masivo</x:v>
      </x:c>
      <x:c r="C124" s="32" t="str">
        <x:v>Alimentación, comercios y servicios</x:v>
      </x:c>
      <x:c r="D124" s="62" t="n">
        <x:v>30</x:v>
      </x:c>
      <x:c r="E124" s="2" t="str">
        <x:v>Completo</x:v>
      </x:c>
      <x:c r="F124" s="56" t="n">
        <x:v>274.391175</x:v>
      </x:c>
      <x:c r="G124" s="56" t="str">
        <x:f>"n.a."</x:f>
        <x:v>n.a.</x:v>
      </x:c>
      <x:c r="H124" s="57" t="str">
        <x:f>IF(ISNUMBER(G124),IF(G124=0,"n.a.",F124/G124-1),"n.a.")</x:f>
        <x:v>n.a.</x:v>
      </x:c>
      <x:c r="I124" s="58" t="n">
        <x:f>F124/J124</x:f>
        <x:v>0.696379823371335</x:v>
      </x:c>
      <x:c r="J124" s="56" t="n">
        <x:v>394.0251652777778</x:v>
      </x:c>
    </x:row>
    <x:row r="125" ht="65" customHeight="1">
      <x:c r="A125" s="61" t="n">
        <x:v>44805</x:v>
      </x:c>
      <x:c r="B125" s="32" t="str">
        <x:v>Servicios públicos y transporte: agua y transporte en GBA</x:v>
      </x:c>
      <x:c r="C125" s="32" t="str">
        <x:v>Alimentación, comercios y servicios</x:v>
      </x:c>
      <x:c r="D125" s="62" t="n">
        <x:v>30</x:v>
      </x:c>
      <x:c r="E125" s="2" t="str">
        <x:v>Completo</x:v>
      </x:c>
      <x:c r="F125" s="56" t="n">
        <x:v>82.98807777777778</x:v>
      </x:c>
      <x:c r="G125" s="56" t="str">
        <x:f>"n.a."</x:f>
        <x:v>n.a.</x:v>
      </x:c>
      <x:c r="H125" s="57" t="str">
        <x:f>IF(ISNUMBER(G125),IF(G125=0,"n.a.",F125/G125-1),"n.a.")</x:f>
        <x:v>n.a.</x:v>
      </x:c>
      <x:c r="I125" s="58" t="n">
        <x:f>F125/J125</x:f>
        <x:v>0.2106161867079563</x:v>
      </x:c>
      <x:c r="J125" s="56" t="n">
        <x:v>394.0251652777778</x:v>
      </x:c>
    </x:row>
    <x:row r="126" ht="65" customHeight="1">
      <x:c r="A126" s="61" t="n">
        <x:v>44805</x:v>
      </x:c>
      <x:c r="B126" s="32" t="str">
        <x:v>Industria automotriz</x:v>
      </x:c>
      <x:c r="C126" s="32" t="str">
        <x:v>Industrias sin Aluar</x:v>
      </x:c>
      <x:c r="D126" s="62" t="n">
        <x:v>30</x:v>
      </x:c>
      <x:c r="E126" s="2" t="str">
        <x:v>Completo</x:v>
      </x:c>
      <x:c r="F126" s="56" t="n">
        <x:v>37.15708055555556</x:v>
      </x:c>
      <x:c r="G126" s="56" t="str">
        <x:f>"n.a."</x:f>
        <x:v>n.a.</x:v>
      </x:c>
      <x:c r="H126" s="57" t="str">
        <x:f>IF(ISNUMBER(G126),IF(G126=0,"n.a.",F126/G126-1),"n.a.")</x:f>
        <x:v>n.a.</x:v>
      </x:c>
      <x:c r="I126" s="58" t="n">
        <x:f>F126/J126</x:f>
        <x:v>0.028402125702296603</x:v>
      </x:c>
      <x:c r="J126" s="56" t="n">
        <x:v>1308.249986111111</x:v>
      </x:c>
    </x:row>
    <x:row r="127" ht="65" customHeight="1">
      <x:c r="A127" s="61" t="n">
        <x:v>44805</x:v>
      </x:c>
      <x:c r="B127" s="32" t="str">
        <x:v>Derivados de petróleo</x:v>
      </x:c>
      <x:c r="C127" s="32" t="str">
        <x:v>Industrias sin Aluar</x:v>
      </x:c>
      <x:c r="D127" s="62" t="n">
        <x:v>30</x:v>
      </x:c>
      <x:c r="E127" s="2" t="str">
        <x:v>Completo</x:v>
      </x:c>
      <x:c r="F127" s="56" t="n">
        <x:v>155.6003777777778</x:v>
      </x:c>
      <x:c r="G127" s="56" t="str">
        <x:f>"n.a."</x:f>
        <x:v>n.a.</x:v>
      </x:c>
      <x:c r="H127" s="57" t="str">
        <x:f>IF(ISNUMBER(G127),IF(G127=0,"n.a.",F127/G127-1),"n.a.")</x:f>
        <x:v>n.a.</x:v>
      </x:c>
      <x:c r="I127" s="58" t="n">
        <x:f>F127/J127</x:f>
        <x:v>0.1189378019718645</x:v>
      </x:c>
      <x:c r="J127" s="56" t="n">
        <x:v>1308.249986111111</x:v>
      </x:c>
    </x:row>
    <x:row r="128" ht="65" customHeight="1">
      <x:c r="A128" s="61" t="n">
        <x:v>44805</x:v>
      </x:c>
      <x:c r="B128" s="32" t="str">
        <x:v>Construcción: elaboración de cemento y canteras</x:v>
      </x:c>
      <x:c r="C128" s="32" t="str">
        <x:v>Industrias sin Aluar</x:v>
      </x:c>
      <x:c r="D128" s="62" t="n">
        <x:v>30</x:v>
      </x:c>
      <x:c r="E128" s="2" t="str">
        <x:v>Completo</x:v>
      </x:c>
      <x:c r="F128" s="56" t="n">
        <x:v>185.78671944444443</x:v>
      </x:c>
      <x:c r="G128" s="56" t="str">
        <x:f>"n.a."</x:f>
        <x:v>n.a.</x:v>
      </x:c>
      <x:c r="H128" s="57" t="str">
        <x:f>IF(ISNUMBER(G128),IF(G128=0,"n.a.",F128/G128-1),"n.a.")</x:f>
        <x:v>n.a.</x:v>
      </x:c>
      <x:c r="I128" s="58" t="n">
        <x:f>F128/J128</x:f>
        <x:v>0.14201163494502447</x:v>
      </x:c>
      <x:c r="J128" s="56" t="n">
        <x:v>1308.249986111111</x:v>
      </x:c>
    </x:row>
    <x:row r="129" ht="65" customHeight="1">
      <x:c r="A129" s="61" t="n">
        <x:v>44805</x:v>
      </x:c>
      <x:c r="B129" s="32" t="str">
        <x:v>Madera y papel</x:v>
      </x:c>
      <x:c r="C129" s="32" t="str">
        <x:v>Industrias sin Aluar</x:v>
      </x:c>
      <x:c r="D129" s="62" t="n">
        <x:v>30</x:v>
      </x:c>
      <x:c r="E129" s="2" t="str">
        <x:v>Completo</x:v>
      </x:c>
      <x:c r="F129" s="56" t="n">
        <x:v>109.43196527777778</x:v>
      </x:c>
      <x:c r="G129" s="56" t="str">
        <x:f>"n.a."</x:f>
        <x:v>n.a.</x:v>
      </x:c>
      <x:c r="H129" s="57" t="str">
        <x:f>IF(ISNUMBER(G129),IF(G129=0,"n.a.",F129/G129-1),"n.a.")</x:f>
        <x:v>n.a.</x:v>
      </x:c>
      <x:c r="I129" s="58" t="n">
        <x:f>F129/J129</x:f>
        <x:v>0.08364759521463784</x:v>
      </x:c>
      <x:c r="J129" s="56" t="n">
        <x:v>1308.249986111111</x:v>
      </x:c>
    </x:row>
    <x:row r="130" ht="65" customHeight="1">
      <x:c r="A130" s="61" t="n">
        <x:v>44805</x:v>
      </x:c>
      <x:c r="B130" s="32" t="str">
        <x:v>Productos metálicos no automotores</x:v>
      </x:c>
      <x:c r="C130" s="32" t="str">
        <x:v>Industrias sin Aluar</x:v>
      </x:c>
      <x:c r="D130" s="62" t="n">
        <x:v>30</x:v>
      </x:c>
      <x:c r="E130" s="2" t="str">
        <x:v>Completo</x:v>
      </x:c>
      <x:c r="F130" s="56" t="n">
        <x:v>64.4261625</x:v>
      </x:c>
      <x:c r="G130" s="56" t="str">
        <x:f>"n.a."</x:f>
        <x:v>n.a.</x:v>
      </x:c>
      <x:c r="H130" s="57" t="str">
        <x:f>IF(ISNUMBER(G130),IF(G130=0,"n.a.",F130/G130-1),"n.a.")</x:f>
        <x:v>n.a.</x:v>
      </x:c>
      <x:c r="I130" s="58" t="n">
        <x:f>F130/J130</x:f>
        <x:v>0.04924606396634674</x:v>
      </x:c>
      <x:c r="J130" s="56" t="n">
        <x:v>1308.249986111111</x:v>
      </x:c>
    </x:row>
    <x:row r="131" ht="65" customHeight="1">
      <x:c r="A131" s="61" t="n">
        <x:v>44805</x:v>
      </x:c>
      <x:c r="B131" s="32" t="str">
        <x:v>Gran siderurgia</x:v>
      </x:c>
      <x:c r="C131" s="32" t="str">
        <x:v>Industrias sin Aluar</x:v>
      </x:c>
      <x:c r="D131" s="62" t="n">
        <x:v>30</x:v>
      </x:c>
      <x:c r="E131" s="2" t="str">
        <x:v>Completo</x:v>
      </x:c>
      <x:c r="F131" s="56" t="n">
        <x:v>370.34691111111107</x:v>
      </x:c>
      <x:c r="G131" s="56" t="str">
        <x:f>"n.a."</x:f>
        <x:v>n.a.</x:v>
      </x:c>
      <x:c r="H131" s="57" t="str">
        <x:f>IF(ISNUMBER(G131),IF(G131=0,"n.a.",F131/G131-1),"n.a.")</x:f>
        <x:v>n.a.</x:v>
      </x:c>
      <x:c r="I131" s="58" t="n">
        <x:f>F131/J131</x:f>
        <x:v>0.2830857367038849</x:v>
      </x:c>
      <x:c r="J131" s="56" t="n">
        <x:v>1308.249986111111</x:v>
      </x:c>
    </x:row>
    <x:row r="132" ht="65" customHeight="1">
      <x:c r="A132" s="61" t="n">
        <x:v>44805</x:v>
      </x:c>
      <x:c r="B132" s="32" t="str">
        <x:v>Industria textil</x:v>
      </x:c>
      <x:c r="C132" s="32" t="str">
        <x:v>Industrias sin Aluar</x:v>
      </x:c>
      <x:c r="D132" s="62" t="n">
        <x:v>30</x:v>
      </x:c>
      <x:c r="E132" s="2" t="str">
        <x:v>Completo</x:v>
      </x:c>
      <x:c r="F132" s="56" t="n">
        <x:v>64.808925</x:v>
      </x:c>
      <x:c r="G132" s="56" t="str">
        <x:f>"n.a."</x:f>
        <x:v>n.a.</x:v>
      </x:c>
      <x:c r="H132" s="57" t="str">
        <x:f>IF(ISNUMBER(G132),IF(G132=0,"n.a.",F132/G132-1),"n.a.")</x:f>
        <x:v>n.a.</x:v>
      </x:c>
      <x:c r="I132" s="58" t="n">
        <x:f>F132/J132</x:f>
        <x:v>0.049538639929705086</x:v>
      </x:c>
      <x:c r="J132" s="56" t="n">
        <x:v>1308.249986111111</x:v>
      </x:c>
    </x:row>
    <x:row r="133" ht="65" customHeight="1">
      <x:c r="A133" s="61" t="n">
        <x:v>44805</x:v>
      </x:c>
      <x:c r="B133" s="32" t="str">
        <x:v>Químicas, caucho, plástico y otros minerales no metálicos</x:v>
      </x:c>
      <x:c r="C133" s="32" t="str">
        <x:v>Industrias sin Aluar</x:v>
      </x:c>
      <x:c r="D133" s="62" t="n">
        <x:v>30</x:v>
      </x:c>
      <x:c r="E133" s="2" t="str">
        <x:v>Completo</x:v>
      </x:c>
      <x:c r="F133" s="56" t="n">
        <x:v>320.6918444444444</x:v>
      </x:c>
      <x:c r="G133" s="56" t="str">
        <x:f>"n.a."</x:f>
        <x:v>n.a.</x:v>
      </x:c>
      <x:c r="H133" s="57" t="str">
        <x:f>IF(ISNUMBER(G133),IF(G133=0,"n.a.",F133/G133-1),"n.a.")</x:f>
        <x:v>n.a.</x:v>
      </x:c>
      <x:c r="I133" s="58" t="n">
        <x:f>F133/J133</x:f>
        <x:v>0.2451304015662399</x:v>
      </x:c>
      <x:c r="J133" s="56" t="n">
        <x:v>1308.249986111111</x:v>
      </x:c>
    </x:row>
    <x:row r="134" ht="65" customHeight="1">
      <x:c r="A134" s="61" t="n">
        <x:v>44805</x:v>
      </x:c>
      <x:c r="B134" s="32" t="str">
        <x:v>Extracción de minerales</x:v>
      </x:c>
      <x:c r="C134" s="32" t="str">
        <x:v>Petróleos y minerales</x:v>
      </x:c>
      <x:c r="D134" s="62" t="n">
        <x:v>30</x:v>
      </x:c>
      <x:c r="E134" s="2" t="str">
        <x:v>Completo</x:v>
      </x:c>
      <x:c r="F134" s="56" t="n">
        <x:v>20.128856944444447</x:v>
      </x:c>
      <x:c r="G134" s="56" t="str">
        <x:f>"n.a."</x:f>
        <x:v>n.a.</x:v>
      </x:c>
      <x:c r="H134" s="57" t="str">
        <x:f>IF(ISNUMBER(G134),IF(G134=0,"n.a.",F134/G134-1),"n.a.")</x:f>
        <x:v>n.a.</x:v>
      </x:c>
      <x:c r="I134" s="58" t="n">
        <x:f>F134/J134</x:f>
        <x:v>0.11572269652516279</x:v>
      </x:c>
      <x:c r="J134" s="56" t="n">
        <x:v>173.94044166666666</x:v>
      </x:c>
    </x:row>
    <x:row r="135" ht="65" customHeight="1">
      <x:c r="A135" s="61" t="n">
        <x:v>44805</x:v>
      </x:c>
      <x:c r="B135" s="32" t="str">
        <x:v>Extracción de petróleo</x:v>
      </x:c>
      <x:c r="C135" s="32" t="str">
        <x:v>Petróleos y minerales</x:v>
      </x:c>
      <x:c r="D135" s="62" t="n">
        <x:v>30</x:v>
      </x:c>
      <x:c r="E135" s="2" t="str">
        <x:v>Completo</x:v>
      </x:c>
      <x:c r="F135" s="56" t="n">
        <x:v>153.81158472222222</x:v>
      </x:c>
      <x:c r="G135" s="56" t="str">
        <x:f>"n.a."</x:f>
        <x:v>n.a.</x:v>
      </x:c>
      <x:c r="H135" s="57" t="str">
        <x:f>IF(ISNUMBER(G135),IF(G135=0,"n.a.",F135/G135-1),"n.a.")</x:f>
        <x:v>n.a.</x:v>
      </x:c>
      <x:c r="I135" s="58" t="n">
        <x:f>F135/J135</x:f>
        <x:v>0.8842773034748372</x:v>
      </x:c>
      <x:c r="J135" s="56" t="n">
        <x:v>173.94044166666666</x:v>
      </x:c>
    </x:row>
    <x:row r="136" ht="65" customHeight="1">
      <x:c r="A136" s="61" t="n">
        <x:v>44835</x:v>
      </x:c>
      <x:c r="B136" s="32" t="str">
        <x:v>Cargas y puertos</x:v>
      </x:c>
      <x:c r="C136" s="32" t="str">
        <x:v>Alimentación, comercios y servicios</x:v>
      </x:c>
      <x:c r="D136" s="62" t="n">
        <x:v>31</x:v>
      </x:c>
      <x:c r="E136" s="2" t="str">
        <x:v>Completo</x:v>
      </x:c>
      <x:c r="F136" s="56" t="n">
        <x:v>7.185059139784947</x:v>
      </x:c>
      <x:c r="G136" s="56" t="str">
        <x:f>"n.a."</x:f>
        <x:v>n.a.</x:v>
      </x:c>
      <x:c r="H136" s="57" t="str">
        <x:f>IF(ISNUMBER(G136),IF(G136=0,"n.a.",F136/G136-1),"n.a.")</x:f>
        <x:v>n.a.</x:v>
      </x:c>
      <x:c r="I136" s="58" t="n">
        <x:f>F136/J136</x:f>
        <x:v>0.01867833205493103</x:v>
      </x:c>
      <x:c r="J136" s="56" t="n">
        <x:v>384.6734879032258</x:v>
      </x:c>
    </x:row>
    <x:row r="137" ht="65" customHeight="1">
      <x:c r="A137" s="61" t="n">
        <x:v>44835</x:v>
      </x:c>
      <x:c r="B137" s="32" t="str">
        <x:v>Comercio y servicios: principalmente supermercados y centros comerciales</x:v>
      </x:c>
      <x:c r="C137" s="32" t="str">
        <x:v>Alimentación, comercios y servicios</x:v>
      </x:c>
      <x:c r="D137" s="62" t="n">
        <x:v>31</x:v>
      </x:c>
      <x:c r="E137" s="2" t="str">
        <x:v>Completo</x:v>
      </x:c>
      <x:c r="F137" s="56" t="n">
        <x:v>30.752962365591397</x:v>
      </x:c>
      <x:c r="G137" s="56" t="str">
        <x:f>"n.a."</x:f>
        <x:v>n.a.</x:v>
      </x:c>
      <x:c r="H137" s="57" t="str">
        <x:f>IF(ISNUMBER(G137),IF(G137=0,"n.a.",F137/G137-1),"n.a.")</x:f>
        <x:v>n.a.</x:v>
      </x:c>
      <x:c r="I137" s="58" t="n">
        <x:f>F137/J137</x:f>
        <x:v>0.07994562488103696</x:v>
      </x:c>
      <x:c r="J137" s="56" t="n">
        <x:v>384.6734879032258</x:v>
      </x:c>
    </x:row>
    <x:row r="138" ht="65" customHeight="1">
      <x:c r="A138" s="61" t="n">
        <x:v>44835</x:v>
      </x:c>
      <x:c r="B138" s="32" t="str">
        <x:v>Alimentación y artículos de consumo masivo</x:v>
      </x:c>
      <x:c r="C138" s="32" t="str">
        <x:v>Alimentación, comercios y servicios</x:v>
      </x:c>
      <x:c r="D138" s="62" t="n">
        <x:v>31</x:v>
      </x:c>
      <x:c r="E138" s="2" t="str">
        <x:v>Completo</x:v>
      </x:c>
      <x:c r="F138" s="56" t="n">
        <x:v>265.7251129032258</x:v>
      </x:c>
      <x:c r="G138" s="56" t="str">
        <x:f>"n.a."</x:f>
        <x:v>n.a.</x:v>
      </x:c>
      <x:c r="H138" s="57" t="str">
        <x:f>IF(ISNUMBER(G138),IF(G138=0,"n.a.",F138/G138-1),"n.a.")</x:f>
        <x:v>n.a.</x:v>
      </x:c>
      <x:c r="I138" s="58" t="n">
        <x:f>F138/J138</x:f>
        <x:v>0.6907809382747885</x:v>
      </x:c>
      <x:c r="J138" s="56" t="n">
        <x:v>384.6734879032258</x:v>
      </x:c>
    </x:row>
    <x:row r="139" ht="65" customHeight="1">
      <x:c r="A139" s="61" t="n">
        <x:v>44835</x:v>
      </x:c>
      <x:c r="B139" s="32" t="str">
        <x:v>Servicios públicos y transporte: agua y transporte en GBA</x:v>
      </x:c>
      <x:c r="C139" s="32" t="str">
        <x:v>Alimentación, comercios y servicios</x:v>
      </x:c>
      <x:c r="D139" s="62" t="n">
        <x:v>31</x:v>
      </x:c>
      <x:c r="E139" s="2" t="str">
        <x:v>Completo</x:v>
      </x:c>
      <x:c r="F139" s="56" t="n">
        <x:v>81.01035349462366</x:v>
      </x:c>
      <x:c r="G139" s="56" t="str">
        <x:f>"n.a."</x:f>
        <x:v>n.a.</x:v>
      </x:c>
      <x:c r="H139" s="57" t="str">
        <x:f>IF(ISNUMBER(G139),IF(G139=0,"n.a.",F139/G139-1),"n.a.")</x:f>
        <x:v>n.a.</x:v>
      </x:c>
      <x:c r="I139" s="58" t="n">
        <x:f>F139/J139</x:f>
        <x:v>0.21059510478924356</x:v>
      </x:c>
      <x:c r="J139" s="56" t="n">
        <x:v>384.6734879032258</x:v>
      </x:c>
    </x:row>
    <x:row r="140" ht="65" customHeight="1">
      <x:c r="A140" s="61" t="n">
        <x:v>44835</x:v>
      </x:c>
      <x:c r="B140" s="32" t="str">
        <x:v>Industria automotriz</x:v>
      </x:c>
      <x:c r="C140" s="32" t="str">
        <x:v>Industrias sin Aluar</x:v>
      </x:c>
      <x:c r="D140" s="62" t="n">
        <x:v>31</x:v>
      </x:c>
      <x:c r="E140" s="2" t="str">
        <x:v>Completo</x:v>
      </x:c>
      <x:c r="F140" s="56" t="n">
        <x:v>36.911353494623654</x:v>
      </x:c>
      <x:c r="G140" s="56" t="str">
        <x:f>"n.a."</x:f>
        <x:v>n.a.</x:v>
      </x:c>
      <x:c r="H140" s="57" t="str">
        <x:f>IF(ISNUMBER(G140),IF(G140=0,"n.a.",F140/G140-1),"n.a.")</x:f>
        <x:v>n.a.</x:v>
      </x:c>
      <x:c r="I140" s="58" t="n">
        <x:f>F140/J140</x:f>
        <x:v>0.028030065199389883</x:v>
      </x:c>
      <x:c r="J140" s="56" t="n">
        <x:v>1316.8486491935482</x:v>
      </x:c>
    </x:row>
    <x:row r="141" ht="65" customHeight="1">
      <x:c r="A141" s="61" t="n">
        <x:v>44835</x:v>
      </x:c>
      <x:c r="B141" s="32" t="str">
        <x:v>Derivados de petróleo</x:v>
      </x:c>
      <x:c r="C141" s="32" t="str">
        <x:v>Industrias sin Aluar</x:v>
      </x:c>
      <x:c r="D141" s="62" t="n">
        <x:v>31</x:v>
      </x:c>
      <x:c r="E141" s="2" t="str">
        <x:v>Completo</x:v>
      </x:c>
      <x:c r="F141" s="56" t="n">
        <x:v>157.4165067204301</x:v>
      </x:c>
      <x:c r="G141" s="56" t="str">
        <x:f>"n.a."</x:f>
        <x:v>n.a.</x:v>
      </x:c>
      <x:c r="H141" s="57" t="str">
        <x:f>IF(ISNUMBER(G141),IF(G141=0,"n.a.",F141/G141-1),"n.a.")</x:f>
        <x:v>n.a.</x:v>
      </x:c>
      <x:c r="I141" s="58" t="n">
        <x:f>F141/J141</x:f>
        <x:v>0.11954031833258409</x:v>
      </x:c>
      <x:c r="J141" s="56" t="n">
        <x:v>1316.8486491935482</x:v>
      </x:c>
    </x:row>
    <x:row r="142" ht="65" customHeight="1">
      <x:c r="A142" s="61" t="n">
        <x:v>44835</x:v>
      </x:c>
      <x:c r="B142" s="32" t="str">
        <x:v>Construcción: elaboración de cemento y canteras</x:v>
      </x:c>
      <x:c r="C142" s="32" t="str">
        <x:v>Industrias sin Aluar</x:v>
      </x:c>
      <x:c r="D142" s="62" t="n">
        <x:v>31</x:v>
      </x:c>
      <x:c r="E142" s="2" t="str">
        <x:v>Completo</x:v>
      </x:c>
      <x:c r="F142" s="56" t="n">
        <x:v>195.07546908602149</x:v>
      </x:c>
      <x:c r="G142" s="56" t="str">
        <x:f>"n.a."</x:f>
        <x:v>n.a.</x:v>
      </x:c>
      <x:c r="H142" s="57" t="str">
        <x:f>IF(ISNUMBER(G142),IF(G142=0,"n.a.",F142/G142-1),"n.a.")</x:f>
        <x:v>n.a.</x:v>
      </x:c>
      <x:c r="I142" s="58" t="n">
        <x:f>F142/J142</x:f>
        <x:v>0.1481381092697993</x:v>
      </x:c>
      <x:c r="J142" s="56" t="n">
        <x:v>1316.8486491935482</x:v>
      </x:c>
    </x:row>
    <x:row r="143" ht="65" customHeight="1">
      <x:c r="A143" s="61" t="n">
        <x:v>44835</x:v>
      </x:c>
      <x:c r="B143" s="32" t="str">
        <x:v>Madera y papel</x:v>
      </x:c>
      <x:c r="C143" s="32" t="str">
        <x:v>Industrias sin Aluar</x:v>
      </x:c>
      <x:c r="D143" s="62" t="n">
        <x:v>31</x:v>
      </x:c>
      <x:c r="E143" s="2" t="str">
        <x:v>Completo</x:v>
      </x:c>
      <x:c r="F143" s="56" t="n">
        <x:v>108.78326075268816</x:v>
      </x:c>
      <x:c r="G143" s="56" t="str">
        <x:f>"n.a."</x:f>
        <x:v>n.a.</x:v>
      </x:c>
      <x:c r="H143" s="57" t="str">
        <x:f>IF(ISNUMBER(G143),IF(G143=0,"n.a.",F143/G143-1),"n.a.")</x:f>
        <x:v>n.a.</x:v>
      </x:c>
      <x:c r="I143" s="58" t="n">
        <x:f>F143/J143</x:f>
        <x:v>0.08260878030235909</x:v>
      </x:c>
      <x:c r="J143" s="56" t="n">
        <x:v>1316.8486491935482</x:v>
      </x:c>
    </x:row>
    <x:row r="144" ht="65" customHeight="1">
      <x:c r="A144" s="61" t="n">
        <x:v>44835</x:v>
      </x:c>
      <x:c r="B144" s="32" t="str">
        <x:v>Productos metálicos no automotores</x:v>
      </x:c>
      <x:c r="C144" s="32" t="str">
        <x:v>Industrias sin Aluar</x:v>
      </x:c>
      <x:c r="D144" s="62" t="n">
        <x:v>31</x:v>
      </x:c>
      <x:c r="E144" s="2" t="str">
        <x:v>Completo</x:v>
      </x:c>
      <x:c r="F144" s="56" t="n">
        <x:v>63.52213440860215</x:v>
      </x:c>
      <x:c r="G144" s="56" t="str">
        <x:f>"n.a."</x:f>
        <x:v>n.a.</x:v>
      </x:c>
      <x:c r="H144" s="57" t="str">
        <x:f>IF(ISNUMBER(G144),IF(G144=0,"n.a.",F144/G144-1),"n.a.")</x:f>
        <x:v>n.a.</x:v>
      </x:c>
      <x:c r="I144" s="58" t="n">
        <x:f>F144/J144</x:f>
        <x:v>0.04823799185085071</x:v>
      </x:c>
      <x:c r="J144" s="56" t="n">
        <x:v>1316.8486491935482</x:v>
      </x:c>
    </x:row>
    <x:row r="145" ht="65" customHeight="1">
      <x:c r="A145" s="61" t="n">
        <x:v>44835</x:v>
      </x:c>
      <x:c r="B145" s="32" t="str">
        <x:v>Gran siderurgia</x:v>
      </x:c>
      <x:c r="C145" s="32" t="str">
        <x:v>Industrias sin Aluar</x:v>
      </x:c>
      <x:c r="D145" s="62" t="n">
        <x:v>31</x:v>
      </x:c>
      <x:c r="E145" s="2" t="str">
        <x:v>Completo</x:v>
      </x:c>
      <x:c r="F145" s="56" t="n">
        <x:v>367.2557701612903</x:v>
      </x:c>
      <x:c r="G145" s="56" t="str">
        <x:f>"n.a."</x:f>
        <x:v>n.a.</x:v>
      </x:c>
      <x:c r="H145" s="57" t="str">
        <x:f>IF(ISNUMBER(G145),IF(G145=0,"n.a.",F145/G145-1),"n.a.")</x:f>
        <x:v>n.a.</x:v>
      </x:c>
      <x:c r="I145" s="58" t="n">
        <x:f>F145/J145</x:f>
        <x:v>0.2788898863861094</x:v>
      </x:c>
      <x:c r="J145" s="56" t="n">
        <x:v>1316.8486491935482</x:v>
      </x:c>
    </x:row>
    <x:row r="146" ht="65" customHeight="1">
      <x:c r="A146" s="61" t="n">
        <x:v>44835</x:v>
      </x:c>
      <x:c r="B146" s="32" t="str">
        <x:v>Industria textil</x:v>
      </x:c>
      <x:c r="C146" s="32" t="str">
        <x:v>Industrias sin Aluar</x:v>
      </x:c>
      <x:c r="D146" s="62" t="n">
        <x:v>31</x:v>
      </x:c>
      <x:c r="E146" s="2" t="str">
        <x:v>Completo</x:v>
      </x:c>
      <x:c r="F146" s="56" t="n">
        <x:v>62.25362768817204</x:v>
      </x:c>
      <x:c r="G146" s="56" t="str">
        <x:f>"n.a."</x:f>
        <x:v>n.a.</x:v>
      </x:c>
      <x:c r="H146" s="57" t="str">
        <x:f>IF(ISNUMBER(G146),IF(G146=0,"n.a.",F146/G146-1),"n.a.")</x:f>
        <x:v>n.a.</x:v>
      </x:c>
      <x:c r="I146" s="58" t="n">
        <x:f>F146/J146</x:f>
        <x:v>0.047274702165884294</x:v>
      </x:c>
      <x:c r="J146" s="56" t="n">
        <x:v>1316.8486491935482</x:v>
      </x:c>
    </x:row>
    <x:row r="147" ht="65" customHeight="1">
      <x:c r="A147" s="61" t="n">
        <x:v>44835</x:v>
      </x:c>
      <x:c r="B147" s="32" t="str">
        <x:v>Químicas, caucho, plástico y otros minerales no metálicos</x:v>
      </x:c>
      <x:c r="C147" s="32" t="str">
        <x:v>Industrias sin Aluar</x:v>
      </x:c>
      <x:c r="D147" s="62" t="n">
        <x:v>31</x:v>
      </x:c>
      <x:c r="E147" s="2" t="str">
        <x:v>Completo</x:v>
      </x:c>
      <x:c r="F147" s="56" t="n">
        <x:v>325.6305268817204</x:v>
      </x:c>
      <x:c r="G147" s="56" t="str">
        <x:f>"n.a."</x:f>
        <x:v>n.a.</x:v>
      </x:c>
      <x:c r="H147" s="57" t="str">
        <x:f>IF(ISNUMBER(G147),IF(G147=0,"n.a.",F147/G147-1),"n.a.")</x:f>
        <x:v>n.a.</x:v>
      </x:c>
      <x:c r="I147" s="58" t="n">
        <x:f>F147/J147</x:f>
        <x:v>0.24728014649302327</x:v>
      </x:c>
      <x:c r="J147" s="56" t="n">
        <x:v>1316.8486491935482</x:v>
      </x:c>
    </x:row>
    <x:row r="148" ht="65" customHeight="1">
      <x:c r="A148" s="61" t="n">
        <x:v>44835</x:v>
      </x:c>
      <x:c r="B148" s="32" t="str">
        <x:v>Extracción de minerales</x:v>
      </x:c>
      <x:c r="C148" s="32" t="str">
        <x:v>Petróleos y minerales</x:v>
      </x:c>
      <x:c r="D148" s="62" t="n">
        <x:v>31</x:v>
      </x:c>
      <x:c r="E148" s="2" t="str">
        <x:v>Completo</x:v>
      </x:c>
      <x:c r="F148" s="56" t="n">
        <x:v>20.161274193548387</x:v>
      </x:c>
      <x:c r="G148" s="56" t="str">
        <x:f>"n.a."</x:f>
        <x:v>n.a.</x:v>
      </x:c>
      <x:c r="H148" s="57" t="str">
        <x:f>IF(ISNUMBER(G148),IF(G148=0,"n.a.",F148/G148-1),"n.a.")</x:f>
        <x:v>n.a.</x:v>
      </x:c>
      <x:c r="I148" s="58" t="n">
        <x:f>F148/J148</x:f>
        <x:v>0.11350365746154797</x:v>
      </x:c>
      <x:c r="J148" s="56" t="n">
        <x:v>177.6266478494624</x:v>
      </x:c>
    </x:row>
    <x:row r="149" ht="65" customHeight="1">
      <x:c r="A149" s="61" t="n">
        <x:v>44835</x:v>
      </x:c>
      <x:c r="B149" s="32" t="str">
        <x:v>Extracción de petróleo</x:v>
      </x:c>
      <x:c r="C149" s="32" t="str">
        <x:v>Petróleos y minerales</x:v>
      </x:c>
      <x:c r="D149" s="62" t="n">
        <x:v>31</x:v>
      </x:c>
      <x:c r="E149" s="2" t="str">
        <x:v>Completo</x:v>
      </x:c>
      <x:c r="F149" s="56" t="n">
        <x:v>157.465373655914</x:v>
      </x:c>
      <x:c r="G149" s="56" t="str">
        <x:f>"n.a."</x:f>
        <x:v>n.a.</x:v>
      </x:c>
      <x:c r="H149" s="57" t="str">
        <x:f>IF(ISNUMBER(G149),IF(G149=0,"n.a.",F149/G149-1),"n.a.")</x:f>
        <x:v>n.a.</x:v>
      </x:c>
      <x:c r="I149" s="58" t="n">
        <x:f>F149/J149</x:f>
        <x:v>0.886496342538452</x:v>
      </x:c>
      <x:c r="J149" s="56" t="n">
        <x:v>177.6266478494624</x:v>
      </x:c>
    </x:row>
    <x:row r="150" ht="65" customHeight="1">
      <x:c r="A150" s="61" t="n">
        <x:v>44866</x:v>
      </x:c>
      <x:c r="B150" s="32" t="str">
        <x:v>Cargas y puertos</x:v>
      </x:c>
      <x:c r="C150" s="32" t="str">
        <x:v>Alimentación, comercios y servicios</x:v>
      </x:c>
      <x:c r="D150" s="62" t="n">
        <x:v>30</x:v>
      </x:c>
      <x:c r="E150" s="2" t="str">
        <x:v>Completo</x:v>
      </x:c>
      <x:c r="F150" s="56" t="n">
        <x:v>8.462795833333333</x:v>
      </x:c>
      <x:c r="G150" s="56" t="str">
        <x:f>"n.a."</x:f>
        <x:v>n.a.</x:v>
      </x:c>
      <x:c r="H150" s="57" t="str">
        <x:f>IF(ISNUMBER(G150),IF(G150=0,"n.a.",F150/G150-1),"n.a.")</x:f>
        <x:v>n.a.</x:v>
      </x:c>
      <x:c r="I150" s="58" t="n">
        <x:f>F150/J150</x:f>
        <x:v>0.0198870942107334</x:v>
      </x:c>
      <x:c r="J150" s="56" t="n">
        <x:v>425.54209999999995</x:v>
      </x:c>
    </x:row>
    <x:row r="151" ht="65" customHeight="1">
      <x:c r="A151" s="61" t="n">
        <x:v>44866</x:v>
      </x:c>
      <x:c r="B151" s="32" t="str">
        <x:v>Comercio y servicios: principalmente supermercados y centros comerciales</x:v>
      </x:c>
      <x:c r="C151" s="32" t="str">
        <x:v>Alimentación, comercios y servicios</x:v>
      </x:c>
      <x:c r="D151" s="62" t="n">
        <x:v>30</x:v>
      </x:c>
      <x:c r="E151" s="2" t="str">
        <x:v>Completo</x:v>
      </x:c>
      <x:c r="F151" s="56" t="n">
        <x:v>35.74963888888889</x:v>
      </x:c>
      <x:c r="G151" s="56" t="str">
        <x:f>"n.a."</x:f>
        <x:v>n.a.</x:v>
      </x:c>
      <x:c r="H151" s="57" t="str">
        <x:f>IF(ISNUMBER(G151),IF(G151=0,"n.a.",F151/G151-1),"n.a.")</x:f>
        <x:v>n.a.</x:v>
      </x:c>
      <x:c r="I151" s="58" t="n">
        <x:f>F151/J151</x:f>
        <x:v>0.0840096406181407</x:v>
      </x:c>
      <x:c r="J151" s="56" t="n">
        <x:v>425.54209999999995</x:v>
      </x:c>
    </x:row>
    <x:row r="152" ht="65" customHeight="1">
      <x:c r="A152" s="61" t="n">
        <x:v>44866</x:v>
      </x:c>
      <x:c r="B152" s="32" t="str">
        <x:v>Alimentación y artículos de consumo masivo</x:v>
      </x:c>
      <x:c r="C152" s="32" t="str">
        <x:v>Alimentación, comercios y servicios</x:v>
      </x:c>
      <x:c r="D152" s="62" t="n">
        <x:v>30</x:v>
      </x:c>
      <x:c r="E152" s="2" t="str">
        <x:v>Completo</x:v>
      </x:c>
      <x:c r="F152" s="56" t="n">
        <x:v>294.71852638888885</x:v>
      </x:c>
      <x:c r="G152" s="56" t="str">
        <x:f>"n.a."</x:f>
        <x:v>n.a.</x:v>
      </x:c>
      <x:c r="H152" s="57" t="str">
        <x:f>IF(ISNUMBER(G152),IF(G152=0,"n.a.",F152/G152-1),"n.a.")</x:f>
        <x:v>n.a.</x:v>
      </x:c>
      <x:c r="I152" s="58" t="n">
        <x:f>F152/J152</x:f>
        <x:v>0.692571960304019</x:v>
      </x:c>
      <x:c r="J152" s="56" t="n">
        <x:v>425.54209999999995</x:v>
      </x:c>
    </x:row>
    <x:row r="153" ht="65" customHeight="1">
      <x:c r="A153" s="61" t="n">
        <x:v>44866</x:v>
      </x:c>
      <x:c r="B153" s="32" t="str">
        <x:v>Servicios públicos y transporte: agua y transporte en GBA</x:v>
      </x:c>
      <x:c r="C153" s="32" t="str">
        <x:v>Alimentación, comercios y servicios</x:v>
      </x:c>
      <x:c r="D153" s="62" t="n">
        <x:v>30</x:v>
      </x:c>
      <x:c r="E153" s="2" t="str">
        <x:v>Completo</x:v>
      </x:c>
      <x:c r="F153" s="56" t="n">
        <x:v>86.6111388888889</x:v>
      </x:c>
      <x:c r="G153" s="56" t="str">
        <x:f>"n.a."</x:f>
        <x:v>n.a.</x:v>
      </x:c>
      <x:c r="H153" s="57" t="str">
        <x:f>IF(ISNUMBER(G153),IF(G153=0,"n.a.",F153/G153-1),"n.a.")</x:f>
        <x:v>n.a.</x:v>
      </x:c>
      <x:c r="I153" s="58" t="n">
        <x:f>F153/J153</x:f>
        <x:v>0.20353130486710694</x:v>
      </x:c>
      <x:c r="J153" s="56" t="n">
        <x:v>425.54209999999995</x:v>
      </x:c>
    </x:row>
    <x:row r="154" ht="65" customHeight="1">
      <x:c r="A154" s="61" t="n">
        <x:v>44866</x:v>
      </x:c>
      <x:c r="B154" s="32" t="str">
        <x:v>Industria automotriz</x:v>
      </x:c>
      <x:c r="C154" s="32" t="str">
        <x:v>Industrias sin Aluar</x:v>
      </x:c>
      <x:c r="D154" s="62" t="n">
        <x:v>30</x:v>
      </x:c>
      <x:c r="E154" s="2" t="str">
        <x:v>Completo</x:v>
      </x:c>
      <x:c r="F154" s="56" t="n">
        <x:v>42.028394444444444</x:v>
      </x:c>
      <x:c r="G154" s="56" t="str">
        <x:f>"n.a."</x:f>
        <x:v>n.a.</x:v>
      </x:c>
      <x:c r="H154" s="57" t="str">
        <x:f>IF(ISNUMBER(G154),IF(G154=0,"n.a.",F154/G154-1),"n.a.")</x:f>
        <x:v>n.a.</x:v>
      </x:c>
      <x:c r="I154" s="58" t="n">
        <x:f>F154/J154</x:f>
        <x:v>0.03156583927692623</x:v>
      </x:c>
      <x:c r="J154" s="56" t="n">
        <x:v>1331.4518291666668</x:v>
      </x:c>
    </x:row>
    <x:row r="155" ht="65" customHeight="1">
      <x:c r="A155" s="61" t="n">
        <x:v>44866</x:v>
      </x:c>
      <x:c r="B155" s="32" t="str">
        <x:v>Derivados de petróleo</x:v>
      </x:c>
      <x:c r="C155" s="32" t="str">
        <x:v>Industrias sin Aluar</x:v>
      </x:c>
      <x:c r="D155" s="62" t="n">
        <x:v>30</x:v>
      </x:c>
      <x:c r="E155" s="2" t="str">
        <x:v>Completo</x:v>
      </x:c>
      <x:c r="F155" s="56" t="n">
        <x:v>162.29210972222225</x:v>
      </x:c>
      <x:c r="G155" s="56" t="str">
        <x:f>"n.a."</x:f>
        <x:v>n.a.</x:v>
      </x:c>
      <x:c r="H155" s="57" t="str">
        <x:f>IF(ISNUMBER(G155),IF(G155=0,"n.a.",F155/G155-1),"n.a.")</x:f>
        <x:v>n.a.</x:v>
      </x:c>
      <x:c r="I155" s="58" t="n">
        <x:f>F155/J155</x:f>
        <x:v>0.12189108623163493</x:v>
      </x:c>
      <x:c r="J155" s="56" t="n">
        <x:v>1331.4518291666668</x:v>
      </x:c>
    </x:row>
    <x:row r="156" ht="65" customHeight="1">
      <x:c r="A156" s="61" t="n">
        <x:v>44866</x:v>
      </x:c>
      <x:c r="B156" s="32" t="str">
        <x:v>Construcción: elaboración de cemento y canteras</x:v>
      </x:c>
      <x:c r="C156" s="32" t="str">
        <x:v>Industrias sin Aluar</x:v>
      </x:c>
      <x:c r="D156" s="62" t="n">
        <x:v>30</x:v>
      </x:c>
      <x:c r="E156" s="2" t="str">
        <x:v>Completo</x:v>
      </x:c>
      <x:c r="F156" s="56" t="n">
        <x:v>184.2408125</x:v>
      </x:c>
      <x:c r="G156" s="56" t="str">
        <x:f>"n.a."</x:f>
        <x:v>n.a.</x:v>
      </x:c>
      <x:c r="H156" s="57" t="str">
        <x:f>IF(ISNUMBER(G156),IF(G156=0,"n.a.",F156/G156-1),"n.a.")</x:f>
        <x:v>n.a.</x:v>
      </x:c>
      <x:c r="I156" s="58" t="n">
        <x:f>F156/J156</x:f>
        <x:v>0.1383758754646897</x:v>
      </x:c>
      <x:c r="J156" s="56" t="n">
        <x:v>1331.4518291666668</x:v>
      </x:c>
    </x:row>
    <x:row r="157" ht="65" customHeight="1">
      <x:c r="A157" s="61" t="n">
        <x:v>44866</x:v>
      </x:c>
      <x:c r="B157" s="32" t="str">
        <x:v>Madera y papel</x:v>
      </x:c>
      <x:c r="C157" s="32" t="str">
        <x:v>Industrias sin Aluar</x:v>
      </x:c>
      <x:c r="D157" s="62" t="n">
        <x:v>30</x:v>
      </x:c>
      <x:c r="E157" s="2" t="str">
        <x:v>Completo</x:v>
      </x:c>
      <x:c r="F157" s="56" t="n">
        <x:v>110.09355416666666</x:v>
      </x:c>
      <x:c r="G157" s="56" t="str">
        <x:f>"n.a."</x:f>
        <x:v>n.a.</x:v>
      </x:c>
      <x:c r="H157" s="57" t="str">
        <x:f>IF(ISNUMBER(G157),IF(G157=0,"n.a.",F157/G157-1),"n.a.")</x:f>
        <x:v>n.a.</x:v>
      </x:c>
      <x:c r="I157" s="58" t="n">
        <x:f>F157/J157</x:f>
        <x:v>0.0826868473608785</x:v>
      </x:c>
      <x:c r="J157" s="56" t="n">
        <x:v>1331.4518291666668</x:v>
      </x:c>
    </x:row>
    <x:row r="158" ht="65" customHeight="1">
      <x:c r="A158" s="61" t="n">
        <x:v>44866</x:v>
      </x:c>
      <x:c r="B158" s="32" t="str">
        <x:v>Productos metálicos no automotores</x:v>
      </x:c>
      <x:c r="C158" s="32" t="str">
        <x:v>Industrias sin Aluar</x:v>
      </x:c>
      <x:c r="D158" s="62" t="n">
        <x:v>30</x:v>
      </x:c>
      <x:c r="E158" s="2" t="str">
        <x:v>Completo</x:v>
      </x:c>
      <x:c r="F158" s="56" t="n">
        <x:v>54.11564722222222</x:v>
      </x:c>
      <x:c r="G158" s="56" t="str">
        <x:f>"n.a."</x:f>
        <x:v>n.a.</x:v>
      </x:c>
      <x:c r="H158" s="57" t="str">
        <x:f>IF(ISNUMBER(G158),IF(G158=0,"n.a.",F158/G158-1),"n.a.")</x:f>
        <x:v>n.a.</x:v>
      </x:c>
      <x:c r="I158" s="58" t="n">
        <x:f>F158/J158</x:f>
        <x:v>0.04064408943438253</x:v>
      </x:c>
      <x:c r="J158" s="56" t="n">
        <x:v>1331.4518291666668</x:v>
      </x:c>
    </x:row>
    <x:row r="159" ht="65" customHeight="1">
      <x:c r="A159" s="61" t="n">
        <x:v>44866</x:v>
      </x:c>
      <x:c r="B159" s="32" t="str">
        <x:v>Gran siderurgia</x:v>
      </x:c>
      <x:c r="C159" s="32" t="str">
        <x:v>Industrias sin Aluar</x:v>
      </x:c>
      <x:c r="D159" s="62" t="n">
        <x:v>30</x:v>
      </x:c>
      <x:c r="E159" s="2" t="str">
        <x:v>Completo</x:v>
      </x:c>
      <x:c r="F159" s="56" t="n">
        <x:v>364.3673902777778</x:v>
      </x:c>
      <x:c r="G159" s="56" t="str">
        <x:f>"n.a."</x:f>
        <x:v>n.a.</x:v>
      </x:c>
      <x:c r="H159" s="57" t="str">
        <x:f>IF(ISNUMBER(G159),IF(G159=0,"n.a.",F159/G159-1),"n.a.")</x:f>
        <x:v>n.a.</x:v>
      </x:c>
      <x:c r="I159" s="58" t="n">
        <x:f>F159/J159</x:f>
        <x:v>0.2736617144503299</x:v>
      </x:c>
      <x:c r="J159" s="56" t="n">
        <x:v>1331.4518291666668</x:v>
      </x:c>
    </x:row>
    <x:row r="160" ht="65" customHeight="1">
      <x:c r="A160" s="61" t="n">
        <x:v>44866</x:v>
      </x:c>
      <x:c r="B160" s="32" t="str">
        <x:v>Industria textil</x:v>
      </x:c>
      <x:c r="C160" s="32" t="str">
        <x:v>Industrias sin Aluar</x:v>
      </x:c>
      <x:c r="D160" s="62" t="n">
        <x:v>30</x:v>
      </x:c>
      <x:c r="E160" s="2" t="str">
        <x:v>Completo</x:v>
      </x:c>
      <x:c r="F160" s="56" t="n">
        <x:v>65.30156111111111</x:v>
      </x:c>
      <x:c r="G160" s="56" t="str">
        <x:f>"n.a."</x:f>
        <x:v>n.a.</x:v>
      </x:c>
      <x:c r="H160" s="57" t="str">
        <x:f>IF(ISNUMBER(G160),IF(G160=0,"n.a.",F160/G160-1),"n.a.")</x:f>
        <x:v>n.a.</x:v>
      </x:c>
      <x:c r="I160" s="58" t="n">
        <x:f>F160/J160</x:f>
        <x:v>0.04904538014866242</x:v>
      </x:c>
      <x:c r="J160" s="56" t="n">
        <x:v>1331.4518291666668</x:v>
      </x:c>
    </x:row>
    <x:row r="161" ht="65" customHeight="1">
      <x:c r="A161" s="61" t="n">
        <x:v>44866</x:v>
      </x:c>
      <x:c r="B161" s="32" t="str">
        <x:v>Químicas, caucho, plástico y otros minerales no metálicos</x:v>
      </x:c>
      <x:c r="C161" s="32" t="str">
        <x:v>Industrias sin Aluar</x:v>
      </x:c>
      <x:c r="D161" s="62" t="n">
        <x:v>30</x:v>
      </x:c>
      <x:c r="E161" s="2" t="str">
        <x:v>Completo</x:v>
      </x:c>
      <x:c r="F161" s="56" t="n">
        <x:v>349.0123597222222</x:v>
      </x:c>
      <x:c r="G161" s="56" t="str">
        <x:f>"n.a."</x:f>
        <x:v>n.a.</x:v>
      </x:c>
      <x:c r="H161" s="57" t="str">
        <x:f>IF(ISNUMBER(G161),IF(G161=0,"n.a.",F161/G161-1),"n.a.")</x:f>
        <x:v>n.a.</x:v>
      </x:c>
      <x:c r="I161" s="58" t="n">
        <x:f>F161/J161</x:f>
        <x:v>0.26212916763249566</x:v>
      </x:c>
      <x:c r="J161" s="56" t="n">
        <x:v>1331.4518291666668</x:v>
      </x:c>
    </x:row>
    <x:row r="162" ht="65" customHeight="1">
      <x:c r="A162" s="61" t="n">
        <x:v>44866</x:v>
      </x:c>
      <x:c r="B162" s="32" t="str">
        <x:v>Extracción de minerales</x:v>
      </x:c>
      <x:c r="C162" s="32" t="str">
        <x:v>Petróleos y minerales</x:v>
      </x:c>
      <x:c r="D162" s="62" t="n">
        <x:v>30</x:v>
      </x:c>
      <x:c r="E162" s="2" t="str">
        <x:v>Completo</x:v>
      </x:c>
      <x:c r="F162" s="56" t="n">
        <x:v>19.485816666666665</x:v>
      </x:c>
      <x:c r="G162" s="56" t="str">
        <x:f>"n.a."</x:f>
        <x:v>n.a.</x:v>
      </x:c>
      <x:c r="H162" s="57" t="str">
        <x:f>IF(ISNUMBER(G162),IF(G162=0,"n.a.",F162/G162-1),"n.a.")</x:f>
        <x:v>n.a.</x:v>
      </x:c>
      <x:c r="I162" s="58" t="n">
        <x:f>F162/J162</x:f>
        <x:v>0.11459956851752802</x:v>
      </x:c>
      <x:c r="J162" s="56" t="n">
        <x:v>170.03394444444444</x:v>
      </x:c>
    </x:row>
    <x:row r="163" ht="65" customHeight="1">
      <x:c r="A163" s="61" t="n">
        <x:v>44866</x:v>
      </x:c>
      <x:c r="B163" s="32" t="str">
        <x:v>Extracción de petróleo</x:v>
      </x:c>
      <x:c r="C163" s="32" t="str">
        <x:v>Petróleos y minerales</x:v>
      </x:c>
      <x:c r="D163" s="62" t="n">
        <x:v>30</x:v>
      </x:c>
      <x:c r="E163" s="2" t="str">
        <x:v>Completo</x:v>
      </x:c>
      <x:c r="F163" s="56" t="n">
        <x:v>150.54812777777778</x:v>
      </x:c>
      <x:c r="G163" s="56" t="str">
        <x:f>"n.a."</x:f>
        <x:v>n.a.</x:v>
      </x:c>
      <x:c r="H163" s="57" t="str">
        <x:f>IF(ISNUMBER(G163),IF(G163=0,"n.a.",F163/G163-1),"n.a.")</x:f>
        <x:v>n.a.</x:v>
      </x:c>
      <x:c r="I163" s="58" t="n">
        <x:f>F163/J163</x:f>
        <x:v>0.8854004314824719</x:v>
      </x:c>
      <x:c r="J163" s="56" t="n">
        <x:v>170.03394444444444</x:v>
      </x:c>
    </x:row>
    <x:row r="164" ht="65" customHeight="1">
      <x:c r="A164" s="61" t="n">
        <x:v>44896</x:v>
      </x:c>
      <x:c r="B164" s="32" t="str">
        <x:v>Cargas y puertos</x:v>
      </x:c>
      <x:c r="C164" s="32" t="str">
        <x:v>Alimentación, comercios y servicios</x:v>
      </x:c>
      <x:c r="D164" s="62" t="n">
        <x:v>31</x:v>
      </x:c>
      <x:c r="E164" s="2" t="str">
        <x:v>Completo</x:v>
      </x:c>
      <x:c r="F164" s="56" t="n">
        <x:v>9.232108870967743</x:v>
      </x:c>
      <x:c r="G164" s="56" t="str">
        <x:f>"n.a."</x:f>
        <x:v>n.a.</x:v>
      </x:c>
      <x:c r="H164" s="57" t="str">
        <x:f>IF(ISNUMBER(G164),IF(G164=0,"n.a.",F164/G164-1),"n.a.")</x:f>
        <x:v>n.a.</x:v>
      </x:c>
      <x:c r="I164" s="58" t="n">
        <x:f>F164/J164</x:f>
        <x:v>0.023481218319837464</x:v>
      </x:c>
      <x:c r="J164" s="56" t="n">
        <x:v>393.1699260752688</x:v>
      </x:c>
    </x:row>
    <x:row r="165" ht="65" customHeight="1">
      <x:c r="A165" s="61" t="n">
        <x:v>44896</x:v>
      </x:c>
      <x:c r="B165" s="32" t="str">
        <x:v>Comercio y servicios: principalmente supermercados y centros comerciales</x:v>
      </x:c>
      <x:c r="C165" s="32" t="str">
        <x:v>Alimentación, comercios y servicios</x:v>
      </x:c>
      <x:c r="D165" s="62" t="n">
        <x:v>31</x:v>
      </x:c>
      <x:c r="E165" s="2" t="str">
        <x:v>Completo</x:v>
      </x:c>
      <x:c r="F165" s="56" t="n">
        <x:v>38.40540188172044</x:v>
      </x:c>
      <x:c r="G165" s="56" t="str">
        <x:f>"n.a."</x:f>
        <x:v>n.a.</x:v>
      </x:c>
      <x:c r="H165" s="57" t="str">
        <x:f>IF(ISNUMBER(G165),IF(G165=0,"n.a.",F165/G165-1),"n.a.")</x:f>
        <x:v>n.a.</x:v>
      </x:c>
      <x:c r="I165" s="58" t="n">
        <x:f>F165/J165</x:f>
        <x:v>0.09768143322937695</x:v>
      </x:c>
      <x:c r="J165" s="56" t="n">
        <x:v>393.1699260752688</x:v>
      </x:c>
    </x:row>
    <x:row r="166" ht="65" customHeight="1">
      <x:c r="A166" s="61" t="n">
        <x:v>44896</x:v>
      </x:c>
      <x:c r="B166" s="32" t="str">
        <x:v>Alimentación y artículos de consumo masivo</x:v>
      </x:c>
      <x:c r="C166" s="32" t="str">
        <x:v>Alimentación, comercios y servicios</x:v>
      </x:c>
      <x:c r="D166" s="62" t="n">
        <x:v>31</x:v>
      </x:c>
      <x:c r="E166" s="2" t="str">
        <x:v>Completo</x:v>
      </x:c>
      <x:c r="F166" s="56" t="n">
        <x:v>257.60786693548386</x:v>
      </x:c>
      <x:c r="G166" s="56" t="str">
        <x:f>"n.a."</x:f>
        <x:v>n.a.</x:v>
      </x:c>
      <x:c r="H166" s="57" t="str">
        <x:f>IF(ISNUMBER(G166),IF(G166=0,"n.a.",F166/G166-1),"n.a.")</x:f>
        <x:v>n.a.</x:v>
      </x:c>
      <x:c r="I166" s="58" t="n">
        <x:f>F166/J166</x:f>
        <x:v>0.6552074557354806</x:v>
      </x:c>
      <x:c r="J166" s="56" t="n">
        <x:v>393.1699260752688</x:v>
      </x:c>
    </x:row>
    <x:row r="167" ht="65" customHeight="1">
      <x:c r="A167" s="61" t="n">
        <x:v>44896</x:v>
      </x:c>
      <x:c r="B167" s="32" t="str">
        <x:v>Servicios públicos y transporte: agua y transporte en GBA</x:v>
      </x:c>
      <x:c r="C167" s="32" t="str">
        <x:v>Alimentación, comercios y servicios</x:v>
      </x:c>
      <x:c r="D167" s="62" t="n">
        <x:v>31</x:v>
      </x:c>
      <x:c r="E167" s="2" t="str">
        <x:v>Completo</x:v>
      </x:c>
      <x:c r="F167" s="56" t="n">
        <x:v>87.92454838709678</x:v>
      </x:c>
      <x:c r="G167" s="56" t="str">
        <x:f>"n.a."</x:f>
        <x:v>n.a.</x:v>
      </x:c>
      <x:c r="H167" s="57" t="str">
        <x:f>IF(ISNUMBER(G167),IF(G167=0,"n.a.",F167/G167-1),"n.a.")</x:f>
        <x:v>n.a.</x:v>
      </x:c>
      <x:c r="I167" s="58" t="n">
        <x:f>F167/J167</x:f>
        <x:v>0.22362989271530506</x:v>
      </x:c>
      <x:c r="J167" s="56" t="n">
        <x:v>393.1699260752688</x:v>
      </x:c>
    </x:row>
    <x:row r="168" ht="65" customHeight="1">
      <x:c r="A168" s="61" t="n">
        <x:v>44896</x:v>
      </x:c>
      <x:c r="B168" s="32" t="str">
        <x:v>Industria automotriz</x:v>
      </x:c>
      <x:c r="C168" s="32" t="str">
        <x:v>Industrias sin Aluar</x:v>
      </x:c>
      <x:c r="D168" s="62" t="n">
        <x:v>31</x:v>
      </x:c>
      <x:c r="E168" s="2" t="str">
        <x:v>Completo</x:v>
      </x:c>
      <x:c r="F168" s="56" t="n">
        <x:v>36.612905913978494</x:v>
      </x:c>
      <x:c r="G168" s="56" t="str">
        <x:f>"n.a."</x:f>
        <x:v>n.a.</x:v>
      </x:c>
      <x:c r="H168" s="57" t="str">
        <x:f>IF(ISNUMBER(G168),IF(G168=0,"n.a.",F168/G168-1),"n.a.")</x:f>
        <x:v>n.a.</x:v>
      </x:c>
      <x:c r="I168" s="58" t="n">
        <x:f>F168/J168</x:f>
        <x:v>0.02997033836709774</x:v>
      </x:c>
      <x:c r="J168" s="56" t="n">
        <x:v>1221.638056451613</x:v>
      </x:c>
    </x:row>
    <x:row r="169" ht="65" customHeight="1">
      <x:c r="A169" s="61" t="n">
        <x:v>44896</x:v>
      </x:c>
      <x:c r="B169" s="32" t="str">
        <x:v>Derivados de petróleo</x:v>
      </x:c>
      <x:c r="C169" s="32" t="str">
        <x:v>Industrias sin Aluar</x:v>
      </x:c>
      <x:c r="D169" s="62" t="n">
        <x:v>31</x:v>
      </x:c>
      <x:c r="E169" s="2" t="str">
        <x:v>Completo</x:v>
      </x:c>
      <x:c r="F169" s="56" t="n">
        <x:v>167.18915456989248</x:v>
      </x:c>
      <x:c r="G169" s="56" t="str">
        <x:f>"n.a."</x:f>
        <x:v>n.a.</x:v>
      </x:c>
      <x:c r="H169" s="57" t="str">
        <x:f>IF(ISNUMBER(G169),IF(G169=0,"n.a.",F169/G169-1),"n.a.")</x:f>
        <x:v>n.a.</x:v>
      </x:c>
      <x:c r="I169" s="58" t="n">
        <x:f>F169/J169</x:f>
        <x:v>0.13685653757014776</x:v>
      </x:c>
      <x:c r="J169" s="56" t="n">
        <x:v>1221.638056451613</x:v>
      </x:c>
    </x:row>
    <x:row r="170" ht="65" customHeight="1">
      <x:c r="A170" s="61" t="n">
        <x:v>44896</x:v>
      </x:c>
      <x:c r="B170" s="32" t="str">
        <x:v>Construcción: elaboración de cemento y canteras</x:v>
      </x:c>
      <x:c r="C170" s="32" t="str">
        <x:v>Industrias sin Aluar</x:v>
      </x:c>
      <x:c r="D170" s="62" t="n">
        <x:v>31</x:v>
      </x:c>
      <x:c r="E170" s="2" t="str">
        <x:v>Completo</x:v>
      </x:c>
      <x:c r="F170" s="56" t="n">
        <x:v>177.185125</x:v>
      </x:c>
      <x:c r="G170" s="56" t="str">
        <x:f>"n.a."</x:f>
        <x:v>n.a.</x:v>
      </x:c>
      <x:c r="H170" s="57" t="str">
        <x:f>IF(ISNUMBER(G170),IF(G170=0,"n.a.",F170/G170-1),"n.a.")</x:f>
        <x:v>n.a.</x:v>
      </x:c>
      <x:c r="I170" s="58" t="n">
        <x:f>F170/J170</x:f>
        <x:v>0.14503896965575416</x:v>
      </x:c>
      <x:c r="J170" s="56" t="n">
        <x:v>1221.638056451613</x:v>
      </x:c>
    </x:row>
    <x:row r="171" ht="65" customHeight="1">
      <x:c r="A171" s="61" t="n">
        <x:v>44896</x:v>
      </x:c>
      <x:c r="B171" s="32" t="str">
        <x:v>Madera y papel</x:v>
      </x:c>
      <x:c r="C171" s="32" t="str">
        <x:v>Industrias sin Aluar</x:v>
      </x:c>
      <x:c r="D171" s="62" t="n">
        <x:v>31</x:v>
      </x:c>
      <x:c r="E171" s="2" t="str">
        <x:v>Completo</x:v>
      </x:c>
      <x:c r="F171" s="56" t="n">
        <x:v>104.11995161290322</x:v>
      </x:c>
      <x:c r="G171" s="56" t="str">
        <x:f>"n.a."</x:f>
        <x:v>n.a.</x:v>
      </x:c>
      <x:c r="H171" s="57" t="str">
        <x:f>IF(ISNUMBER(G171),IF(G171=0,"n.a.",F171/G171-1),"n.a.")</x:f>
        <x:v>n.a.</x:v>
      </x:c>
      <x:c r="I171" s="58" t="n">
        <x:f>F171/J171</x:f>
        <x:v>0.08522978722137348</x:v>
      </x:c>
      <x:c r="J171" s="56" t="n">
        <x:v>1221.638056451613</x:v>
      </x:c>
    </x:row>
    <x:row r="172" ht="65" customHeight="1">
      <x:c r="A172" s="61" t="n">
        <x:v>44896</x:v>
      </x:c>
      <x:c r="B172" s="32" t="str">
        <x:v>Productos metálicos no automotores</x:v>
      </x:c>
      <x:c r="C172" s="32" t="str">
        <x:v>Industrias sin Aluar</x:v>
      </x:c>
      <x:c r="D172" s="62" t="n">
        <x:v>31</x:v>
      </x:c>
      <x:c r="E172" s="2" t="str">
        <x:v>Completo</x:v>
      </x:c>
      <x:c r="F172" s="56" t="n">
        <x:v>45.46657795698925</x:v>
      </x:c>
      <x:c r="G172" s="56" t="str">
        <x:f>"n.a."</x:f>
        <x:v>n.a.</x:v>
      </x:c>
      <x:c r="H172" s="57" t="str">
        <x:f>IF(ISNUMBER(G172),IF(G172=0,"n.a.",F172/G172-1),"n.a.")</x:f>
        <x:v>n.a.</x:v>
      </x:c>
      <x:c r="I172" s="58" t="n">
        <x:f>F172/J172</x:f>
        <x:v>0.03721771576849211</x:v>
      </x:c>
      <x:c r="J172" s="56" t="n">
        <x:v>1221.638056451613</x:v>
      </x:c>
    </x:row>
    <x:row r="173" ht="65" customHeight="1">
      <x:c r="A173" s="61" t="n">
        <x:v>44896</x:v>
      </x:c>
      <x:c r="B173" s="32" t="str">
        <x:v>Gran siderurgia</x:v>
      </x:c>
      <x:c r="C173" s="32" t="str">
        <x:v>Industrias sin Aluar</x:v>
      </x:c>
      <x:c r="D173" s="62" t="n">
        <x:v>31</x:v>
      </x:c>
      <x:c r="E173" s="2" t="str">
        <x:v>Completo</x:v>
      </x:c>
      <x:c r="F173" s="56" t="n">
        <x:v>317.68285618279566</x:v>
      </x:c>
      <x:c r="G173" s="56" t="str">
        <x:f>"n.a."</x:f>
        <x:v>n.a.</x:v>
      </x:c>
      <x:c r="H173" s="57" t="str">
        <x:f>IF(ISNUMBER(G173),IF(G173=0,"n.a.",F173/G173-1),"n.a.")</x:f>
        <x:v>n.a.</x:v>
      </x:c>
      <x:c r="I173" s="58" t="n">
        <x:f>F173/J173</x:f>
        <x:v>0.260046627153661</x:v>
      </x:c>
      <x:c r="J173" s="56" t="n">
        <x:v>1221.638056451613</x:v>
      </x:c>
    </x:row>
    <x:row r="174" ht="65" customHeight="1">
      <x:c r="A174" s="61" t="n">
        <x:v>44896</x:v>
      </x:c>
      <x:c r="B174" s="32" t="str">
        <x:v>Industria textil</x:v>
      </x:c>
      <x:c r="C174" s="32" t="str">
        <x:v>Industrias sin Aluar</x:v>
      </x:c>
      <x:c r="D174" s="62" t="n">
        <x:v>31</x:v>
      </x:c>
      <x:c r="E174" s="2" t="str">
        <x:v>Completo</x:v>
      </x:c>
      <x:c r="F174" s="56" t="n">
        <x:v>48.548680107526884</x:v>
      </x:c>
      <x:c r="G174" s="56" t="str">
        <x:f>"n.a."</x:f>
        <x:v>n.a.</x:v>
      </x:c>
      <x:c r="H174" s="57" t="str">
        <x:f>IF(ISNUMBER(G174),IF(G174=0,"n.a.",F174/G174-1),"n.a.")</x:f>
        <x:v>n.a.</x:v>
      </x:c>
      <x:c r="I174" s="58" t="n">
        <x:f>F174/J174</x:f>
        <x:v>0.03974064155183742</x:v>
      </x:c>
      <x:c r="J174" s="56" t="n">
        <x:v>1221.638056451613</x:v>
      </x:c>
    </x:row>
    <x:row r="175" ht="65" customHeight="1">
      <x:c r="A175" s="61" t="n">
        <x:v>44896</x:v>
      </x:c>
      <x:c r="B175" s="32" t="str">
        <x:v>Químicas, caucho, plástico y otros minerales no metálicos</x:v>
      </x:c>
      <x:c r="C175" s="32" t="str">
        <x:v>Industrias sin Aluar</x:v>
      </x:c>
      <x:c r="D175" s="62" t="n">
        <x:v>31</x:v>
      </x:c>
      <x:c r="E175" s="2" t="str">
        <x:v>Completo</x:v>
      </x:c>
      <x:c r="F175" s="56" t="n">
        <x:v>324.8328051075269</x:v>
      </x:c>
      <x:c r="G175" s="56" t="str">
        <x:f>"n.a."</x:f>
        <x:v>n.a.</x:v>
      </x:c>
      <x:c r="H175" s="57" t="str">
        <x:f>IF(ISNUMBER(G175),IF(G175=0,"n.a.",F175/G175-1),"n.a.")</x:f>
        <x:v>n.a.</x:v>
      </x:c>
      <x:c r="I175" s="58" t="n">
        <x:f>F175/J175</x:f>
        <x:v>0.2658993827116362</x:v>
      </x:c>
      <x:c r="J175" s="56" t="n">
        <x:v>1221.638056451613</x:v>
      </x:c>
    </x:row>
    <x:row r="176" ht="65" customHeight="1">
      <x:c r="A176" s="61" t="n">
        <x:v>44896</x:v>
      </x:c>
      <x:c r="B176" s="32" t="str">
        <x:v>Extracción de minerales</x:v>
      </x:c>
      <x:c r="C176" s="32" t="str">
        <x:v>Petróleos y minerales</x:v>
      </x:c>
      <x:c r="D176" s="62" t="n">
        <x:v>31</x:v>
      </x:c>
      <x:c r="E176" s="2" t="str">
        <x:v>Completo</x:v>
      </x:c>
      <x:c r="F176" s="56" t="n">
        <x:v>18.08874193548387</x:v>
      </x:c>
      <x:c r="G176" s="56" t="str">
        <x:f>"n.a."</x:f>
        <x:v>n.a.</x:v>
      </x:c>
      <x:c r="H176" s="57" t="str">
        <x:f>IF(ISNUMBER(G176),IF(G176=0,"n.a.",F176/G176-1),"n.a.")</x:f>
        <x:v>n.a.</x:v>
      </x:c>
      <x:c r="I176" s="58" t="n">
        <x:f>F176/J176</x:f>
        <x:v>0.10778840304413194</x:v>
      </x:c>
      <x:c r="J176" s="56" t="n">
        <x:v>167.81714381720428</x:v>
      </x:c>
    </x:row>
    <x:row r="177" ht="65" customHeight="1">
      <x:c r="A177" s="61" t="n">
        <x:v>44896</x:v>
      </x:c>
      <x:c r="B177" s="32" t="str">
        <x:v>Extracción de petróleo</x:v>
      </x:c>
      <x:c r="C177" s="32" t="str">
        <x:v>Petróleos y minerales</x:v>
      </x:c>
      <x:c r="D177" s="62" t="n">
        <x:v>31</x:v>
      </x:c>
      <x:c r="E177" s="2" t="str">
        <x:v>Completo</x:v>
      </x:c>
      <x:c r="F177" s="56" t="n">
        <x:v>149.72840188172043</x:v>
      </x:c>
      <x:c r="G177" s="56" t="str">
        <x:f>"n.a."</x:f>
        <x:v>n.a.</x:v>
      </x:c>
      <x:c r="H177" s="57" t="str">
        <x:f>IF(ISNUMBER(G177),IF(G177=0,"n.a.",F177/G177-1),"n.a.")</x:f>
        <x:v>n.a.</x:v>
      </x:c>
      <x:c r="I177" s="58" t="n">
        <x:f>F177/J177</x:f>
        <x:v>0.8922115969558682</x:v>
      </x:c>
      <x:c r="J177" s="56" t="n">
        <x:v>167.81714381720428</x:v>
      </x:c>
    </x:row>
    <x:row r="178" ht="65" customHeight="1">
      <x:c r="A178" s="61" t="n">
        <x:v>44927</x:v>
      </x:c>
      <x:c r="B178" s="32" t="str">
        <x:v>Cargas y puertos</x:v>
      </x:c>
      <x:c r="C178" s="32" t="str">
        <x:v>Alimentación, comercios y servicios</x:v>
      </x:c>
      <x:c r="D178" s="62" t="n">
        <x:v>31</x:v>
      </x:c>
      <x:c r="E178" s="2" t="str">
        <x:v>Completo</x:v>
      </x:c>
      <x:c r="F178" s="56" t="n">
        <x:v>9.867298387096774</x:v>
      </x:c>
      <x:c r="G178" s="56" t="n">
        <x:f>F10</x:f>
        <x:v>9.15655510752688</x:v>
      </x:c>
      <x:c r="H178" s="57" t="n">
        <x:f>IF(ISNUMBER(G178),IF(G178=0,"n.a.",F178/G178-1),"n.a.")</x:f>
        <x:v>0.07762125288643196</x:v>
      </x:c>
      <x:c r="I178" s="58" t="n">
        <x:f>F178/J178</x:f>
        <x:v>0.025082853997441288</x:v>
      </x:c>
      <x:c r="J178" s="56" t="n">
        <x:v>393.3881841397849</x:v>
      </x:c>
    </x:row>
    <x:row r="179" ht="65" customHeight="1">
      <x:c r="A179" s="61" t="n">
        <x:v>44927</x:v>
      </x:c>
      <x:c r="B179" s="32" t="str">
        <x:v>Comercio y servicios: principalmente supermercados y centros comerciales</x:v>
      </x:c>
      <x:c r="C179" s="32" t="str">
        <x:v>Alimentación, comercios y servicios</x:v>
      </x:c>
      <x:c r="D179" s="62" t="n">
        <x:v>31</x:v>
      </x:c>
      <x:c r="E179" s="2" t="str">
        <x:v>Completo</x:v>
      </x:c>
      <x:c r="F179" s="56" t="n">
        <x:v>39.40074462365592</x:v>
      </x:c>
      <x:c r="G179" s="56" t="n">
        <x:f>F11</x:f>
        <x:v>34.46153897849462</x:v>
      </x:c>
      <x:c r="H179" s="57" t="n">
        <x:f>IF(ISNUMBER(G179),IF(G179=0,"n.a.",F179/G179-1),"n.a.")</x:f>
        <x:v>0.14332516166046894</x:v>
      </x:c>
      <x:c r="I179" s="58" t="n">
        <x:f>F179/J179</x:f>
        <x:v>0.1001574175640604</x:v>
      </x:c>
      <x:c r="J179" s="56" t="n">
        <x:v>393.3881841397849</x:v>
      </x:c>
    </x:row>
    <x:row r="180" ht="65" customHeight="1">
      <x:c r="A180" s="61" t="n">
        <x:v>44927</x:v>
      </x:c>
      <x:c r="B180" s="32" t="str">
        <x:v>Alimentación y artículos de consumo masivo</x:v>
      </x:c>
      <x:c r="C180" s="32" t="str">
        <x:v>Alimentación, comercios y servicios</x:v>
      </x:c>
      <x:c r="D180" s="62" t="n">
        <x:v>31</x:v>
      </x:c>
      <x:c r="E180" s="2" t="str">
        <x:v>Completo</x:v>
      </x:c>
      <x:c r="F180" s="56" t="n">
        <x:v>253.06402956989245</x:v>
      </x:c>
      <x:c r="G180" s="56" t="n">
        <x:f>F12</x:f>
        <x:v>252.2577674731183</x:v>
      </x:c>
      <x:c r="H180" s="57" t="n">
        <x:f>IF(ISNUMBER(G180),IF(G180=0,"n.a.",F180/G180-1),"n.a.")</x:f>
        <x:v>0.00319618343114092</x:v>
      </x:c>
      <x:c r="I180" s="58" t="n">
        <x:f>F180/J180</x:f>
        <x:v>0.6432934179842315</x:v>
      </x:c>
      <x:c r="J180" s="56" t="n">
        <x:v>393.3881841397849</x:v>
      </x:c>
    </x:row>
    <x:row r="181" ht="65" customHeight="1">
      <x:c r="A181" s="61" t="n">
        <x:v>44927</x:v>
      </x:c>
      <x:c r="B181" s="32" t="str">
        <x:v>Servicios públicos y transporte: agua y transporte en GBA</x:v>
      </x:c>
      <x:c r="C181" s="32" t="str">
        <x:v>Alimentación, comercios y servicios</x:v>
      </x:c>
      <x:c r="D181" s="62" t="n">
        <x:v>31</x:v>
      </x:c>
      <x:c r="E181" s="2" t="str">
        <x:v>Completo</x:v>
      </x:c>
      <x:c r="F181" s="56" t="n">
        <x:v>91.0561115591398</x:v>
      </x:c>
      <x:c r="G181" s="56" t="n">
        <x:f>F13</x:f>
        <x:v>82.11238440860215</x:v>
      </x:c>
      <x:c r="H181" s="57" t="n">
        <x:f>IF(ISNUMBER(G181),IF(G181=0,"n.a.",F181/G181-1),"n.a.")</x:f>
        <x:v>0.1089205631398118</x:v>
      </x:c>
      <x:c r="I181" s="58" t="n">
        <x:f>F181/J181</x:f>
        <x:v>0.23146631045426697</x:v>
      </x:c>
      <x:c r="J181" s="56" t="n">
        <x:v>393.3881841397849</x:v>
      </x:c>
    </x:row>
    <x:row r="182" ht="65" customHeight="1">
      <x:c r="A182" s="61" t="n">
        <x:v>44927</x:v>
      </x:c>
      <x:c r="B182" s="32" t="str">
        <x:v>Industria automotriz</x:v>
      </x:c>
      <x:c r="C182" s="32" t="str">
        <x:v>Industrias sin Aluar</x:v>
      </x:c>
      <x:c r="D182" s="62" t="n">
        <x:v>31</x:v>
      </x:c>
      <x:c r="E182" s="2" t="str">
        <x:v>Completo</x:v>
      </x:c>
      <x:c r="F182" s="56" t="n">
        <x:v>30.346767473118277</x:v>
      </x:c>
      <x:c r="G182" s="56" t="n">
        <x:f>F14</x:f>
        <x:v>27.15961559139785</x:v>
      </x:c>
      <x:c r="H182" s="57" t="n">
        <x:f>IF(ISNUMBER(G182),IF(G182=0,"n.a.",F182/G182-1),"n.a.")</x:f>
        <x:v>0.11734893194621954</x:v>
      </x:c>
      <x:c r="I182" s="58" t="n">
        <x:f>F182/J182</x:f>
        <x:v>0.02523223794723126</x:v>
      </x:c>
      <x:c r="J182" s="56" t="n">
        <x:v>1202.6982123655914</x:v>
      </x:c>
    </x:row>
    <x:row r="183" ht="65" customHeight="1">
      <x:c r="A183" s="61" t="n">
        <x:v>44927</x:v>
      </x:c>
      <x:c r="B183" s="32" t="str">
        <x:v>Derivados de petróleo</x:v>
      </x:c>
      <x:c r="C183" s="32" t="str">
        <x:v>Industrias sin Aluar</x:v>
      </x:c>
      <x:c r="D183" s="62" t="n">
        <x:v>31</x:v>
      </x:c>
      <x:c r="E183" s="2" t="str">
        <x:v>Completo</x:v>
      </x:c>
      <x:c r="F183" s="56" t="n">
        <x:v>161.63064516129032</x:v>
      </x:c>
      <x:c r="G183" s="56" t="n">
        <x:f>F15</x:f>
        <x:v>166.43643279569895</x:v>
      </x:c>
      <x:c r="H183" s="57" t="n">
        <x:f>IF(ISNUMBER(G183),IF(G183=0,"n.a.",F183/G183-1),"n.a.")</x:f>
        <x:v>-0.02887461329039509</x:v>
      </x:c>
      <x:c r="I183" s="58" t="n">
        <x:f>F183/J183</x:f>
        <x:v>0.13439002694065574</x:v>
      </x:c>
      <x:c r="J183" s="56" t="n">
        <x:v>1202.6982123655914</x:v>
      </x:c>
    </x:row>
    <x:row r="184" ht="65" customHeight="1">
      <x:c r="A184" s="61" t="n">
        <x:v>44927</x:v>
      </x:c>
      <x:c r="B184" s="32" t="str">
        <x:v>Construcción: elaboración de cemento y canteras</x:v>
      </x:c>
      <x:c r="C184" s="32" t="str">
        <x:v>Industrias sin Aluar</x:v>
      </x:c>
      <x:c r="D184" s="62" t="n">
        <x:v>31</x:v>
      </x:c>
      <x:c r="E184" s="2" t="str">
        <x:v>Completo</x:v>
      </x:c>
      <x:c r="F184" s="56" t="n">
        <x:v>155.53374059139784</x:v>
      </x:c>
      <x:c r="G184" s="56" t="n">
        <x:f>F16</x:f>
        <x:v>169.1680806451613</x:v>
      </x:c>
      <x:c r="H184" s="57" t="n">
        <x:f>IF(ISNUMBER(G184),IF(G184=0,"n.a.",F184/G184-1),"n.a.")</x:f>
        <x:v>-0.08059641039707821</x:v>
      </x:c>
      <x:c r="I184" s="58" t="n">
        <x:f>F184/J184</x:f>
        <x:v>0.12932067163006583</x:v>
      </x:c>
      <x:c r="J184" s="56" t="n">
        <x:v>1202.6982123655914</x:v>
      </x:c>
    </x:row>
    <x:row r="185" ht="65" customHeight="1">
      <x:c r="A185" s="61" t="n">
        <x:v>44927</x:v>
      </x:c>
      <x:c r="B185" s="32" t="str">
        <x:v>Madera y papel</x:v>
      </x:c>
      <x:c r="C185" s="32" t="str">
        <x:v>Industrias sin Aluar</x:v>
      </x:c>
      <x:c r="D185" s="62" t="n">
        <x:v>31</x:v>
      </x:c>
      <x:c r="E185" s="2" t="str">
        <x:v>Completo</x:v>
      </x:c>
      <x:c r="F185" s="56" t="n">
        <x:v>109.55588844086022</x:v>
      </x:c>
      <x:c r="G185" s="56" t="n">
        <x:f>F17</x:f>
        <x:v>102.87712499999999</x:v>
      </x:c>
      <x:c r="H185" s="57" t="n">
        <x:f>IF(ISNUMBER(G185),IF(G185=0,"n.a.",F185/G185-1),"n.a.")</x:f>
        <x:v>0.06491981031604666</x:v>
      </x:c>
      <x:c r="I185" s="58" t="n">
        <x:f>F185/J185</x:f>
        <x:v>0.09109175295552685</x:v>
      </x:c>
      <x:c r="J185" s="56" t="n">
        <x:v>1202.6982123655914</x:v>
      </x:c>
    </x:row>
    <x:row r="186" ht="65" customHeight="1">
      <x:c r="A186" s="61" t="n">
        <x:v>44927</x:v>
      </x:c>
      <x:c r="B186" s="32" t="str">
        <x:v>Productos metálicos no automotores</x:v>
      </x:c>
      <x:c r="C186" s="32" t="str">
        <x:v>Industrias sin Aluar</x:v>
      </x:c>
      <x:c r="D186" s="62" t="n">
        <x:v>31</x:v>
      </x:c>
      <x:c r="E186" s="2" t="str">
        <x:v>Completo</x:v>
      </x:c>
      <x:c r="F186" s="56" t="n">
        <x:v>44.24393548387097</x:v>
      </x:c>
      <x:c r="G186" s="56" t="n">
        <x:f>F18</x:f>
        <x:v>54.45709274193548</x:v>
      </x:c>
      <x:c r="H186" s="57" t="n">
        <x:f>IF(ISNUMBER(G186),IF(G186=0,"n.a.",F186/G186-1),"n.a.")</x:f>
        <x:v>-0.18754503304947312</x:v>
      </x:c>
      <x:c r="I186" s="58" t="n">
        <x:f>F186/J186</x:f>
        <x:v>0.03678722977133841</x:v>
      </x:c>
      <x:c r="J186" s="56" t="n">
        <x:v>1202.6982123655914</x:v>
      </x:c>
    </x:row>
    <x:row r="187" ht="65" customHeight="1">
      <x:c r="A187" s="61" t="n">
        <x:v>44927</x:v>
      </x:c>
      <x:c r="B187" s="32" t="str">
        <x:v>Gran siderurgia</x:v>
      </x:c>
      <x:c r="C187" s="32" t="str">
        <x:v>Industrias sin Aluar</x:v>
      </x:c>
      <x:c r="D187" s="62" t="n">
        <x:v>31</x:v>
      </x:c>
      <x:c r="E187" s="2" t="str">
        <x:v>Completo</x:v>
      </x:c>
      <x:c r="F187" s="56" t="n">
        <x:v>335.34868951612907</x:v>
      </x:c>
      <x:c r="G187" s="56" t="n">
        <x:f>F19</x:f>
        <x:v>255.77257258064515</x:v>
      </x:c>
      <x:c r="H187" s="57" t="n">
        <x:f>IF(ISNUMBER(G187),IF(G187=0,"n.a.",F187/G187-1),"n.a.")</x:f>
        <x:v>0.31112060270025066</x:v>
      </x:c>
      <x:c r="I187" s="58" t="n">
        <x:f>F187/J187</x:f>
        <x:v>0.27883028848652774</x:v>
      </x:c>
      <x:c r="J187" s="56" t="n">
        <x:v>1202.6982123655914</x:v>
      </x:c>
    </x:row>
    <x:row r="188" ht="65" customHeight="1">
      <x:c r="A188" s="61" t="n">
        <x:v>44927</x:v>
      </x:c>
      <x:c r="B188" s="32" t="str">
        <x:v>Industria textil</x:v>
      </x:c>
      <x:c r="C188" s="32" t="str">
        <x:v>Industrias sin Aluar</x:v>
      </x:c>
      <x:c r="D188" s="62" t="n">
        <x:v>31</x:v>
      </x:c>
      <x:c r="E188" s="2" t="str">
        <x:v>Completo</x:v>
      </x:c>
      <x:c r="F188" s="56" t="n">
        <x:v>43.68027688172043</x:v>
      </x:c>
      <x:c r="G188" s="56" t="n">
        <x:f>F20</x:f>
        <x:v>47.675805107526884</x:v>
      </x:c>
      <x:c r="H188" s="57" t="n">
        <x:f>IF(ISNUMBER(G188),IF(G188=0,"n.a.",F188/G188-1),"n.a.")</x:f>
        <x:v>-0.08380620351968959</x:v>
      </x:c>
      <x:c r="I188" s="58" t="n">
        <x:f>F188/J188</x:f>
        <x:v>0.03631856806023311</x:v>
      </x:c>
      <x:c r="J188" s="56" t="n">
        <x:v>1202.6982123655914</x:v>
      </x:c>
    </x:row>
    <x:row r="189" ht="65" customHeight="1">
      <x:c r="A189" s="61" t="n">
        <x:v>44927</x:v>
      </x:c>
      <x:c r="B189" s="32" t="str">
        <x:v>Químicas, caucho, plástico y otros minerales no metálicos</x:v>
      </x:c>
      <x:c r="C189" s="32" t="str">
        <x:v>Industrias sin Aluar</x:v>
      </x:c>
      <x:c r="D189" s="62" t="n">
        <x:v>31</x:v>
      </x:c>
      <x:c r="E189" s="2" t="str">
        <x:v>Completo</x:v>
      </x:c>
      <x:c r="F189" s="56" t="n">
        <x:v>322.3582688172043</x:v>
      </x:c>
      <x:c r="G189" s="56" t="n">
        <x:f>F21</x:f>
        <x:v>327.0321008064516</x:v>
      </x:c>
      <x:c r="H189" s="57" t="n">
        <x:f>IF(ISNUMBER(G189),IF(G189=0,"n.a.",F189/G189-1),"n.a.")</x:f>
        <x:v>-0.014291661209164919</x:v>
      </x:c>
      <x:c r="I189" s="58" t="n">
        <x:f>F189/J189</x:f>
        <x:v>0.26802922420842107</x:v>
      </x:c>
      <x:c r="J189" s="56" t="n">
        <x:v>1202.6982123655914</x:v>
      </x:c>
    </x:row>
    <x:row r="190" ht="65" customHeight="1">
      <x:c r="A190" s="61" t="n">
        <x:v>44927</x:v>
      </x:c>
      <x:c r="B190" s="32" t="str">
        <x:v>Extracción de minerales</x:v>
      </x:c>
      <x:c r="C190" s="32" t="str">
        <x:v>Petróleos y minerales</x:v>
      </x:c>
      <x:c r="D190" s="62" t="n">
        <x:v>31</x:v>
      </x:c>
      <x:c r="E190" s="2" t="str">
        <x:v>Completo</x:v>
      </x:c>
      <x:c r="F190" s="56" t="n">
        <x:v>19.24130510752688</x:v>
      </x:c>
      <x:c r="G190" s="56" t="n">
        <x:f>F22</x:f>
        <x:v>14.804048387096774</x:v>
      </x:c>
      <x:c r="H190" s="57" t="n">
        <x:f>IF(ISNUMBER(G190),IF(G190=0,"n.a.",F190/G190-1),"n.a.")</x:f>
        <x:v>0.29973265450129327</x:v>
      </x:c>
      <x:c r="I190" s="58" t="n">
        <x:f>F190/J190</x:f>
        <x:v>0.11596490318525102</x:v>
      </x:c>
      <x:c r="J190" s="56" t="n">
        <x:v>165.92352150537633</x:v>
      </x:c>
    </x:row>
    <x:row r="191" ht="65" customHeight="1">
      <x:c r="A191" s="61" t="n">
        <x:v>44927</x:v>
      </x:c>
      <x:c r="B191" s="32" t="str">
        <x:v>Extracción de petróleo</x:v>
      </x:c>
      <x:c r="C191" s="32" t="str">
        <x:v>Petróleos y minerales</x:v>
      </x:c>
      <x:c r="D191" s="62" t="n">
        <x:v>31</x:v>
      </x:c>
      <x:c r="E191" s="2" t="str">
        <x:v>Completo</x:v>
      </x:c>
      <x:c r="F191" s="56" t="n">
        <x:v>146.68221639784946</x:v>
      </x:c>
      <x:c r="G191" s="56" t="n">
        <x:f>F23</x:f>
        <x:v>163.31348387096773</x:v>
      </x:c>
      <x:c r="H191" s="57" t="n">
        <x:f>IF(ISNUMBER(G191),IF(G191=0,"n.a.",F191/G191-1),"n.a.")</x:f>
        <x:v>-0.1018364624825373</x:v>
      </x:c>
      <x:c r="I191" s="58" t="n">
        <x:f>F191/J191</x:f>
        <x:v>0.884035096814749</x:v>
      </x:c>
      <x:c r="J191" s="56" t="n">
        <x:v>165.92352150537633</x:v>
      </x:c>
    </x:row>
    <x:row r="192" ht="65" customHeight="1">
      <x:c r="A192" s="61" t="n">
        <x:v>44958</x:v>
      </x:c>
      <x:c r="B192" s="32" t="str">
        <x:v>Cargas y puertos</x:v>
      </x:c>
      <x:c r="C192" s="32" t="str">
        <x:v>Alimentación, comercios y servicios</x:v>
      </x:c>
      <x:c r="D192" s="62" t="n">
        <x:v>28</x:v>
      </x:c>
      <x:c r="E192" s="2" t="str">
        <x:v>Completo</x:v>
      </x:c>
      <x:c r="F192" s="56" t="n">
        <x:v>9.33863392857143</x:v>
      </x:c>
      <x:c r="G192" s="56" t="n">
        <x:f>F24</x:f>
        <x:v>8.332269345238094</x:v>
      </x:c>
      <x:c r="H192" s="57" t="n">
        <x:f>IF(ISNUMBER(G192),IF(G192=0,"n.a.",F192/G192-1),"n.a.")</x:f>
        <x:v>0.12077917091200052</x:v>
      </x:c>
      <x:c r="I192" s="58" t="n">
        <x:f>F192/J192</x:f>
        <x:v>0.02330375030895592</x:v>
      </x:c>
      <x:c r="J192" s="56" t="n">
        <x:v>400.73523809523806</x:v>
      </x:c>
    </x:row>
    <x:row r="193" ht="65" customHeight="1">
      <x:c r="A193" s="61" t="n">
        <x:v>44958</x:v>
      </x:c>
      <x:c r="B193" s="32" t="str">
        <x:v>Comercio y servicios: principalmente supermercados y centros comerciales</x:v>
      </x:c>
      <x:c r="C193" s="32" t="str">
        <x:v>Alimentación, comercios y servicios</x:v>
      </x:c>
      <x:c r="D193" s="62" t="n">
        <x:v>28</x:v>
      </x:c>
      <x:c r="E193" s="2" t="str">
        <x:v>Completo</x:v>
      </x:c>
      <x:c r="F193" s="56" t="n">
        <x:v>38.53780952380952</x:v>
      </x:c>
      <x:c r="G193" s="56" t="n">
        <x:f>F25</x:f>
        <x:v>32.13583035714286</x:v>
      </x:c>
      <x:c r="H193" s="57" t="n">
        <x:f>IF(ISNUMBER(G193),IF(G193=0,"n.a.",F193/G193-1),"n.a.")</x:f>
        <x:v>0.19921623606790329</x:v>
      </x:c>
      <x:c r="I193" s="58" t="n">
        <x:f>F193/J193</x:f>
        <x:v>0.09616775831091423</x:v>
      </x:c>
      <x:c r="J193" s="56" t="n">
        <x:v>400.73523809523806</x:v>
      </x:c>
    </x:row>
    <x:row r="194" ht="65" customHeight="1">
      <x:c r="A194" s="61" t="n">
        <x:v>44958</x:v>
      </x:c>
      <x:c r="B194" s="32" t="str">
        <x:v>Alimentación y artículos de consumo masivo</x:v>
      </x:c>
      <x:c r="C194" s="32" t="str">
        <x:v>Alimentación, comercios y servicios</x:v>
      </x:c>
      <x:c r="D194" s="62" t="n">
        <x:v>28</x:v>
      </x:c>
      <x:c r="E194" s="2" t="str">
        <x:v>Completo</x:v>
      </x:c>
      <x:c r="F194" s="56" t="n">
        <x:v>262.4367589285714</x:v>
      </x:c>
      <x:c r="G194" s="56" t="n">
        <x:f>F26</x:f>
        <x:v>280.3545535714286</x:v>
      </x:c>
      <x:c r="H194" s="57" t="n">
        <x:f>IF(ISNUMBER(G194),IF(G194=0,"n.a.",F194/G194-1),"n.a.")</x:f>
        <x:v>-0.0639111953581738</x:v>
      </x:c>
      <x:c r="I194" s="58" t="n">
        <x:f>F194/J194</x:f>
        <x:v>0.6548881505304536</x:v>
      </x:c>
      <x:c r="J194" s="56" t="n">
        <x:v>400.73523809523806</x:v>
      </x:c>
    </x:row>
    <x:row r="195" ht="65" customHeight="1">
      <x:c r="A195" s="61" t="n">
        <x:v>44958</x:v>
      </x:c>
      <x:c r="B195" s="32" t="str">
        <x:v>Servicios públicos y transporte: agua y transporte en GBA</x:v>
      </x:c>
      <x:c r="C195" s="32" t="str">
        <x:v>Alimentación, comercios y servicios</x:v>
      </x:c>
      <x:c r="D195" s="62" t="n">
        <x:v>28</x:v>
      </x:c>
      <x:c r="E195" s="2" t="str">
        <x:v>Completo</x:v>
      </x:c>
      <x:c r="F195" s="56" t="n">
        <x:v>90.42203571428571</x:v>
      </x:c>
      <x:c r="G195" s="56" t="n">
        <x:f>F27</x:f>
        <x:v>82.4677068452381</x:v>
      </x:c>
      <x:c r="H195" s="57" t="n">
        <x:f>IF(ISNUMBER(G195),IF(G195=0,"n.a.",F195/G195-1),"n.a.")</x:f>
        <x:v>0.09645386264923062</x:v>
      </x:c>
      <x:c r="I195" s="58" t="n">
        <x:f>F195/J195</x:f>
        <x:v>0.22564034084967632</x:v>
      </x:c>
      <x:c r="J195" s="56" t="n">
        <x:v>400.73523809523806</x:v>
      </x:c>
    </x:row>
    <x:row r="196" ht="65" customHeight="1">
      <x:c r="A196" s="61" t="n">
        <x:v>44958</x:v>
      </x:c>
      <x:c r="B196" s="32" t="str">
        <x:v>Industria automotriz</x:v>
      </x:c>
      <x:c r="C196" s="32" t="str">
        <x:v>Industrias sin Aluar</x:v>
      </x:c>
      <x:c r="D196" s="62" t="n">
        <x:v>28</x:v>
      </x:c>
      <x:c r="E196" s="2" t="str">
        <x:v>Completo</x:v>
      </x:c>
      <x:c r="F196" s="56" t="n">
        <x:v>41.615912202380954</x:v>
      </x:c>
      <x:c r="G196" s="56" t="n">
        <x:f>F28</x:f>
        <x:v>37.02190773809524</x:v>
      </x:c>
      <x:c r="H196" s="57" t="n">
        <x:f>IF(ISNUMBER(G196),IF(G196=0,"n.a.",F196/G196-1),"n.a.")</x:f>
        <x:v>0.12408880970654379</x:v>
      </x:c>
      <x:c r="I196" s="58" t="n">
        <x:f>F196/J196</x:f>
        <x:v>0.03492012018790668</x:v>
      </x:c>
      <x:c r="J196" s="56" t="n">
        <x:v>1191.7459613095236</x:v>
      </x:c>
    </x:row>
    <x:row r="197" ht="65" customHeight="1">
      <x:c r="A197" s="61" t="n">
        <x:v>44958</x:v>
      </x:c>
      <x:c r="B197" s="32" t="str">
        <x:v>Derivados de petróleo</x:v>
      </x:c>
      <x:c r="C197" s="32" t="str">
        <x:v>Industrias sin Aluar</x:v>
      </x:c>
      <x:c r="D197" s="62" t="n">
        <x:v>28</x:v>
      </x:c>
      <x:c r="E197" s="2" t="str">
        <x:v>Completo</x:v>
      </x:c>
      <x:c r="F197" s="56" t="n">
        <x:v>154.5521681547619</x:v>
      </x:c>
      <x:c r="G197" s="56" t="n">
        <x:f>F29</x:f>
        <x:v>147.58782291666668</x:v>
      </x:c>
      <x:c r="H197" s="57" t="n">
        <x:f>IF(ISNUMBER(G197),IF(G197=0,"n.a.",F197/G197-1),"n.a.")</x:f>
        <x:v>0.047187803847662524</x:v>
      </x:c>
      <x:c r="I197" s="58" t="n">
        <x:f>F197/J197</x:f>
        <x:v>0.12968549772548477</x:v>
      </x:c>
      <x:c r="J197" s="56" t="n">
        <x:v>1191.7459613095236</x:v>
      </x:c>
    </x:row>
    <x:row r="198" ht="65" customHeight="1">
      <x:c r="A198" s="61" t="n">
        <x:v>44958</x:v>
      </x:c>
      <x:c r="B198" s="32" t="str">
        <x:v>Construcción: elaboración de cemento y canteras</x:v>
      </x:c>
      <x:c r="C198" s="32" t="str">
        <x:v>Industrias sin Aluar</x:v>
      </x:c>
      <x:c r="D198" s="62" t="n">
        <x:v>28</x:v>
      </x:c>
      <x:c r="E198" s="2" t="str">
        <x:v>Completo</x:v>
      </x:c>
      <x:c r="F198" s="56" t="n">
        <x:v>173.6812857142857</x:v>
      </x:c>
      <x:c r="G198" s="56" t="n">
        <x:f>F30</x:f>
        <x:v>177.95991220238096</x:v>
      </x:c>
      <x:c r="H198" s="57" t="n">
        <x:f>IF(ISNUMBER(G198),IF(G198=0,"n.a.",F198/G198-1),"n.a.")</x:f>
        <x:v>-0.02404264216105867</x:v>
      </x:c>
      <x:c r="I198" s="58" t="n">
        <x:f>F198/J198</x:f>
        <x:v>0.1457368359976986</x:v>
      </x:c>
      <x:c r="J198" s="56" t="n">
        <x:v>1191.7459613095236</x:v>
      </x:c>
    </x:row>
    <x:row r="199" ht="65" customHeight="1">
      <x:c r="A199" s="61" t="n">
        <x:v>44958</x:v>
      </x:c>
      <x:c r="B199" s="32" t="str">
        <x:v>Madera y papel</x:v>
      </x:c>
      <x:c r="C199" s="32" t="str">
        <x:v>Industrias sin Aluar</x:v>
      </x:c>
      <x:c r="D199" s="62" t="n">
        <x:v>28</x:v>
      </x:c>
      <x:c r="E199" s="2" t="str">
        <x:v>Completo</x:v>
      </x:c>
      <x:c r="F199" s="56" t="n">
        <x:v>109.72295982142857</x:v>
      </x:c>
      <x:c r="G199" s="56" t="n">
        <x:f>F31</x:f>
        <x:v>110.09395833333333</x:v>
      </x:c>
      <x:c r="H199" s="57" t="n">
        <x:f>IF(ISNUMBER(G199),IF(G199=0,"n.a.",F199/G199-1),"n.a.")</x:f>
        <x:v>-0.003369835343566052</x:v>
      </x:c>
      <x:c r="I199" s="58" t="n">
        <x:f>F199/J199</x:f>
        <x:v>0.09206908467376884</x:v>
      </x:c>
      <x:c r="J199" s="56" t="n">
        <x:v>1191.7459613095236</x:v>
      </x:c>
    </x:row>
    <x:row r="200" ht="65" customHeight="1">
      <x:c r="A200" s="61" t="n">
        <x:v>44958</x:v>
      </x:c>
      <x:c r="B200" s="32" t="str">
        <x:v>Productos metálicos no automotores</x:v>
      </x:c>
      <x:c r="C200" s="32" t="str">
        <x:v>Industrias sin Aluar</x:v>
      </x:c>
      <x:c r="D200" s="62" t="n">
        <x:v>28</x:v>
      </x:c>
      <x:c r="E200" s="2" t="str">
        <x:v>Completo</x:v>
      </x:c>
      <x:c r="F200" s="56" t="n">
        <x:v>43.812755952380954</x:v>
      </x:c>
      <x:c r="G200" s="56" t="n">
        <x:f>F32</x:f>
        <x:v>64.37421875</x:v>
      </x:c>
      <x:c r="H200" s="57" t="n">
        <x:f>IF(ISNUMBER(G200),IF(G200=0,"n.a.",F200/G200-1),"n.a.")</x:f>
        <x:v>-0.3194052401236954</x:v>
      </x:c>
      <x:c r="I200" s="58" t="n">
        <x:f>F200/J200</x:f>
        <x:v>0.03676350277221689</x:v>
      </x:c>
      <x:c r="J200" s="56" t="n">
        <x:v>1191.7459613095236</x:v>
      </x:c>
    </x:row>
    <x:row r="201" ht="65" customHeight="1">
      <x:c r="A201" s="61" t="n">
        <x:v>44958</x:v>
      </x:c>
      <x:c r="B201" s="32" t="str">
        <x:v>Gran siderurgia</x:v>
      </x:c>
      <x:c r="C201" s="32" t="str">
        <x:v>Industrias sin Aluar</x:v>
      </x:c>
      <x:c r="D201" s="62" t="n">
        <x:v>28</x:v>
      </x:c>
      <x:c r="E201" s="2" t="str">
        <x:v>Completo</x:v>
      </x:c>
      <x:c r="F201" s="56" t="n">
        <x:v>276.4356294642857</x:v>
      </x:c>
      <x:c r="G201" s="56" t="n">
        <x:f>F33</x:f>
        <x:v>289.5002470238095</x:v>
      </x:c>
      <x:c r="H201" s="57" t="n">
        <x:f>IF(ISNUMBER(G201),IF(G201=0,"n.a.",F201/G201-1),"n.a.")</x:f>
        <x:v>-0.04512817413399073</x:v>
      </x:c>
      <x:c r="I201" s="58" t="n">
        <x:f>F201/J201</x:f>
        <x:v>0.23195852005282278</x:v>
      </x:c>
      <x:c r="J201" s="56" t="n">
        <x:v>1191.7459613095236</x:v>
      </x:c>
    </x:row>
    <x:row r="202" ht="65" customHeight="1">
      <x:c r="A202" s="61" t="n">
        <x:v>44958</x:v>
      </x:c>
      <x:c r="B202" s="32" t="str">
        <x:v>Industria textil</x:v>
      </x:c>
      <x:c r="C202" s="32" t="str">
        <x:v>Industrias sin Aluar</x:v>
      </x:c>
      <x:c r="D202" s="62" t="n">
        <x:v>28</x:v>
      </x:c>
      <x:c r="E202" s="2" t="str">
        <x:v>Completo</x:v>
      </x:c>
      <x:c r="F202" s="56" t="n">
        <x:v>64.85231398809523</x:v>
      </x:c>
      <x:c r="G202" s="56" t="n">
        <x:f>F34</x:f>
        <x:v>64.0452261904762</x:v>
      </x:c>
      <x:c r="H202" s="57" t="n">
        <x:f>IF(ISNUMBER(G202),IF(G202=0,"n.a.",F202/G202-1),"n.a.")</x:f>
        <x:v>0.012601841630142552</x:v>
      </x:c>
      <x:c r="I202" s="58" t="n">
        <x:f>F202/J202</x:f>
        <x:v>0.05441790120843683</x:v>
      </x:c>
      <x:c r="J202" s="56" t="n">
        <x:v>1191.7459613095236</x:v>
      </x:c>
    </x:row>
    <x:row r="203" ht="65" customHeight="1">
      <x:c r="A203" s="61" t="n">
        <x:v>44958</x:v>
      </x:c>
      <x:c r="B203" s="32" t="str">
        <x:v>Químicas, caucho, plástico y otros minerales no metálicos</x:v>
      </x:c>
      <x:c r="C203" s="32" t="str">
        <x:v>Industrias sin Aluar</x:v>
      </x:c>
      <x:c r="D203" s="62" t="n">
        <x:v>28</x:v>
      </x:c>
      <x:c r="E203" s="2" t="str">
        <x:v>Completo</x:v>
      </x:c>
      <x:c r="F203" s="56" t="n">
        <x:v>327.07293601190474</x:v>
      </x:c>
      <x:c r="G203" s="56" t="n">
        <x:f>F35</x:f>
        <x:v>326.57456845238096</x:v>
      </x:c>
      <x:c r="H203" s="57" t="n">
        <x:f>IF(ISNUMBER(G203),IF(G203=0,"n.a.",F203/G203-1),"n.a.")</x:f>
        <x:v>0.0015260452211129927</x:v>
      </x:c>
      <x:c r="I203" s="58" t="n">
        <x:f>F203/J203</x:f>
        <x:v>0.2744485373816647</x:v>
      </x:c>
      <x:c r="J203" s="56" t="n">
        <x:v>1191.7459613095236</x:v>
      </x:c>
    </x:row>
    <x:row r="204" ht="65" customHeight="1">
      <x:c r="A204" s="61" t="n">
        <x:v>44958</x:v>
      </x:c>
      <x:c r="B204" s="32" t="str">
        <x:v>Extracción de minerales</x:v>
      </x:c>
      <x:c r="C204" s="32" t="str">
        <x:v>Petróleos y minerales</x:v>
      </x:c>
      <x:c r="D204" s="62" t="n">
        <x:v>28</x:v>
      </x:c>
      <x:c r="E204" s="2" t="str">
        <x:v>Completo</x:v>
      </x:c>
      <x:c r="F204" s="56" t="n">
        <x:v>17.571998511904763</x:v>
      </x:c>
      <x:c r="G204" s="56" t="n">
        <x:f>F36</x:f>
        <x:v>16.29373363095238</x:v>
      </x:c>
      <x:c r="H204" s="57" t="n">
        <x:f>IF(ISNUMBER(G204),IF(G204=0,"n.a.",F204/G204-1),"n.a.")</x:f>
        <x:v>0.07845131815117723</x:v>
      </x:c>
      <x:c r="I204" s="58" t="n">
        <x:f>F204/J204</x:f>
        <x:v>0.09873922098351777</x:v>
      </x:c>
      <x:c r="J204" s="56" t="n">
        <x:v>177.9637142857143</x:v>
      </x:c>
    </x:row>
    <x:row r="205" ht="65" customHeight="1">
      <x:c r="A205" s="61" t="n">
        <x:v>44958</x:v>
      </x:c>
      <x:c r="B205" s="32" t="str">
        <x:v>Extracción de petróleo</x:v>
      </x:c>
      <x:c r="C205" s="32" t="str">
        <x:v>Petróleos y minerales</x:v>
      </x:c>
      <x:c r="D205" s="62" t="n">
        <x:v>28</x:v>
      </x:c>
      <x:c r="E205" s="2" t="str">
        <x:v>Completo</x:v>
      </x:c>
      <x:c r="F205" s="56" t="n">
        <x:v>160.39171577380952</x:v>
      </x:c>
      <x:c r="G205" s="56" t="n">
        <x:f>F37</x:f>
        <x:v>166.90400595238094</x:v>
      </x:c>
      <x:c r="H205" s="57" t="n">
        <x:f>IF(ISNUMBER(G205),IF(G205=0,"n.a.",F205/G205-1),"n.a.")</x:f>
        <x:v>-0.0390181777927453</x:v>
      </x:c>
      <x:c r="I205" s="58" t="n">
        <x:f>F205/J205</x:f>
        <x:v>0.9012607790164822</x:v>
      </x:c>
      <x:c r="J205" s="56" t="n">
        <x:v>177.9637142857143</x:v>
      </x:c>
    </x:row>
    <x:row r="206" ht="65" customHeight="1">
      <x:c r="A206" s="61" t="n">
        <x:v>44986</x:v>
      </x:c>
      <x:c r="B206" s="32" t="str">
        <x:v>Cargas y puertos</x:v>
      </x:c>
      <x:c r="C206" s="32" t="str">
        <x:v>Alimentación, comercios y servicios</x:v>
      </x:c>
      <x:c r="D206" s="62" t="n">
        <x:v>31</x:v>
      </x:c>
      <x:c r="E206" s="2" t="str">
        <x:v>Completo</x:v>
      </x:c>
      <x:c r="F206" s="56" t="n">
        <x:v>9.396623655913977</x:v>
      </x:c>
      <x:c r="G206" s="56" t="n">
        <x:f>F38</x:f>
        <x:v>7.846103494623656</x:v>
      </x:c>
      <x:c r="H206" s="57" t="n">
        <x:f>IF(ISNUMBER(G206),IF(G206=0,"n.a.",F206/G206-1),"n.a.")</x:f>
        <x:v>0.19761658284940742</x:v>
      </x:c>
      <x:c r="I206" s="58" t="n">
        <x:f>F206/J206</x:f>
        <x:v>0.021815147655595595</x:v>
      </x:c>
      <x:c r="J206" s="56" t="n">
        <x:v>430.73848521505374</x:v>
      </x:c>
    </x:row>
    <x:row r="207" ht="65" customHeight="1">
      <x:c r="A207" s="61" t="n">
        <x:v>44986</x:v>
      </x:c>
      <x:c r="B207" s="32" t="str">
        <x:v>Comercio y servicios: principalmente supermercados y centros comerciales</x:v>
      </x:c>
      <x:c r="C207" s="32" t="str">
        <x:v>Alimentación, comercios y servicios</x:v>
      </x:c>
      <x:c r="D207" s="62" t="n">
        <x:v>31</x:v>
      </x:c>
      <x:c r="E207" s="2" t="str">
        <x:v>Completo</x:v>
      </x:c>
      <x:c r="F207" s="56" t="n">
        <x:v>39.80274193548387</x:v>
      </x:c>
      <x:c r="G207" s="56" t="n">
        <x:f>F39</x:f>
        <x:v>29.484176075268817</x:v>
      </x:c>
      <x:c r="H207" s="57" t="n">
        <x:f>IF(ISNUMBER(G207),IF(G207=0,"n.a.",F207/G207-1),"n.a.")</x:f>
        <x:v>0.34996961874984245</x:v>
      </x:c>
      <x:c r="I207" s="58" t="n">
        <x:f>F207/J207</x:f>
        <x:v>0.09240581768683069</x:v>
      </x:c>
      <x:c r="J207" s="56" t="n">
        <x:v>430.73848521505374</x:v>
      </x:c>
    </x:row>
    <x:row r="208" ht="65" customHeight="1">
      <x:c r="A208" s="61" t="n">
        <x:v>44986</x:v>
      </x:c>
      <x:c r="B208" s="32" t="str">
        <x:v>Alimentación y artículos de consumo masivo</x:v>
      </x:c>
      <x:c r="C208" s="32" t="str">
        <x:v>Alimentación, comercios y servicios</x:v>
      </x:c>
      <x:c r="D208" s="62" t="n">
        <x:v>31</x:v>
      </x:c>
      <x:c r="E208" s="2" t="str">
        <x:v>Completo</x:v>
      </x:c>
      <x:c r="F208" s="56" t="n">
        <x:v>289.14820967741935</x:v>
      </x:c>
      <x:c r="G208" s="56" t="n">
        <x:f>F40</x:f>
        <x:v>277.9242338709677</x:v>
      </x:c>
      <x:c r="H208" s="57" t="n">
        <x:f>IF(ISNUMBER(G208),IF(G208=0,"n.a.",F208/G208-1),"n.a.")</x:f>
        <x:v>0.04038502022699686</x:v>
      </x:c>
      <x:c r="I208" s="58" t="n">
        <x:f>F208/J208</x:f>
        <x:v>0.6712848273426439</x:v>
      </x:c>
      <x:c r="J208" s="56" t="n">
        <x:v>430.73848521505374</x:v>
      </x:c>
    </x:row>
    <x:row r="209" ht="65" customHeight="1">
      <x:c r="A209" s="61" t="n">
        <x:v>44986</x:v>
      </x:c>
      <x:c r="B209" s="32" t="str">
        <x:v>Servicios públicos y transporte: agua y transporte en GBA</x:v>
      </x:c>
      <x:c r="C209" s="32" t="str">
        <x:v>Alimentación, comercios y servicios</x:v>
      </x:c>
      <x:c r="D209" s="62" t="n">
        <x:v>31</x:v>
      </x:c>
      <x:c r="E209" s="2" t="str">
        <x:v>Completo</x:v>
      </x:c>
      <x:c r="F209" s="56" t="n">
        <x:v>92.39090994623656</x:v>
      </x:c>
      <x:c r="G209" s="56" t="n">
        <x:f>F41</x:f>
        <x:v>82.28246774193548</x:v>
      </x:c>
      <x:c r="H209" s="57" t="n">
        <x:f>IF(ISNUMBER(G209),IF(G209=0,"n.a.",F209/G209-1),"n.a.")</x:f>
        <x:v>0.12285049879646825</x:v>
      </x:c>
      <x:c r="I209" s="58" t="n">
        <x:f>F209/J209</x:f>
        <x:v>0.2144942073149298</x:v>
      </x:c>
      <x:c r="J209" s="56" t="n">
        <x:v>430.73848521505374</x:v>
      </x:c>
    </x:row>
    <x:row r="210" ht="65" customHeight="1">
      <x:c r="A210" s="61" t="n">
        <x:v>44986</x:v>
      </x:c>
      <x:c r="B210" s="32" t="str">
        <x:v>Industria automotriz</x:v>
      </x:c>
      <x:c r="C210" s="32" t="str">
        <x:v>Industrias sin Aluar</x:v>
      </x:c>
      <x:c r="D210" s="62" t="n">
        <x:v>31</x:v>
      </x:c>
      <x:c r="E210" s="2" t="str">
        <x:v>Completo</x:v>
      </x:c>
      <x:c r="F210" s="56" t="n">
        <x:v>46.577749999999995</x:v>
      </x:c>
      <x:c r="G210" s="56" t="n">
        <x:f>F42</x:f>
        <x:v>37.392795698924736</x:v>
      </x:c>
      <x:c r="H210" s="57" t="n">
        <x:f>IF(ISNUMBER(G210),IF(G210=0,"n.a.",F210/G210-1),"n.a.")</x:f>
        <x:v>0.24563432953849396</x:v>
      </x:c>
      <x:c r="I210" s="58" t="n">
        <x:f>F210/J210</x:f>
        <x:v>0.036934828071954494</x:v>
      </x:c>
      <x:c r="J210" s="56" t="n">
        <x:v>1261.079377688172</x:v>
      </x:c>
    </x:row>
    <x:row r="211" ht="65" customHeight="1">
      <x:c r="A211" s="61" t="n">
        <x:v>44986</x:v>
      </x:c>
      <x:c r="B211" s="32" t="str">
        <x:v>Derivados de petróleo</x:v>
      </x:c>
      <x:c r="C211" s="32" t="str">
        <x:v>Industrias sin Aluar</x:v>
      </x:c>
      <x:c r="D211" s="62" t="n">
        <x:v>31</x:v>
      </x:c>
      <x:c r="E211" s="2" t="str">
        <x:v>Completo</x:v>
      </x:c>
      <x:c r="F211" s="56" t="n">
        <x:v>154.19907930107527</x:v>
      </x:c>
      <x:c r="G211" s="56" t="n">
        <x:f>F43</x:f>
        <x:v>164.19376478494624</x:v>
      </x:c>
      <x:c r="H211" s="57" t="n">
        <x:f>IF(ISNUMBER(G211),IF(G211=0,"n.a.",F211/G211-1),"n.a.")</x:f>
        <x:v>-0.0608712851974712</x:v>
      </x:c>
      <x:c r="I211" s="58" t="n">
        <x:f>F211/J211</x:f>
        <x:v>0.12227547450958651</x:v>
      </x:c>
      <x:c r="J211" s="56" t="n">
        <x:v>1261.079377688172</x:v>
      </x:c>
    </x:row>
    <x:row r="212" ht="65" customHeight="1">
      <x:c r="A212" s="61" t="n">
        <x:v>44986</x:v>
      </x:c>
      <x:c r="B212" s="32" t="str">
        <x:v>Construcción: elaboración de cemento y canteras</x:v>
      </x:c>
      <x:c r="C212" s="32" t="str">
        <x:v>Industrias sin Aluar</x:v>
      </x:c>
      <x:c r="D212" s="62" t="n">
        <x:v>31</x:v>
      </x:c>
      <x:c r="E212" s="2" t="str">
        <x:v>Completo</x:v>
      </x:c>
      <x:c r="F212" s="56" t="n">
        <x:v>180.8219072580645</x:v>
      </x:c>
      <x:c r="G212" s="56" t="n">
        <x:f>F44</x:f>
        <x:v>173.1340806451613</x:v>
      </x:c>
      <x:c r="H212" s="57" t="n">
        <x:f>IF(ISNUMBER(G212),IF(G212=0,"n.a.",F212/G212-1),"n.a.")</x:f>
        <x:v>0.044403889657400386</x:v>
      </x:c>
      <x:c r="I212" s="58" t="n">
        <x:f>F212/J212</x:f>
        <x:v>0.14338661820761014</x:v>
      </x:c>
      <x:c r="J212" s="56" t="n">
        <x:v>1261.079377688172</x:v>
      </x:c>
    </x:row>
    <x:row r="213" ht="65" customHeight="1">
      <x:c r="A213" s="61" t="n">
        <x:v>44986</x:v>
      </x:c>
      <x:c r="B213" s="32" t="str">
        <x:v>Madera y papel</x:v>
      </x:c>
      <x:c r="C213" s="32" t="str">
        <x:v>Industrias sin Aluar</x:v>
      </x:c>
      <x:c r="D213" s="62" t="n">
        <x:v>31</x:v>
      </x:c>
      <x:c r="E213" s="2" t="str">
        <x:v>Completo</x:v>
      </x:c>
      <x:c r="F213" s="56" t="n">
        <x:v>108.11033870967742</x:v>
      </x:c>
      <x:c r="G213" s="56" t="n">
        <x:f>F45</x:f>
        <x:v>105.10348521505377</x:v>
      </x:c>
      <x:c r="H213" s="57" t="n">
        <x:f>IF(ISNUMBER(G213),IF(G213=0,"n.a.",F213/G213-1),"n.a.")</x:f>
        <x:v>0.028608504165882787</x:v>
      </x:c>
      <x:c r="I213" s="58" t="n">
        <x:f>F213/J213</x:f>
        <x:v>0.08572841695965783</x:v>
      </x:c>
      <x:c r="J213" s="56" t="n">
        <x:v>1261.079377688172</x:v>
      </x:c>
    </x:row>
    <x:row r="214" ht="65" customHeight="1">
      <x:c r="A214" s="61" t="n">
        <x:v>44986</x:v>
      </x:c>
      <x:c r="B214" s="32" t="str">
        <x:v>Productos metálicos no automotores</x:v>
      </x:c>
      <x:c r="C214" s="32" t="str">
        <x:v>Industrias sin Aluar</x:v>
      </x:c>
      <x:c r="D214" s="62" t="n">
        <x:v>31</x:v>
      </x:c>
      <x:c r="E214" s="2" t="str">
        <x:v>Completo</x:v>
      </x:c>
      <x:c r="F214" s="56" t="n">
        <x:v>49.636471774193545</x:v>
      </x:c>
      <x:c r="G214" s="56" t="n">
        <x:f>F46</x:f>
        <x:v>62.94465725806452</x:v>
      </x:c>
      <x:c r="H214" s="57" t="n">
        <x:f>IF(ISNUMBER(G214),IF(G214=0,"n.a.",F214/G214-1),"n.a.")</x:f>
        <x:v>-0.21142676858671616</x:v>
      </x:c>
      <x:c r="I214" s="58" t="n">
        <x:f>F214/J214</x:f>
        <x:v>0.03936030725138635</x:v>
      </x:c>
      <x:c r="J214" s="56" t="n">
        <x:v>1261.079377688172</x:v>
      </x:c>
    </x:row>
    <x:row r="215" ht="65" customHeight="1">
      <x:c r="A215" s="61" t="n">
        <x:v>44986</x:v>
      </x:c>
      <x:c r="B215" s="32" t="str">
        <x:v>Gran siderurgia</x:v>
      </x:c>
      <x:c r="C215" s="32" t="str">
        <x:v>Industrias sin Aluar</x:v>
      </x:c>
      <x:c r="D215" s="62" t="n">
        <x:v>31</x:v>
      </x:c>
      <x:c r="E215" s="2" t="str">
        <x:v>Completo</x:v>
      </x:c>
      <x:c r="F215" s="56" t="n">
        <x:v>322.6856801075269</x:v>
      </x:c>
      <x:c r="G215" s="56" t="n">
        <x:f>F47</x:f>
        <x:v>330.94274462365587</x:v>
      </x:c>
      <x:c r="H215" s="57" t="n">
        <x:f>IF(ISNUMBER(G215),IF(G215=0,"n.a.",F215/G215-1),"n.a.")</x:f>
        <x:v>-0.02495013004596558</x:v>
      </x:c>
      <x:c r="I215" s="58" t="n">
        <x:f>F215/J215</x:f>
        <x:v>0.25588054631349116</x:v>
      </x:c>
      <x:c r="J215" s="56" t="n">
        <x:v>1261.079377688172</x:v>
      </x:c>
    </x:row>
    <x:row r="216" ht="65" customHeight="1">
      <x:c r="A216" s="61" t="n">
        <x:v>44986</x:v>
      </x:c>
      <x:c r="B216" s="32" t="str">
        <x:v>Industria textil</x:v>
      </x:c>
      <x:c r="C216" s="32" t="str">
        <x:v>Industrias sin Aluar</x:v>
      </x:c>
      <x:c r="D216" s="62" t="n">
        <x:v>31</x:v>
      </x:c>
      <x:c r="E216" s="2" t="str">
        <x:v>Completo</x:v>
      </x:c>
      <x:c r="F216" s="56" t="n">
        <x:v>68.00813709677419</x:v>
      </x:c>
      <x:c r="G216" s="56" t="n">
        <x:f>F48</x:f>
        <x:v>63.16328225806452</x:v>
      </x:c>
      <x:c r="H216" s="57" t="n">
        <x:f>IF(ISNUMBER(G216),IF(G216=0,"n.a.",F216/G216-1),"n.a.")</x:f>
        <x:v>0.07670365860525075</x:v>
      </x:c>
      <x:c r="I216" s="58" t="n">
        <x:f>F216/J216</x:f>
        <x:v>0.05392851417604469</x:v>
      </x:c>
      <x:c r="J216" s="56" t="n">
        <x:v>1261.079377688172</x:v>
      </x:c>
    </x:row>
    <x:row r="217" ht="65" customHeight="1">
      <x:c r="A217" s="61" t="n">
        <x:v>44986</x:v>
      </x:c>
      <x:c r="B217" s="32" t="str">
        <x:v>Químicas, caucho, plástico y otros minerales no metálicos</x:v>
      </x:c>
      <x:c r="C217" s="32" t="str">
        <x:v>Industrias sin Aluar</x:v>
      </x:c>
      <x:c r="D217" s="62" t="n">
        <x:v>31</x:v>
      </x:c>
      <x:c r="E217" s="2" t="str">
        <x:v>Completo</x:v>
      </x:c>
      <x:c r="F217" s="56" t="n">
        <x:v>331.04001344086026</x:v>
      </x:c>
      <x:c r="G217" s="56" t="n">
        <x:f>F49</x:f>
        <x:v>356.29222043010753</x:v>
      </x:c>
      <x:c r="H217" s="57" t="n">
        <x:f>IF(ISNUMBER(G217),IF(G217=0,"n.a.",F217/G217-1),"n.a.")</x:f>
        <x:v>-0.07087498839790385</x:v>
      </x:c>
      <x:c r="I217" s="58" t="n">
        <x:f>F217/J217</x:f>
        <x:v>0.26250529451026894</x:v>
      </x:c>
      <x:c r="J217" s="56" t="n">
        <x:v>1261.079377688172</x:v>
      </x:c>
    </x:row>
    <x:row r="218" ht="65" customHeight="1">
      <x:c r="A218" s="61" t="n">
        <x:v>44986</x:v>
      </x:c>
      <x:c r="B218" s="32" t="str">
        <x:v>Extracción de minerales</x:v>
      </x:c>
      <x:c r="C218" s="32" t="str">
        <x:v>Petróleos y minerales</x:v>
      </x:c>
      <x:c r="D218" s="62" t="n">
        <x:v>31</x:v>
      </x:c>
      <x:c r="E218" s="2" t="str">
        <x:v>Completo</x:v>
      </x:c>
      <x:c r="F218" s="56" t="n">
        <x:v>19.676653225806454</x:v>
      </x:c>
      <x:c r="G218" s="56" t="n">
        <x:f>F50</x:f>
        <x:v>17.75885752688172</x:v>
      </x:c>
      <x:c r="H218" s="57" t="n">
        <x:f>IF(ISNUMBER(G218),IF(G218=0,"n.a.",F218/G218-1),"n.a.")</x:f>
        <x:v>0.10799093894535461</x:v>
      </x:c>
      <x:c r="I218" s="58" t="n">
        <x:f>F218/J218</x:f>
        <x:v>0.10506580659013182</x:v>
      </x:c>
      <x:c r="J218" s="56" t="n">
        <x:v>187.2793239247312</x:v>
      </x:c>
    </x:row>
    <x:row r="219" ht="65" customHeight="1">
      <x:c r="A219" s="61" t="n">
        <x:v>44986</x:v>
      </x:c>
      <x:c r="B219" s="32" t="str">
        <x:v>Extracción de petróleo</x:v>
      </x:c>
      <x:c r="C219" s="32" t="str">
        <x:v>Petróleos y minerales</x:v>
      </x:c>
      <x:c r="D219" s="62" t="n">
        <x:v>31</x:v>
      </x:c>
      <x:c r="E219" s="2" t="str">
        <x:v>Completo</x:v>
      </x:c>
      <x:c r="F219" s="56" t="n">
        <x:v>167.60267069892473</x:v>
      </x:c>
      <x:c r="G219" s="56" t="n">
        <x:f>F51</x:f>
        <x:v>170.04050940860213</x:v>
      </x:c>
      <x:c r="H219" s="57" t="n">
        <x:f>IF(ISNUMBER(G219),IF(G219=0,"n.a.",F219/G219-1),"n.a.")</x:f>
        <x:v>-0.014336811376043035</x:v>
      </x:c>
      <x:c r="I219" s="58" t="n">
        <x:f>F219/J219</x:f>
        <x:v>0.8949341934098681</x:v>
      </x:c>
      <x:c r="J219" s="56" t="n">
        <x:v>187.2793239247312</x:v>
      </x:c>
    </x:row>
    <x:row r="220" ht="65" customHeight="1">
      <x:c r="A220" s="61" t="n">
        <x:v>45017</x:v>
      </x:c>
      <x:c r="B220" s="32" t="str">
        <x:v>Cargas y puertos</x:v>
      </x:c>
      <x:c r="C220" s="32" t="str">
        <x:v>Alimentación, comercios y servicios</x:v>
      </x:c>
      <x:c r="D220" s="62" t="n">
        <x:v>30</x:v>
      </x:c>
      <x:c r="E220" s="2" t="str">
        <x:v>Completo</x:v>
      </x:c>
      <x:c r="F220" s="56" t="n">
        <x:v>7.096625</x:v>
      </x:c>
      <x:c r="G220" s="56" t="n">
        <x:f>F52</x:f>
        <x:v>7.616648611111112</x:v>
      </x:c>
      <x:c r="H220" s="57" t="n">
        <x:f>IF(ISNUMBER(G220),IF(G220=0,"n.a.",F220/G220-1),"n.a.")</x:f>
        <x:v>-0.06827459656633028</x:v>
      </x:c>
      <x:c r="I220" s="58" t="n">
        <x:f>F220/J220</x:f>
        <x:v>0.017518222318695983</x:v>
      </x:c>
      <x:c r="J220" s="56" t="n">
        <x:v>405.0996083333333</x:v>
      </x:c>
    </x:row>
    <x:row r="221" ht="65" customHeight="1">
      <x:c r="A221" s="61" t="n">
        <x:v>45017</x:v>
      </x:c>
      <x:c r="B221" s="32" t="str">
        <x:v>Comercio y servicios: principalmente supermercados y centros comerciales</x:v>
      </x:c>
      <x:c r="C221" s="32" t="str">
        <x:v>Alimentación, comercios y servicios</x:v>
      </x:c>
      <x:c r="D221" s="62" t="n">
        <x:v>30</x:v>
      </x:c>
      <x:c r="E221" s="2" t="str">
        <x:v>Completo</x:v>
      </x:c>
      <x:c r="F221" s="56" t="n">
        <x:v>30.459856944444443</x:v>
      </x:c>
      <x:c r="G221" s="56" t="n">
        <x:f>F53</x:f>
        <x:v>26.603906944444443</x:v>
      </x:c>
      <x:c r="H221" s="57" t="n">
        <x:f>IF(ISNUMBER(G221),IF(G221=0,"n.a.",F221/G221-1),"n.a.")</x:f>
        <x:v>0.14493923798681818</x:v>
      </x:c>
      <x:c r="I221" s="58" t="n">
        <x:f>F221/J221</x:f>
        <x:v>0.07519103034871553</x:v>
      </x:c>
      <x:c r="J221" s="56" t="n">
        <x:v>405.0996083333333</x:v>
      </x:c>
    </x:row>
    <x:row r="222" ht="65" customHeight="1">
      <x:c r="A222" s="61" t="n">
        <x:v>45017</x:v>
      </x:c>
      <x:c r="B222" s="32" t="str">
        <x:v>Alimentación y artículos de consumo masivo</x:v>
      </x:c>
      <x:c r="C222" s="32" t="str">
        <x:v>Alimentación, comercios y servicios</x:v>
      </x:c>
      <x:c r="D222" s="62" t="n">
        <x:v>30</x:v>
      </x:c>
      <x:c r="E222" s="2" t="str">
        <x:v>Completo</x:v>
      </x:c>
      <x:c r="F222" s="56" t="n">
        <x:v>280.81244722222226</x:v>
      </x:c>
      <x:c r="G222" s="56" t="n">
        <x:f>F54</x:f>
        <x:v>286.55909722222225</x:v>
      </x:c>
      <x:c r="H222" s="57" t="n">
        <x:f>IF(ISNUMBER(G222),IF(G222=0,"n.a.",F222/G222-1),"n.a.")</x:f>
        <x:v>-0.020053978588380095</x:v>
      </x:c>
      <x:c r="I222" s="58" t="n">
        <x:f>F222/J222</x:f>
        <x:v>0.6931935786794386</x:v>
      </x:c>
      <x:c r="J222" s="56" t="n">
        <x:v>405.0996083333333</x:v>
      </x:c>
    </x:row>
    <x:row r="223" ht="65" customHeight="1">
      <x:c r="A223" s="61" t="n">
        <x:v>45017</x:v>
      </x:c>
      <x:c r="B223" s="32" t="str">
        <x:v>Servicios públicos y transporte: agua y transporte en GBA</x:v>
      </x:c>
      <x:c r="C223" s="32" t="str">
        <x:v>Alimentación, comercios y servicios</x:v>
      </x:c>
      <x:c r="D223" s="62" t="n">
        <x:v>30</x:v>
      </x:c>
      <x:c r="E223" s="2" t="str">
        <x:v>Completo</x:v>
      </x:c>
      <x:c r="F223" s="56" t="n">
        <x:v>86.73067916666668</x:v>
      </x:c>
      <x:c r="G223" s="56" t="n">
        <x:f>F55</x:f>
        <x:v>83.04562638888889</x:v>
      </x:c>
      <x:c r="H223" s="57" t="n">
        <x:f>IF(ISNUMBER(G223),IF(G223=0,"n.a.",F223/G223-1),"n.a.")</x:f>
        <x:v>0.04437383325307587</x:v>
      </x:c>
      <x:c r="I223" s="58" t="n">
        <x:f>F223/J223</x:f>
        <x:v>0.21409716865315</x:v>
      </x:c>
      <x:c r="J223" s="56" t="n">
        <x:v>405.0996083333333</x:v>
      </x:c>
    </x:row>
    <x:row r="224" ht="65" customHeight="1">
      <x:c r="A224" s="61" t="n">
        <x:v>45017</x:v>
      </x:c>
      <x:c r="B224" s="32" t="str">
        <x:v>Industria automotriz</x:v>
      </x:c>
      <x:c r="C224" s="32" t="str">
        <x:v>Industrias sin Aluar</x:v>
      </x:c>
      <x:c r="D224" s="62" t="n">
        <x:v>30</x:v>
      </x:c>
      <x:c r="E224" s="2" t="str">
        <x:v>Completo</x:v>
      </x:c>
      <x:c r="F224" s="56" t="n">
        <x:v>38.1571</x:v>
      </x:c>
      <x:c r="G224" s="56" t="n">
        <x:f>F56</x:f>
        <x:v>35.554947222222225</x:v>
      </x:c>
      <x:c r="H224" s="57" t="n">
        <x:f>IF(ISNUMBER(G224),IF(G224=0,"n.a.",F224/G224-1),"n.a.")</x:f>
        <x:v>0.07318679905539005</x:v>
      </x:c>
      <x:c r="I224" s="58" t="n">
        <x:f>F224/J224</x:f>
        <x:v>0.030440077496378552</x:v>
      </x:c>
      <x:c r="J224" s="56" t="n">
        <x:v>1253.5152055555554</x:v>
      </x:c>
    </x:row>
    <x:row r="225" ht="65" customHeight="1">
      <x:c r="A225" s="61" t="n">
        <x:v>45017</x:v>
      </x:c>
      <x:c r="B225" s="32" t="str">
        <x:v>Derivados de petróleo</x:v>
      </x:c>
      <x:c r="C225" s="32" t="str">
        <x:v>Industrias sin Aluar</x:v>
      </x:c>
      <x:c r="D225" s="62" t="n">
        <x:v>30</x:v>
      </x:c>
      <x:c r="E225" s="2" t="str">
        <x:v>Completo</x:v>
      </x:c>
      <x:c r="F225" s="56" t="n">
        <x:v>166.33599305555558</x:v>
      </x:c>
      <x:c r="G225" s="56" t="n">
        <x:f>F57</x:f>
        <x:v>200.17178194444443</x:v>
      </x:c>
      <x:c r="H225" s="57" t="n">
        <x:f>IF(ISNUMBER(G225),IF(G225=0,"n.a.",F225/G225-1),"n.a.")</x:f>
        <x:v>-0.16903375970485002</x:v>
      </x:c>
      <x:c r="I225" s="58" t="n">
        <x:f>F225/J225</x:f>
        <x:v>0.13269563250478145</x:v>
      </x:c>
      <x:c r="J225" s="56" t="n">
        <x:v>1253.5152055555554</x:v>
      </x:c>
    </x:row>
    <x:row r="226" ht="65" customHeight="1">
      <x:c r="A226" s="61" t="n">
        <x:v>45017</x:v>
      </x:c>
      <x:c r="B226" s="32" t="str">
        <x:v>Construcción: elaboración de cemento y canteras</x:v>
      </x:c>
      <x:c r="C226" s="32" t="str">
        <x:v>Industrias sin Aluar</x:v>
      </x:c>
      <x:c r="D226" s="62" t="n">
        <x:v>30</x:v>
      </x:c>
      <x:c r="E226" s="2" t="str">
        <x:v>Completo</x:v>
      </x:c>
      <x:c r="F226" s="56" t="n">
        <x:v>178.35109305555554</x:v>
      </x:c>
      <x:c r="G226" s="56" t="n">
        <x:f>F58</x:f>
        <x:v>174.80569027777776</x:v>
      </x:c>
      <x:c r="H226" s="57" t="n">
        <x:f>IF(ISNUMBER(G226),IF(G226=0,"n.a.",F226/G226-1),"n.a.")</x:f>
        <x:v>0.020281964346491765</x:v>
      </x:c>
      <x:c r="I226" s="58" t="n">
        <x:f>F226/J226</x:f>
        <x:v>0.14228075755691427</x:v>
      </x:c>
      <x:c r="J226" s="56" t="n">
        <x:v>1253.5152055555554</x:v>
      </x:c>
    </x:row>
    <x:row r="227" ht="65" customHeight="1">
      <x:c r="A227" s="61" t="n">
        <x:v>45017</x:v>
      </x:c>
      <x:c r="B227" s="32" t="str">
        <x:v>Madera y papel</x:v>
      </x:c>
      <x:c r="C227" s="32" t="str">
        <x:v>Industrias sin Aluar</x:v>
      </x:c>
      <x:c r="D227" s="62" t="n">
        <x:v>30</x:v>
      </x:c>
      <x:c r="E227" s="2" t="str">
        <x:v>Completo</x:v>
      </x:c>
      <x:c r="F227" s="56" t="n">
        <x:v>104.97321666666667</x:v>
      </x:c>
      <x:c r="G227" s="56" t="n">
        <x:f>F59</x:f>
        <x:v>104.13508888888889</x:v>
      </x:c>
      <x:c r="H227" s="57" t="n">
        <x:f>IF(ISNUMBER(G227),IF(G227=0,"n.a.",F227/G227-1),"n.a.")</x:f>
        <x:v>0.008048466532467824</x:v>
      </x:c>
      <x:c r="I227" s="58" t="n">
        <x:f>F227/J227</x:f>
        <x:v>0.08374307403805505</x:v>
      </x:c>
      <x:c r="J227" s="56" t="n">
        <x:v>1253.5152055555554</x:v>
      </x:c>
    </x:row>
    <x:row r="228" ht="65" customHeight="1">
      <x:c r="A228" s="61" t="n">
        <x:v>45017</x:v>
      </x:c>
      <x:c r="B228" s="32" t="str">
        <x:v>Productos metálicos no automotores</x:v>
      </x:c>
      <x:c r="C228" s="32" t="str">
        <x:v>Industrias sin Aluar</x:v>
      </x:c>
      <x:c r="D228" s="62" t="n">
        <x:v>30</x:v>
      </x:c>
      <x:c r="E228" s="2" t="str">
        <x:v>Completo</x:v>
      </x:c>
      <x:c r="F228" s="56" t="n">
        <x:v>48.040640277777776</x:v>
      </x:c>
      <x:c r="G228" s="56" t="n">
        <x:f>F60</x:f>
        <x:v>56.47754722222223</x:v>
      </x:c>
      <x:c r="H228" s="57" t="n">
        <x:f>IF(ISNUMBER(G228),IF(G228=0,"n.a.",F228/G228-1),"n.a.")</x:f>
        <x:v>-0.14938515143456477</x:v>
      </x:c>
      <x:c r="I228" s="58" t="n">
        <x:f>F228/J228</x:f>
        <x:v>0.038324736760162605</x:v>
      </x:c>
      <x:c r="J228" s="56" t="n">
        <x:v>1253.5152055555554</x:v>
      </x:c>
    </x:row>
    <x:row r="229" ht="65" customHeight="1">
      <x:c r="A229" s="61" t="n">
        <x:v>45017</x:v>
      </x:c>
      <x:c r="B229" s="32" t="str">
        <x:v>Gran siderurgia</x:v>
      </x:c>
      <x:c r="C229" s="32" t="str">
        <x:v>Industrias sin Aluar</x:v>
      </x:c>
      <x:c r="D229" s="62" t="n">
        <x:v>30</x:v>
      </x:c>
      <x:c r="E229" s="2" t="str">
        <x:v>Completo</x:v>
      </x:c>
      <x:c r="F229" s="56" t="n">
        <x:v>321.56680694444447</x:v>
      </x:c>
      <x:c r="G229" s="56" t="n">
        <x:f>F61</x:f>
        <x:v>295.4892416666667</x:v>
      </x:c>
      <x:c r="H229" s="57" t="n">
        <x:f>IF(ISNUMBER(G229),IF(G229=0,"n.a.",F229/G229-1),"n.a.")</x:f>
        <x:v>0.08825216488658194</x:v>
      </x:c>
      <x:c r="I229" s="58" t="n">
        <x:f>F229/J229</x:f>
        <x:v>0.25653203528706037</x:v>
      </x:c>
      <x:c r="J229" s="56" t="n">
        <x:v>1253.5152055555554</x:v>
      </x:c>
    </x:row>
    <x:row r="230" ht="65" customHeight="1">
      <x:c r="A230" s="61" t="n">
        <x:v>45017</x:v>
      </x:c>
      <x:c r="B230" s="32" t="str">
        <x:v>Industria textil</x:v>
      </x:c>
      <x:c r="C230" s="32" t="str">
        <x:v>Industrias sin Aluar</x:v>
      </x:c>
      <x:c r="D230" s="62" t="n">
        <x:v>30</x:v>
      </x:c>
      <x:c r="E230" s="2" t="str">
        <x:v>Completo</x:v>
      </x:c>
      <x:c r="F230" s="56" t="n">
        <x:v>63.00198472222222</x:v>
      </x:c>
      <x:c r="G230" s="56" t="n">
        <x:f>F62</x:f>
        <x:v>61.509987499999994</x:v>
      </x:c>
      <x:c r="H230" s="57" t="n">
        <x:f>IF(ISNUMBER(G230),IF(G230=0,"n.a.",F230/G230-1),"n.a.")</x:f>
        <x:v>0.02425617827059745</x:v>
      </x:c>
      <x:c r="I230" s="58" t="n">
        <x:f>F230/J230</x:f>
        <x:v>0.05026024769623745</x:v>
      </x:c>
      <x:c r="J230" s="56" t="n">
        <x:v>1253.5152055555554</x:v>
      </x:c>
    </x:row>
    <x:row r="231" ht="65" customHeight="1">
      <x:c r="A231" s="61" t="n">
        <x:v>45017</x:v>
      </x:c>
      <x:c r="B231" s="32" t="str">
        <x:v>Químicas, caucho, plástico y otros minerales no metálicos</x:v>
      </x:c>
      <x:c r="C231" s="32" t="str">
        <x:v>Industrias sin Aluar</x:v>
      </x:c>
      <x:c r="D231" s="62" t="n">
        <x:v>30</x:v>
      </x:c>
      <x:c r="E231" s="2" t="str">
        <x:v>Completo</x:v>
      </x:c>
      <x:c r="F231" s="56" t="n">
        <x:v>333.08837083333333</x:v>
      </x:c>
      <x:c r="G231" s="56" t="n">
        <x:f>F63</x:f>
        <x:v>398.57307777777777</x:v>
      </x:c>
      <x:c r="H231" s="57" t="n">
        <x:f>IF(ISNUMBER(G231),IF(G231=0,"n.a.",F231/G231-1),"n.a.")</x:f>
        <x:v>-0.16429786805860247</x:v>
      </x:c>
      <x:c r="I231" s="58" t="n">
        <x:f>F231/J231</x:f>
        <x:v>0.26572343866041037</x:v>
      </x:c>
      <x:c r="J231" s="56" t="n">
        <x:v>1253.5152055555554</x:v>
      </x:c>
    </x:row>
    <x:row r="232" ht="65" customHeight="1">
      <x:c r="A232" s="61" t="n">
        <x:v>45017</x:v>
      </x:c>
      <x:c r="B232" s="32" t="str">
        <x:v>Extracción de minerales</x:v>
      </x:c>
      <x:c r="C232" s="32" t="str">
        <x:v>Petróleos y minerales</x:v>
      </x:c>
      <x:c r="D232" s="62" t="n">
        <x:v>30</x:v>
      </x:c>
      <x:c r="E232" s="2" t="str">
        <x:v>Completo</x:v>
      </x:c>
      <x:c r="F232" s="56" t="n">
        <x:v>20.03678611111111</x:v>
      </x:c>
      <x:c r="G232" s="56" t="n">
        <x:f>F64</x:f>
        <x:v>18.193920833333333</x:v>
      </x:c>
      <x:c r="H232" s="57" t="n">
        <x:f>IF(ISNUMBER(G232),IF(G232=0,"n.a.",F232/G232-1),"n.a.")</x:f>
        <x:v>0.10129016690022286</x:v>
      </x:c>
      <x:c r="I232" s="58" t="n">
        <x:f>F232/J232</x:f>
        <x:v>0.10642746999795902</x:v>
      </x:c>
      <x:c r="J232" s="56" t="n">
        <x:v>188.26705277777776</x:v>
      </x:c>
    </x:row>
    <x:row r="233" ht="65" customHeight="1">
      <x:c r="A233" s="61" t="n">
        <x:v>45017</x:v>
      </x:c>
      <x:c r="B233" s="32" t="str">
        <x:v>Extracción de petróleo</x:v>
      </x:c>
      <x:c r="C233" s="32" t="str">
        <x:v>Petróleos y minerales</x:v>
      </x:c>
      <x:c r="D233" s="62" t="n">
        <x:v>30</x:v>
      </x:c>
      <x:c r="E233" s="2" t="str">
        <x:v>Completo</x:v>
      </x:c>
      <x:c r="F233" s="56" t="n">
        <x:v>168.23026666666667</x:v>
      </x:c>
      <x:c r="G233" s="56" t="n">
        <x:f>F65</x:f>
        <x:v>183.48032083333334</x:v>
      </x:c>
      <x:c r="H233" s="57" t="n">
        <x:f>IF(ISNUMBER(G233),IF(G233=0,"n.a.",F233/G233-1),"n.a.")</x:f>
        <x:v>-0.0831154758036381</x:v>
      </x:c>
      <x:c r="I233" s="58" t="n">
        <x:f>F233/J233</x:f>
        <x:v>0.8935725300020411</x:v>
      </x:c>
      <x:c r="J233" s="56" t="n">
        <x:v>188.26705277777776</x:v>
      </x:c>
    </x:row>
    <x:row r="234" ht="65" customHeight="1">
      <x:c r="A234" s="61" t="n">
        <x:v>45047</x:v>
      </x:c>
      <x:c r="B234" s="32" t="str">
        <x:v>Cargas y puertos</x:v>
      </x:c>
      <x:c r="C234" s="32" t="str">
        <x:v>Alimentación, comercios y servicios</x:v>
      </x:c>
      <x:c r="D234" s="62" t="n">
        <x:v>31</x:v>
      </x:c>
      <x:c r="E234" s="2" t="str">
        <x:v>Completo</x:v>
      </x:c>
      <x:c r="F234" s="56" t="n">
        <x:v>6.715490591397849</x:v>
      </x:c>
      <x:c r="G234" s="56" t="n">
        <x:f>F66</x:f>
        <x:v>8.200380376344086</x:v>
      </x:c>
      <x:c r="H234" s="57" t="n">
        <x:f>IF(ISNUMBER(G234),IF(G234=0,"n.a.",F234/G234-1),"n.a.")</x:f>
        <x:v>-0.1810757204909358</x:v>
      </x:c>
      <x:c r="I234" s="58" t="n">
        <x:f>F234/J234</x:f>
        <x:v>0.016790881138977875</x:v>
      </x:c>
      <x:c r="J234" s="56" t="n">
        <x:v>399.94867069892473</x:v>
      </x:c>
    </x:row>
    <x:row r="235" ht="65" customHeight="1">
      <x:c r="A235" s="61" t="n">
        <x:v>45047</x:v>
      </x:c>
      <x:c r="B235" s="32" t="str">
        <x:v>Comercio y servicios: principalmente supermercados y centros comerciales</x:v>
      </x:c>
      <x:c r="C235" s="32" t="str">
        <x:v>Alimentación, comercios y servicios</x:v>
      </x:c>
      <x:c r="D235" s="62" t="n">
        <x:v>31</x:v>
      </x:c>
      <x:c r="E235" s="2" t="str">
        <x:v>Completo</x:v>
      </x:c>
      <x:c r="F235" s="56" t="n">
        <x:v>29.059623655913978</x:v>
      </x:c>
      <x:c r="G235" s="56" t="n">
        <x:f>F67</x:f>
        <x:v>26.370419354838713</x:v>
      </x:c>
      <x:c r="H235" s="57" t="n">
        <x:f>IF(ISNUMBER(G235),IF(G235=0,"n.a.",F235/G235-1),"n.a.")</x:f>
        <x:v>0.10197806356013905</x:v>
      </x:c>
      <x:c r="I235" s="58" t="n">
        <x:f>F235/J235</x:f>
        <x:v>0.07265838289981372</x:v>
      </x:c>
      <x:c r="J235" s="56" t="n">
        <x:v>399.94867069892473</x:v>
      </x:c>
    </x:row>
    <x:row r="236" ht="65" customHeight="1">
      <x:c r="A236" s="61" t="n">
        <x:v>45047</x:v>
      </x:c>
      <x:c r="B236" s="32" t="str">
        <x:v>Alimentación y artículos de consumo masivo</x:v>
      </x:c>
      <x:c r="C236" s="32" t="str">
        <x:v>Alimentación, comercios y servicios</x:v>
      </x:c>
      <x:c r="D236" s="62" t="n">
        <x:v>31</x:v>
      </x:c>
      <x:c r="E236" s="2" t="str">
        <x:v>Completo</x:v>
      </x:c>
      <x:c r="F236" s="56" t="n">
        <x:v>275.2428588709677</x:v>
      </x:c>
      <x:c r="G236" s="56" t="n">
        <x:f>F68</x:f>
        <x:v>280.4532822580645</x:v>
      </x:c>
      <x:c r="H236" s="57" t="n">
        <x:f>IF(ISNUMBER(G236),IF(G236=0,"n.a.",F236/G236-1),"n.a.")</x:f>
        <x:v>-0.018578578739193774</x:v>
      </x:c>
      <x:c r="I236" s="58" t="n">
        <x:f>F236/J236</x:f>
        <x:v>0.6881954586571595</x:v>
      </x:c>
      <x:c r="J236" s="56" t="n">
        <x:v>399.94867069892473</x:v>
      </x:c>
    </x:row>
    <x:row r="237" ht="65" customHeight="1">
      <x:c r="A237" s="61" t="n">
        <x:v>45047</x:v>
      </x:c>
      <x:c r="B237" s="32" t="str">
        <x:v>Servicios públicos y transporte: agua y transporte en GBA</x:v>
      </x:c>
      <x:c r="C237" s="32" t="str">
        <x:v>Alimentación, comercios y servicios</x:v>
      </x:c>
      <x:c r="D237" s="62" t="n">
        <x:v>31</x:v>
      </x:c>
      <x:c r="E237" s="2" t="str">
        <x:v>Completo</x:v>
      </x:c>
      <x:c r="F237" s="56" t="n">
        <x:v>88.93069758064517</x:v>
      </x:c>
      <x:c r="G237" s="56" t="n">
        <x:f>F69</x:f>
        <x:v>82.54761155913978</x:v>
      </x:c>
      <x:c r="H237" s="57" t="n">
        <x:f>IF(ISNUMBER(G237),IF(G237=0,"n.a.",F237/G237-1),"n.a.")</x:f>
        <x:v>0.07732611399582834</x:v>
      </x:c>
      <x:c r="I237" s="58" t="n">
        <x:f>F237/J237</x:f>
        <x:v>0.22235527730404897</x:v>
      </x:c>
      <x:c r="J237" s="56" t="n">
        <x:v>399.94867069892473</x:v>
      </x:c>
    </x:row>
    <x:row r="238" ht="65" customHeight="1">
      <x:c r="A238" s="61" t="n">
        <x:v>45047</x:v>
      </x:c>
      <x:c r="B238" s="32" t="str">
        <x:v>Industria automotriz</x:v>
      </x:c>
      <x:c r="C238" s="32" t="str">
        <x:v>Industrias sin Aluar</x:v>
      </x:c>
      <x:c r="D238" s="62" t="n">
        <x:v>31</x:v>
      </x:c>
      <x:c r="E238" s="2" t="str">
        <x:v>Completo</x:v>
      </x:c>
      <x:c r="F238" s="56" t="n">
        <x:v>37.40162096774194</x:v>
      </x:c>
      <x:c r="G238" s="56" t="n">
        <x:f>F70</x:f>
        <x:v>33.78188172043011</x:v>
      </x:c>
      <x:c r="H238" s="57" t="n">
        <x:f>IF(ISNUMBER(G238),IF(G238=0,"n.a.",F238/G238-1),"n.a.")</x:f>
        <x:v>0.10715031439834632</x:v>
      </x:c>
      <x:c r="I238" s="58" t="n">
        <x:f>F238/J238</x:f>
        <x:v>0.029448126930505015</x:v>
      </x:c>
      <x:c r="J238" s="56" t="n">
        <x:v>1270.0848870967743</x:v>
      </x:c>
    </x:row>
    <x:row r="239" ht="65" customHeight="1">
      <x:c r="A239" s="61" t="n">
        <x:v>45047</x:v>
      </x:c>
      <x:c r="B239" s="32" t="str">
        <x:v>Derivados de petróleo</x:v>
      </x:c>
      <x:c r="C239" s="32" t="str">
        <x:v>Industrias sin Aluar</x:v>
      </x:c>
      <x:c r="D239" s="62" t="n">
        <x:v>31</x:v>
      </x:c>
      <x:c r="E239" s="2" t="str">
        <x:v>Completo</x:v>
      </x:c>
      <x:c r="F239" s="56" t="n">
        <x:v>153.75251344086024</x:v>
      </x:c>
      <x:c r="G239" s="56" t="n">
        <x:f>F71</x:f>
        <x:v>210.03337231182797</x:v>
      </x:c>
      <x:c r="H239" s="57" t="n">
        <x:f>IF(ISNUMBER(G239),IF(G239=0,"n.a.",F239/G239-1),"n.a.")</x:f>
        <x:v>-0.26796150655244366</x:v>
      </x:c>
      <x:c r="I239" s="58" t="n">
        <x:f>F239/J239</x:f>
        <x:v>0.12105687974314511</x:v>
      </x:c>
      <x:c r="J239" s="56" t="n">
        <x:v>1270.0848870967743</x:v>
      </x:c>
    </x:row>
    <x:row r="240" ht="65" customHeight="1">
      <x:c r="A240" s="61" t="n">
        <x:v>45047</x:v>
      </x:c>
      <x:c r="B240" s="32" t="str">
        <x:v>Construcción: elaboración de cemento y canteras</x:v>
      </x:c>
      <x:c r="C240" s="32" t="str">
        <x:v>Industrias sin Aluar</x:v>
      </x:c>
      <x:c r="D240" s="62" t="n">
        <x:v>31</x:v>
      </x:c>
      <x:c r="E240" s="2" t="str">
        <x:v>Completo</x:v>
      </x:c>
      <x:c r="F240" s="56" t="n">
        <x:v>175.4919677419355</x:v>
      </x:c>
      <x:c r="G240" s="56" t="n">
        <x:f>F72</x:f>
        <x:v>175.85155241935482</x:v>
      </x:c>
      <x:c r="H240" s="57" t="n">
        <x:f>IF(ISNUMBER(G240),IF(G240=0,"n.a.",F240/G240-1),"n.a.")</x:f>
        <x:v>-0.0020448194654648644</x:v>
      </x:c>
      <x:c r="I240" s="58" t="n">
        <x:f>F240/J240</x:f>
        <x:v>0.13817341622187482</x:v>
      </x:c>
      <x:c r="J240" s="56" t="n">
        <x:v>1270.0848870967743</x:v>
      </x:c>
    </x:row>
    <x:row r="241" ht="65" customHeight="1">
      <x:c r="A241" s="61" t="n">
        <x:v>45047</x:v>
      </x:c>
      <x:c r="B241" s="32" t="str">
        <x:v>Madera y papel</x:v>
      </x:c>
      <x:c r="C241" s="32" t="str">
        <x:v>Industrias sin Aluar</x:v>
      </x:c>
      <x:c r="D241" s="62" t="n">
        <x:v>31</x:v>
      </x:c>
      <x:c r="E241" s="2" t="str">
        <x:v>Completo</x:v>
      </x:c>
      <x:c r="F241" s="56" t="n">
        <x:v>108.79648387096775</x:v>
      </x:c>
      <x:c r="G241" s="56" t="n">
        <x:f>F73</x:f>
        <x:v>107.2743629032258</x:v>
      </x:c>
      <x:c r="H241" s="57" t="n">
        <x:f>IF(ISNUMBER(G241),IF(G241=0,"n.a.",F241/G241-1),"n.a.")</x:f>
        <x:v>0.014189046912495451</x:v>
      </x:c>
      <x:c r="I241" s="58" t="n">
        <x:f>F241/J241</x:f>
        <x:v>0.08566079714534701</x:v>
      </x:c>
      <x:c r="J241" s="56" t="n">
        <x:v>1270.0848870967743</x:v>
      </x:c>
    </x:row>
    <x:row r="242" ht="65" customHeight="1">
      <x:c r="A242" s="61" t="n">
        <x:v>45047</x:v>
      </x:c>
      <x:c r="B242" s="32" t="str">
        <x:v>Productos metálicos no automotores</x:v>
      </x:c>
      <x:c r="C242" s="32" t="str">
        <x:v>Industrias sin Aluar</x:v>
      </x:c>
      <x:c r="D242" s="62" t="n">
        <x:v>31</x:v>
      </x:c>
      <x:c r="E242" s="2" t="str">
        <x:v>Completo</x:v>
      </x:c>
      <x:c r="F242" s="56" t="n">
        <x:v>47.84571370967742</x:v>
      </x:c>
      <x:c r="G242" s="56" t="n">
        <x:f>F74</x:f>
        <x:v>56.59469758064516</x:v>
      </x:c>
      <x:c r="H242" s="57" t="n">
        <x:f>IF(ISNUMBER(G242),IF(G242=0,"n.a.",F242/G242-1),"n.a.")</x:f>
        <x:v>-0.15459016913202495</x:v>
      </x:c>
      <x:c r="I242" s="58" t="n">
        <x:f>F242/J242</x:f>
        <x:v>0.037671272365932665</x:v>
      </x:c>
      <x:c r="J242" s="56" t="n">
        <x:v>1270.0848870967743</x:v>
      </x:c>
    </x:row>
    <x:row r="243" ht="65" customHeight="1">
      <x:c r="A243" s="61" t="n">
        <x:v>45047</x:v>
      </x:c>
      <x:c r="B243" s="32" t="str">
        <x:v>Gran siderurgia</x:v>
      </x:c>
      <x:c r="C243" s="32" t="str">
        <x:v>Industrias sin Aluar</x:v>
      </x:c>
      <x:c r="D243" s="62" t="n">
        <x:v>31</x:v>
      </x:c>
      <x:c r="E243" s="2" t="str">
        <x:v>Completo</x:v>
      </x:c>
      <x:c r="F243" s="56" t="n">
        <x:v>357.60996505376346</x:v>
      </x:c>
      <x:c r="G243" s="56" t="n">
        <x:f>F75</x:f>
        <x:v>357.4851182795699</x:v>
      </x:c>
      <x:c r="H243" s="57" t="n">
        <x:f>IF(ISNUMBER(G243),IF(G243=0,"n.a.",F243/G243-1),"n.a.")</x:f>
        <x:v>0.00034923628372096616</x:v>
      </x:c>
      <x:c r="I243" s="58" t="n">
        <x:f>F243/J243</x:f>
        <x:v>0.28156382985644907</x:v>
      </x:c>
      <x:c r="J243" s="56" t="n">
        <x:v>1270.0848870967743</x:v>
      </x:c>
    </x:row>
    <x:row r="244" ht="65" customHeight="1">
      <x:c r="A244" s="61" t="n">
        <x:v>45047</x:v>
      </x:c>
      <x:c r="B244" s="32" t="str">
        <x:v>Industria textil</x:v>
      </x:c>
      <x:c r="C244" s="32" t="str">
        <x:v>Industrias sin Aluar</x:v>
      </x:c>
      <x:c r="D244" s="62" t="n">
        <x:v>31</x:v>
      </x:c>
      <x:c r="E244" s="2" t="str">
        <x:v>Completo</x:v>
      </x:c>
      <x:c r="F244" s="56" t="n">
        <x:v>60.61020833333333</x:v>
      </x:c>
      <x:c r="G244" s="56" t="n">
        <x:f>F76</x:f>
        <x:v>59.93705107526882</x:v>
      </x:c>
      <x:c r="H244" s="57" t="n">
        <x:f>IF(ISNUMBER(G244),IF(G244=0,"n.a.",F244/G244-1),"n.a.")</x:f>
        <x:v>0.011231070698142442</x:v>
      </x:c>
      <x:c r="I244" s="58" t="n">
        <x:f>F244/J244</x:f>
        <x:v>0.04772138378237008</x:v>
      </x:c>
      <x:c r="J244" s="56" t="n">
        <x:v>1270.0848870967743</x:v>
      </x:c>
    </x:row>
    <x:row r="245" ht="65" customHeight="1">
      <x:c r="A245" s="61" t="n">
        <x:v>45047</x:v>
      </x:c>
      <x:c r="B245" s="32" t="str">
        <x:v>Químicas, caucho, plástico y otros minerales no metálicos</x:v>
      </x:c>
      <x:c r="C245" s="32" t="str">
        <x:v>Industrias sin Aluar</x:v>
      </x:c>
      <x:c r="D245" s="62" t="n">
        <x:v>31</x:v>
      </x:c>
      <x:c r="E245" s="2" t="str">
        <x:v>Completo</x:v>
      </x:c>
      <x:c r="F245" s="56" t="n">
        <x:v>328.57641397849466</x:v>
      </x:c>
      <x:c r="G245" s="56" t="n">
        <x:f>F77</x:f>
        <x:v>334.87222580645164</x:v>
      </x:c>
      <x:c r="H245" s="57" t="n">
        <x:f>IF(ISNUMBER(G245),IF(G245=0,"n.a.",F245/G245-1),"n.a.")</x:f>
        <x:v>-0.018800638998337837</x:v>
      </x:c>
      <x:c r="I245" s="58" t="n">
        <x:f>F245/J245</x:f>
        <x:v>0.2587042939543762</x:v>
      </x:c>
      <x:c r="J245" s="56" t="n">
        <x:v>1270.0848870967743</x:v>
      </x:c>
    </x:row>
    <x:row r="246" ht="65" customHeight="1">
      <x:c r="A246" s="61" t="n">
        <x:v>45047</x:v>
      </x:c>
      <x:c r="B246" s="32" t="str">
        <x:v>Extracción de minerales</x:v>
      </x:c>
      <x:c r="C246" s="32" t="str">
        <x:v>Petróleos y minerales</x:v>
      </x:c>
      <x:c r="D246" s="62" t="n">
        <x:v>31</x:v>
      </x:c>
      <x:c r="E246" s="2" t="str">
        <x:v>Completo</x:v>
      </x:c>
      <x:c r="F246" s="56" t="n">
        <x:v>20.764936827956987</x:v>
      </x:c>
      <x:c r="G246" s="56" t="n">
        <x:f>F78</x:f>
        <x:v>18.976434139784946</x:v>
      </x:c>
      <x:c r="H246" s="57" t="n">
        <x:f>IF(ISNUMBER(G246),IF(G246=0,"n.a.",F246/G246-1),"n.a.")</x:f>
        <x:v>0.09424861778548621</x:v>
      </x:c>
      <x:c r="I246" s="58" t="n">
        <x:f>F246/J246</x:f>
        <x:v>0.10999708871897006</x:v>
      </x:c>
      <x:c r="J246" s="56" t="n">
        <x:v>188.77714919354838</x:v>
      </x:c>
    </x:row>
    <x:row r="247" ht="65" customHeight="1">
      <x:c r="A247" s="61" t="n">
        <x:v>45047</x:v>
      </x:c>
      <x:c r="B247" s="32" t="str">
        <x:v>Extracción de petróleo</x:v>
      </x:c>
      <x:c r="C247" s="32" t="str">
        <x:v>Petróleos y minerales</x:v>
      </x:c>
      <x:c r="D247" s="62" t="n">
        <x:v>31</x:v>
      </x:c>
      <x:c r="E247" s="2" t="str">
        <x:v>Completo</x:v>
      </x:c>
      <x:c r="F247" s="56" t="n">
        <x:v>168.01221236559138</x:v>
      </x:c>
      <x:c r="G247" s="56" t="n">
        <x:f>F79</x:f>
        <x:v>174.7756626344086</x:v>
      </x:c>
      <x:c r="H247" s="57" t="n">
        <x:f>IF(ISNUMBER(G247),IF(G247=0,"n.a.",F247/G247-1),"n.a.")</x:f>
        <x:v>-0.03869789515811961</x:v>
      </x:c>
      <x:c r="I247" s="58" t="n">
        <x:f>F247/J247</x:f>
        <x:v>0.8900029112810298</x:v>
      </x:c>
      <x:c r="J247" s="56" t="n">
        <x:v>188.77714919354838</x:v>
      </x:c>
    </x:row>
    <x:row r="248" ht="65" customHeight="1">
      <x:c r="A248" s="61" t="n">
        <x:v>45078</x:v>
      </x:c>
      <x:c r="B248" s="32" t="str">
        <x:v>Cargas y puertos</x:v>
      </x:c>
      <x:c r="C248" s="32" t="str">
        <x:v>Alimentación, comercios y servicios</x:v>
      </x:c>
      <x:c r="D248" s="62" t="n">
        <x:v>30</x:v>
      </x:c>
      <x:c r="E248" s="2" t="str">
        <x:v>Completo</x:v>
      </x:c>
      <x:c r="F248" s="56" t="n">
        <x:v>6.961018055555556</x:v>
      </x:c>
      <x:c r="G248" s="56" t="n">
        <x:f>F80</x:f>
        <x:v>8.289541666666667</x:v>
      </x:c>
      <x:c r="H248" s="57" t="n">
        <x:f>IF(ISNUMBER(G248),IF(G248=0,"n.a.",F248/G248-1),"n.a.")</x:f>
        <x:v>-0.16026502604520076</x:v>
      </x:c>
      <x:c r="I248" s="58" t="n">
        <x:f>F248/J248</x:f>
        <x:v>0.01751917319470826</x:v>
      </x:c>
      <x:c r="J248" s="56" t="n">
        <x:v>397.3371333333334</x:v>
      </x:c>
    </x:row>
    <x:row r="249" ht="65" customHeight="1">
      <x:c r="A249" s="61" t="n">
        <x:v>45078</x:v>
      </x:c>
      <x:c r="B249" s="32" t="str">
        <x:v>Comercio y servicios: principalmente supermercados y centros comerciales</x:v>
      </x:c>
      <x:c r="C249" s="32" t="str">
        <x:v>Alimentación, comercios y servicios</x:v>
      </x:c>
      <x:c r="D249" s="62" t="n">
        <x:v>30</x:v>
      </x:c>
      <x:c r="E249" s="2" t="str">
        <x:v>Completo</x:v>
      </x:c>
      <x:c r="F249" s="56" t="n">
        <x:v>28.469118055555555</x:v>
      </x:c>
      <x:c r="G249" s="56" t="n">
        <x:f>F81</x:f>
        <x:v>26.9408125</x:v>
      </x:c>
      <x:c r="H249" s="57" t="n">
        <x:f>IF(ISNUMBER(G249),IF(G249=0,"n.a.",F249/G249-1),"n.a.")</x:f>
        <x:v>0.0567282651759502</x:v>
      </x:c>
      <x:c r="I249" s="58" t="n">
        <x:f>F249/J249</x:f>
        <x:v>0.07164977966374034</x:v>
      </x:c>
      <x:c r="J249" s="56" t="n">
        <x:v>397.3371333333334</x:v>
      </x:c>
    </x:row>
    <x:row r="250" ht="65" customHeight="1">
      <x:c r="A250" s="61" t="n">
        <x:v>45078</x:v>
      </x:c>
      <x:c r="B250" s="32" t="str">
        <x:v>Alimentación y artículos de consumo masivo</x:v>
      </x:c>
      <x:c r="C250" s="32" t="str">
        <x:v>Alimentación, comercios y servicios</x:v>
      </x:c>
      <x:c r="D250" s="62" t="n">
        <x:v>30</x:v>
      </x:c>
      <x:c r="E250" s="2" t="str">
        <x:v>Completo</x:v>
      </x:c>
      <x:c r="F250" s="56" t="n">
        <x:v>272.8942791666667</x:v>
      </x:c>
      <x:c r="G250" s="56" t="n">
        <x:f>F82</x:f>
        <x:v>273.6364597222222</x:v>
      </x:c>
      <x:c r="H250" s="57" t="n">
        <x:f>IF(ISNUMBER(G250),IF(G250=0,"n.a.",F250/G250-1),"n.a.")</x:f>
        <x:v>-0.002712286792150742</x:v>
      </x:c>
      <x:c r="I250" s="58" t="n">
        <x:f>F250/J250</x:f>
        <x:v>0.6868078925251889</x:v>
      </x:c>
      <x:c r="J250" s="56" t="n">
        <x:v>397.3371333333334</x:v>
      </x:c>
    </x:row>
    <x:row r="251" ht="65" customHeight="1">
      <x:c r="A251" s="61" t="n">
        <x:v>45078</x:v>
      </x:c>
      <x:c r="B251" s="32" t="str">
        <x:v>Servicios públicos y transporte: agua y transporte en GBA</x:v>
      </x:c>
      <x:c r="C251" s="32" t="str">
        <x:v>Alimentación, comercios y servicios</x:v>
      </x:c>
      <x:c r="D251" s="62" t="n">
        <x:v>30</x:v>
      </x:c>
      <x:c r="E251" s="2" t="str">
        <x:v>Completo</x:v>
      </x:c>
      <x:c r="F251" s="56" t="n">
        <x:v>89.01271805555555</x:v>
      </x:c>
      <x:c r="G251" s="56" t="n">
        <x:f>F83</x:f>
        <x:v>82.35025138888889</x:v>
      </x:c>
      <x:c r="H251" s="57" t="n">
        <x:f>IF(ISNUMBER(G251),IF(G251=0,"n.a.",F251/G251-1),"n.a.")</x:f>
        <x:v>0.08090402341583625</x:v>
      </x:c>
      <x:c r="I251" s="58" t="n">
        <x:f>F251/J251</x:f>
        <x:v>0.2240231546163624</x:v>
      </x:c>
      <x:c r="J251" s="56" t="n">
        <x:v>397.3371333333334</x:v>
      </x:c>
    </x:row>
    <x:row r="252" ht="65" customHeight="1">
      <x:c r="A252" s="61" t="n">
        <x:v>45078</x:v>
      </x:c>
      <x:c r="B252" s="32" t="str">
        <x:v>Industria automotriz</x:v>
      </x:c>
      <x:c r="C252" s="32" t="str">
        <x:v>Industrias sin Aluar</x:v>
      </x:c>
      <x:c r="D252" s="62" t="n">
        <x:v>30</x:v>
      </x:c>
      <x:c r="E252" s="2" t="str">
        <x:v>Completo</x:v>
      </x:c>
      <x:c r="F252" s="56" t="n">
        <x:v>38.96101388888889</x:v>
      </x:c>
      <x:c r="G252" s="56" t="n">
        <x:f>F84</x:f>
        <x:v>38.01621111111111</x:v>
      </x:c>
      <x:c r="H252" s="57" t="n">
        <x:f>IF(ISNUMBER(G252),IF(G252=0,"n.a.",F252/G252-1),"n.a.")</x:f>
        <x:v>0.024852628659294274</x:v>
      </x:c>
      <x:c r="I252" s="58" t="n">
        <x:f>F252/J252</x:f>
        <x:v>0.03143130275611588</x:v>
      </x:c>
      <x:c r="J252" s="56" t="n">
        <x:v>1239.560898611111</x:v>
      </x:c>
    </x:row>
    <x:row r="253" ht="65" customHeight="1">
      <x:c r="A253" s="61" t="n">
        <x:v>45078</x:v>
      </x:c>
      <x:c r="B253" s="32" t="str">
        <x:v>Derivados de petróleo</x:v>
      </x:c>
      <x:c r="C253" s="32" t="str">
        <x:v>Industrias sin Aluar</x:v>
      </x:c>
      <x:c r="D253" s="62" t="n">
        <x:v>30</x:v>
      </x:c>
      <x:c r="E253" s="2" t="str">
        <x:v>Completo</x:v>
      </x:c>
      <x:c r="F253" s="56" t="n">
        <x:v>153.00893750000003</x:v>
      </x:c>
      <x:c r="G253" s="56" t="n">
        <x:f>F85</x:f>
        <x:v>151.2083986111111</x:v>
      </x:c>
      <x:c r="H253" s="57" t="n">
        <x:f>IF(ISNUMBER(G253),IF(G253=0,"n.a.",F253/G253-1),"n.a.")</x:f>
        <x:v>0.01190766455717629</x:v>
      </x:c>
      <x:c r="I253" s="58" t="n">
        <x:f>F253/J253</x:f>
        <x:v>0.12343801556780448</x:v>
      </x:c>
      <x:c r="J253" s="56" t="n">
        <x:v>1239.560898611111</x:v>
      </x:c>
    </x:row>
    <x:row r="254" ht="65" customHeight="1">
      <x:c r="A254" s="61" t="n">
        <x:v>45078</x:v>
      </x:c>
      <x:c r="B254" s="32" t="str">
        <x:v>Construcción: elaboración de cemento y canteras</x:v>
      </x:c>
      <x:c r="C254" s="32" t="str">
        <x:v>Industrias sin Aluar</x:v>
      </x:c>
      <x:c r="D254" s="62" t="n">
        <x:v>30</x:v>
      </x:c>
      <x:c r="E254" s="2" t="str">
        <x:v>Completo</x:v>
      </x:c>
      <x:c r="F254" s="56" t="n">
        <x:v>162.46503194444446</x:v>
      </x:c>
      <x:c r="G254" s="56" t="n">
        <x:f>F86</x:f>
        <x:v>168.804925</x:v>
      </x:c>
      <x:c r="H254" s="57" t="n">
        <x:f>IF(ISNUMBER(G254),IF(G254=0,"n.a.",F254/G254-1),"n.a.")</x:f>
        <x:v>-0.03755751235075355</x:v>
      </x:c>
      <x:c r="I254" s="58" t="n">
        <x:f>F254/J254</x:f>
        <x:v>0.131066599572866</x:v>
      </x:c>
      <x:c r="J254" s="56" t="n">
        <x:v>1239.560898611111</x:v>
      </x:c>
    </x:row>
    <x:row r="255" ht="65" customHeight="1">
      <x:c r="A255" s="61" t="n">
        <x:v>45078</x:v>
      </x:c>
      <x:c r="B255" s="32" t="str">
        <x:v>Madera y papel</x:v>
      </x:c>
      <x:c r="C255" s="32" t="str">
        <x:v>Industrias sin Aluar</x:v>
      </x:c>
      <x:c r="D255" s="62" t="n">
        <x:v>30</x:v>
      </x:c>
      <x:c r="E255" s="2" t="str">
        <x:v>Completo</x:v>
      </x:c>
      <x:c r="F255" s="56" t="n">
        <x:v>109.91046388888888</x:v>
      </x:c>
      <x:c r="G255" s="56" t="n">
        <x:f>F87</x:f>
        <x:v>117.95675694444444</x:v>
      </x:c>
      <x:c r="H255" s="57" t="n">
        <x:f>IF(ISNUMBER(G255),IF(G255=0,"n.a.",F255/G255-1),"n.a.")</x:f>
        <x:v>-0.0682139223219338</x:v>
      </x:c>
      <x:c r="I255" s="58" t="n">
        <x:f>F255/J255</x:f>
        <x:v>0.08866886976835112</x:v>
      </x:c>
      <x:c r="J255" s="56" t="n">
        <x:v>1239.560898611111</x:v>
      </x:c>
    </x:row>
    <x:row r="256" ht="65" customHeight="1">
      <x:c r="A256" s="61" t="n">
        <x:v>45078</x:v>
      </x:c>
      <x:c r="B256" s="32" t="str">
        <x:v>Productos metálicos no automotores</x:v>
      </x:c>
      <x:c r="C256" s="32" t="str">
        <x:v>Industrias sin Aluar</x:v>
      </x:c>
      <x:c r="D256" s="62" t="n">
        <x:v>30</x:v>
      </x:c>
      <x:c r="E256" s="2" t="str">
        <x:v>Completo</x:v>
      </x:c>
      <x:c r="F256" s="56" t="n">
        <x:v>51.01157777777778</x:v>
      </x:c>
      <x:c r="G256" s="56" t="n">
        <x:f>F88</x:f>
        <x:v>57.894641666666665</x:v>
      </x:c>
      <x:c r="H256" s="57" t="n">
        <x:f>IF(ISNUMBER(G256),IF(G256=0,"n.a.",F256/G256-1),"n.a.")</x:f>
        <x:v>-0.11888948080063633</x:v>
      </x:c>
      <x:c r="I256" s="58" t="n">
        <x:f>F256/J256</x:f>
        <x:v>0.04115294200949275</x:v>
      </x:c>
      <x:c r="J256" s="56" t="n">
        <x:v>1239.560898611111</x:v>
      </x:c>
    </x:row>
    <x:row r="257" ht="65" customHeight="1">
      <x:c r="A257" s="61" t="n">
        <x:v>45078</x:v>
      </x:c>
      <x:c r="B257" s="32" t="str">
        <x:v>Gran siderurgia</x:v>
      </x:c>
      <x:c r="C257" s="32" t="str">
        <x:v>Industrias sin Aluar</x:v>
      </x:c>
      <x:c r="D257" s="62" t="n">
        <x:v>30</x:v>
      </x:c>
      <x:c r="E257" s="2" t="str">
        <x:v>Completo</x:v>
      </x:c>
      <x:c r="F257" s="56" t="n">
        <x:v>332.24445833333334</x:v>
      </x:c>
      <x:c r="G257" s="56" t="n">
        <x:f>F89</x:f>
        <x:v>384.8158569444444</x:v>
      </x:c>
      <x:c r="H257" s="57" t="n">
        <x:f>IF(ISNUMBER(G257),IF(G257=0,"n.a.",F257/G257-1),"n.a.")</x:f>
        <x:v>-0.13661442911564003</x:v>
      </x:c>
      <x:c r="I257" s="58" t="n">
        <x:f>F257/J257</x:f>
        <x:v>0.26803399389703464</x:v>
      </x:c>
      <x:c r="J257" s="56" t="n">
        <x:v>1239.560898611111</x:v>
      </x:c>
    </x:row>
    <x:row r="258" ht="65" customHeight="1">
      <x:c r="A258" s="61" t="n">
        <x:v>45078</x:v>
      </x:c>
      <x:c r="B258" s="32" t="str">
        <x:v>Industria textil</x:v>
      </x:c>
      <x:c r="C258" s="32" t="str">
        <x:v>Industrias sin Aluar</x:v>
      </x:c>
      <x:c r="D258" s="62" t="n">
        <x:v>30</x:v>
      </x:c>
      <x:c r="E258" s="2" t="str">
        <x:v>Completo</x:v>
      </x:c>
      <x:c r="F258" s="56" t="n">
        <x:v>61.439101388888886</x:v>
      </x:c>
      <x:c r="G258" s="56" t="n">
        <x:f>F90</x:f>
        <x:v>61.996325</x:v>
      </x:c>
      <x:c r="H258" s="57" t="n">
        <x:f>IF(ISNUMBER(G258),IF(G258=0,"n.a.",F258/G258-1),"n.a.")</x:f>
        <x:v>-0.008988010355631793</x:v>
      </x:c>
      <x:c r="I258" s="58" t="n">
        <x:f>F258/J258</x:f>
        <x:v>0.04956521414779174</x:v>
      </x:c>
      <x:c r="J258" s="56" t="n">
        <x:v>1239.560898611111</x:v>
      </x:c>
    </x:row>
    <x:row r="259" ht="65" customHeight="1">
      <x:c r="A259" s="61" t="n">
        <x:v>45078</x:v>
      </x:c>
      <x:c r="B259" s="32" t="str">
        <x:v>Químicas, caucho, plástico y otros minerales no metálicos</x:v>
      </x:c>
      <x:c r="C259" s="32" t="str">
        <x:v>Industrias sin Aluar</x:v>
      </x:c>
      <x:c r="D259" s="62" t="n">
        <x:v>30</x:v>
      </x:c>
      <x:c r="E259" s="2" t="str">
        <x:v>Completo</x:v>
      </x:c>
      <x:c r="F259" s="56" t="n">
        <x:v>330.5203138888889</x:v>
      </x:c>
      <x:c r="G259" s="56" t="n">
        <x:f>F91</x:f>
        <x:v>325.8592</x:v>
      </x:c>
      <x:c r="H259" s="57" t="n">
        <x:f>IF(ISNUMBER(G259),IF(G259=0,"n.a.",F259/G259-1),"n.a.")</x:f>
        <x:v>0.014304073320283495</x:v>
      </x:c>
      <x:c r="I259" s="58" t="n">
        <x:f>F259/J259</x:f>
        <x:v>0.26664306228054346</x:v>
      </x:c>
      <x:c r="J259" s="56" t="n">
        <x:v>1239.560898611111</x:v>
      </x:c>
    </x:row>
    <x:row r="260" ht="65" customHeight="1">
      <x:c r="A260" s="61" t="n">
        <x:v>45078</x:v>
      </x:c>
      <x:c r="B260" s="32" t="str">
        <x:v>Extracción de minerales</x:v>
      </x:c>
      <x:c r="C260" s="32" t="str">
        <x:v>Petróleos y minerales</x:v>
      </x:c>
      <x:c r="D260" s="62" t="n">
        <x:v>30</x:v>
      </x:c>
      <x:c r="E260" s="2" t="str">
        <x:v>Completo</x:v>
      </x:c>
      <x:c r="F260" s="56" t="n">
        <x:v>21.87880555555556</x:v>
      </x:c>
      <x:c r="G260" s="56" t="n">
        <x:f>F92</x:f>
        <x:v>19.1463625</x:v>
      </x:c>
      <x:c r="H260" s="57" t="n">
        <x:f>IF(ISNUMBER(G260),IF(G260=0,"n.a.",F260/G260-1),"n.a.")</x:f>
        <x:v>0.14271342953814647</x:v>
      </x:c>
      <x:c r="I260" s="58" t="n">
        <x:f>F260/J260</x:f>
        <x:v>0.11574645698163764</x:v>
      </x:c>
      <x:c r="J260" s="56" t="n">
        <x:v>189.02354444444444</x:v>
      </x:c>
    </x:row>
    <x:row r="261" ht="65" customHeight="1">
      <x:c r="A261" s="61" t="n">
        <x:v>45078</x:v>
      </x:c>
      <x:c r="B261" s="32" t="str">
        <x:v>Extracción de petróleo</x:v>
      </x:c>
      <x:c r="C261" s="32" t="str">
        <x:v>Petróleos y minerales</x:v>
      </x:c>
      <x:c r="D261" s="62" t="n">
        <x:v>30</x:v>
      </x:c>
      <x:c r="E261" s="2" t="str">
        <x:v>Completo</x:v>
      </x:c>
      <x:c r="F261" s="56" t="n">
        <x:v>167.14473888888887</x:v>
      </x:c>
      <x:c r="G261" s="56" t="n">
        <x:f>F93</x:f>
        <x:v>172.34139027777778</x:v>
      </x:c>
      <x:c r="H261" s="57" t="n">
        <x:f>IF(ISNUMBER(G261),IF(G261=0,"n.a.",F261/G261-1),"n.a.")</x:f>
        <x:v>-0.03015324049848389</x:v>
      </x:c>
      <x:c r="I261" s="58" t="n">
        <x:f>F261/J261</x:f>
        <x:v>0.8842535430183622</x:v>
      </x:c>
      <x:c r="J261" s="56" t="n">
        <x:v>189.02354444444444</x:v>
      </x:c>
    </x:row>
    <x:row r="262" ht="65" customHeight="1">
      <x:c r="A262" s="61" t="n">
        <x:v>45108</x:v>
      </x:c>
      <x:c r="B262" s="32" t="str">
        <x:v>Cargas y puertos</x:v>
      </x:c>
      <x:c r="C262" s="32" t="str">
        <x:v>Alimentación, comercios y servicios</x:v>
      </x:c>
      <x:c r="D262" s="62" t="n">
        <x:v>31</x:v>
      </x:c>
      <x:c r="E262" s="2" t="str">
        <x:v>Completo</x:v>
      </x:c>
      <x:c r="F262" s="56" t="n">
        <x:v>7.421228494623656</x:v>
      </x:c>
      <x:c r="G262" s="56" t="n">
        <x:f>F94</x:f>
        <x:v>7.611599462365592</x:v>
      </x:c>
      <x:c r="H262" s="57" t="n">
        <x:f>IF(ISNUMBER(G262),IF(G262=0,"n.a.",F262/G262-1),"n.a.")</x:f>
        <x:v>-0.025010639180791938</x:v>
      </x:c>
      <x:c r="I262" s="58" t="n">
        <x:f>F262/J262</x:f>
        <x:v>0.018831408567153558</x:v>
      </x:c>
      <x:c r="J262" s="56" t="n">
        <x:v>394.0878064516129</x:v>
      </x:c>
    </x:row>
    <x:row r="263" ht="65" customHeight="1">
      <x:c r="A263" s="61" t="n">
        <x:v>45108</x:v>
      </x:c>
      <x:c r="B263" s="32" t="str">
        <x:v>Comercio y servicios: principalmente supermercados y centros comerciales</x:v>
      </x:c>
      <x:c r="C263" s="32" t="str">
        <x:v>Alimentación, comercios y servicios</x:v>
      </x:c>
      <x:c r="D263" s="62" t="n">
        <x:v>31</x:v>
      </x:c>
      <x:c r="E263" s="2" t="str">
        <x:v>Completo</x:v>
      </x:c>
      <x:c r="F263" s="56" t="n">
        <x:v>28.65633870967742</x:v>
      </x:c>
      <x:c r="G263" s="56" t="n">
        <x:f>F95</x:f>
        <x:v>27.236862903225806</x:v>
      </x:c>
      <x:c r="H263" s="57" t="n">
        <x:f>IF(ISNUMBER(G263),IF(G263=0,"n.a.",F263/G263-1),"n.a.")</x:f>
        <x:v>0.05211598015142549</x:v>
      </x:c>
      <x:c r="I263" s="58" t="n">
        <x:f>F263/J263</x:f>
        <x:v>0.07271561880510992</x:v>
      </x:c>
      <x:c r="J263" s="56" t="n">
        <x:v>394.0878064516129</x:v>
      </x:c>
    </x:row>
    <x:row r="264" ht="65" customHeight="1">
      <x:c r="A264" s="61" t="n">
        <x:v>45108</x:v>
      </x:c>
      <x:c r="B264" s="32" t="str">
        <x:v>Alimentación y artículos de consumo masivo</x:v>
      </x:c>
      <x:c r="C264" s="32" t="str">
        <x:v>Alimentación, comercios y servicios</x:v>
      </x:c>
      <x:c r="D264" s="62" t="n">
        <x:v>31</x:v>
      </x:c>
      <x:c r="E264" s="2" t="str">
        <x:v>Completo</x:v>
      </x:c>
      <x:c r="F264" s="56" t="n">
        <x:v>269.8224086021505</x:v>
      </x:c>
      <x:c r="G264" s="56" t="n">
        <x:f>F96</x:f>
        <x:v>265.324311827957</x:v>
      </x:c>
      <x:c r="H264" s="57" t="n">
        <x:f>IF(ISNUMBER(G264),IF(G264=0,"n.a.",F264/G264-1),"n.a.")</x:f>
        <x:v>0.01695320245326859</x:v>
      </x:c>
      <x:c r="I264" s="58" t="n">
        <x:f>F264/J264</x:f>
        <x:v>0.684675862041116</x:v>
      </x:c>
      <x:c r="J264" s="56" t="n">
        <x:v>394.0878064516129</x:v>
      </x:c>
    </x:row>
    <x:row r="265" ht="65" customHeight="1">
      <x:c r="A265" s="61" t="n">
        <x:v>45108</x:v>
      </x:c>
      <x:c r="B265" s="32" t="str">
        <x:v>Servicios públicos y transporte: agua y transporte en GBA</x:v>
      </x:c>
      <x:c r="C265" s="32" t="str">
        <x:v>Alimentación, comercios y servicios</x:v>
      </x:c>
      <x:c r="D265" s="62" t="n">
        <x:v>31</x:v>
      </x:c>
      <x:c r="E265" s="2" t="str">
        <x:v>Completo</x:v>
      </x:c>
      <x:c r="F265" s="56" t="n">
        <x:v>88.18783064516128</x:v>
      </x:c>
      <x:c r="G265" s="56" t="n">
        <x:f>F97</x:f>
        <x:v>81.51107526881721</x:v>
      </x:c>
      <x:c r="H265" s="57" t="n">
        <x:f>IF(ISNUMBER(G265),IF(G265=0,"n.a.",F265/G265-1),"n.a.")</x:f>
        <x:v>0.08191224756052673</x:v>
      </x:c>
      <x:c r="I265" s="58" t="n">
        <x:f>F265/J265</x:f>
        <x:v>0.22377711058662053</x:v>
      </x:c>
      <x:c r="J265" s="56" t="n">
        <x:v>394.0878064516129</x:v>
      </x:c>
    </x:row>
    <x:row r="266" ht="65" customHeight="1">
      <x:c r="A266" s="61" t="n">
        <x:v>45108</x:v>
      </x:c>
      <x:c r="B266" s="32" t="str">
        <x:v>Industria automotriz</x:v>
      </x:c>
      <x:c r="C266" s="32" t="str">
        <x:v>Industrias sin Aluar</x:v>
      </x:c>
      <x:c r="D266" s="62" t="n">
        <x:v>31</x:v>
      </x:c>
      <x:c r="E266" s="2" t="str">
        <x:v>Completo</x:v>
      </x:c>
      <x:c r="F266" s="56" t="n">
        <x:v>37.458571236559145</x:v>
      </x:c>
      <x:c r="G266" s="56" t="n">
        <x:f>F98</x:f>
        <x:v>37.83148521505377</x:v>
      </x:c>
      <x:c r="H266" s="57" t="n">
        <x:f>IF(ISNUMBER(G266),IF(G266=0,"n.a.",F266/G266-1),"n.a.")</x:f>
        <x:v>-0.009857238656499678</x:v>
      </x:c>
      <x:c r="I266" s="58" t="n">
        <x:f>F266/J266</x:f>
        <x:v>0.03368887232136651</x:v>
      </x:c>
      <x:c r="J266" s="56" t="n">
        <x:v>1111.897450268817</x:v>
      </x:c>
    </x:row>
    <x:row r="267" ht="65" customHeight="1">
      <x:c r="A267" s="61" t="n">
        <x:v>45108</x:v>
      </x:c>
      <x:c r="B267" s="32" t="str">
        <x:v>Derivados de petróleo</x:v>
      </x:c>
      <x:c r="C267" s="32" t="str">
        <x:v>Industrias sin Aluar</x:v>
      </x:c>
      <x:c r="D267" s="62" t="n">
        <x:v>31</x:v>
      </x:c>
      <x:c r="E267" s="2" t="str">
        <x:v>Completo</x:v>
      </x:c>
      <x:c r="F267" s="56" t="n">
        <x:v>146.66988440860217</x:v>
      </x:c>
      <x:c r="G267" s="56" t="n">
        <x:f>F99</x:f>
        <x:v>154.71952956989247</x:v>
      </x:c>
      <x:c r="H267" s="57" t="n">
        <x:f>IF(ISNUMBER(G267),IF(G267=0,"n.a.",F267/G267-1),"n.a.")</x:f>
        <x:v>-0.052027337361144066</x:v>
      </x:c>
      <x:c r="I267" s="58" t="n">
        <x:f>F267/J267</x:f>
        <x:v>0.13190954289277546</x:v>
      </x:c>
      <x:c r="J267" s="56" t="n">
        <x:v>1111.897450268817</x:v>
      </x:c>
    </x:row>
    <x:row r="268" ht="65" customHeight="1">
      <x:c r="A268" s="61" t="n">
        <x:v>45108</x:v>
      </x:c>
      <x:c r="B268" s="32" t="str">
        <x:v>Construcción: elaboración de cemento y canteras</x:v>
      </x:c>
      <x:c r="C268" s="32" t="str">
        <x:v>Industrias sin Aluar</x:v>
      </x:c>
      <x:c r="D268" s="62" t="n">
        <x:v>31</x:v>
      </x:c>
      <x:c r="E268" s="2" t="str">
        <x:v>Completo</x:v>
      </x:c>
      <x:c r="F268" s="56" t="n">
        <x:v>154.11805913978495</x:v>
      </x:c>
      <x:c r="G268" s="56" t="n">
        <x:f>F100</x:f>
        <x:v>173.9611061827957</x:v>
      </x:c>
      <x:c r="H268" s="57" t="n">
        <x:f>IF(ISNUMBER(G268),IF(G268=0,"n.a.",F268/G268-1),"n.a.")</x:f>
        <x:v>-0.11406599715547905</x:v>
      </x:c>
      <x:c r="I268" s="58" t="n">
        <x:f>F268/J268</x:f>
        <x:v>0.13860815950474994</x:v>
      </x:c>
      <x:c r="J268" s="56" t="n">
        <x:v>1111.897450268817</x:v>
      </x:c>
    </x:row>
    <x:row r="269" ht="65" customHeight="1">
      <x:c r="A269" s="61" t="n">
        <x:v>45108</x:v>
      </x:c>
      <x:c r="B269" s="32" t="str">
        <x:v>Madera y papel</x:v>
      </x:c>
      <x:c r="C269" s="32" t="str">
        <x:v>Industrias sin Aluar</x:v>
      </x:c>
      <x:c r="D269" s="62" t="n">
        <x:v>31</x:v>
      </x:c>
      <x:c r="E269" s="2" t="str">
        <x:v>Completo</x:v>
      </x:c>
      <x:c r="F269" s="56" t="n">
        <x:v>109.64630779569892</x:v>
      </x:c>
      <x:c r="G269" s="56" t="n">
        <x:f>F101</x:f>
        <x:v>111.7282620967742</x:v>
      </x:c>
      <x:c r="H269" s="57" t="n">
        <x:f>IF(ISNUMBER(G269),IF(G269=0,"n.a.",F269/G269-1),"n.a.")</x:f>
        <x:v>-0.018634088296048068</x:v>
      </x:c>
      <x:c r="I269" s="58" t="n">
        <x:f>F269/J269</x:f>
        <x:v>0.0986118888654618</x:v>
      </x:c>
      <x:c r="J269" s="56" t="n">
        <x:v>1111.897450268817</x:v>
      </x:c>
    </x:row>
    <x:row r="270" ht="65" customHeight="1">
      <x:c r="A270" s="61" t="n">
        <x:v>45108</x:v>
      </x:c>
      <x:c r="B270" s="32" t="str">
        <x:v>Productos metálicos no automotores</x:v>
      </x:c>
      <x:c r="C270" s="32" t="str">
        <x:v>Industrias sin Aluar</x:v>
      </x:c>
      <x:c r="D270" s="62" t="n">
        <x:v>31</x:v>
      </x:c>
      <x:c r="E270" s="2" t="str">
        <x:v>Completo</x:v>
      </x:c>
      <x:c r="F270" s="56" t="n">
        <x:v>45.64464516129032</x:v>
      </x:c>
      <x:c r="G270" s="56" t="n">
        <x:f>F102</x:f>
        <x:v>61.267581989247304</x:v>
      </x:c>
      <x:c r="H270" s="57" t="n">
        <x:f>IF(ISNUMBER(G270),IF(G270=0,"n.a.",F270/G270-1),"n.a.")</x:f>
        <x:v>-0.254995159278505</x:v>
      </x:c>
      <x:c r="I270" s="58" t="n">
        <x:f>F270/J270</x:f>
        <x:v>0.04105112854630171</x:v>
      </x:c>
      <x:c r="J270" s="56" t="n">
        <x:v>1111.897450268817</x:v>
      </x:c>
    </x:row>
    <x:row r="271" ht="65" customHeight="1">
      <x:c r="A271" s="61" t="n">
        <x:v>45108</x:v>
      </x:c>
      <x:c r="B271" s="32" t="str">
        <x:v>Gran siderurgia</x:v>
      </x:c>
      <x:c r="C271" s="32" t="str">
        <x:v>Industrias sin Aluar</x:v>
      </x:c>
      <x:c r="D271" s="62" t="n">
        <x:v>31</x:v>
      </x:c>
      <x:c r="E271" s="2" t="str">
        <x:v>Completo</x:v>
      </x:c>
      <x:c r="F271" s="56" t="n">
        <x:v>231.08136021505376</x:v>
      </x:c>
      <x:c r="G271" s="56" t="n">
        <x:f>F103</x:f>
        <x:v>358.66349596774194</x:v>
      </x:c>
      <x:c r="H271" s="57" t="n">
        <x:f>IF(ISNUMBER(G271),IF(G271=0,"n.a.",F271/G271-1),"n.a.")</x:f>
        <x:v>-0.35571541901259685</x:v>
      </x:c>
      <x:c r="I271" s="58" t="n">
        <x:f>F271/J271</x:f>
        <x:v>0.20782614454164505</x:v>
      </x:c>
      <x:c r="J271" s="56" t="n">
        <x:v>1111.897450268817</x:v>
      </x:c>
    </x:row>
    <x:row r="272" ht="65" customHeight="1">
      <x:c r="A272" s="61" t="n">
        <x:v>45108</x:v>
      </x:c>
      <x:c r="B272" s="32" t="str">
        <x:v>Industria textil</x:v>
      </x:c>
      <x:c r="C272" s="32" t="str">
        <x:v>Industrias sin Aluar</x:v>
      </x:c>
      <x:c r="D272" s="62" t="n">
        <x:v>31</x:v>
      </x:c>
      <x:c r="E272" s="2" t="str">
        <x:v>Completo</x:v>
      </x:c>
      <x:c r="F272" s="56" t="n">
        <x:v>63.15044892473118</x:v>
      </x:c>
      <x:c r="G272" s="56" t="n">
        <x:f>F104</x:f>
        <x:v>62.80558064516129</x:v>
      </x:c>
      <x:c r="H272" s="57" t="n">
        <x:f>IF(ISNUMBER(G272),IF(G272=0,"n.a.",F272/G272-1),"n.a.")</x:f>
        <x:v>0.005491045159160768</x:v>
      </x:c>
      <x:c r="I272" s="58" t="n">
        <x:f>F272/J272</x:f>
        <x:v>0.05679520976459085</x:v>
      </x:c>
      <x:c r="J272" s="56" t="n">
        <x:v>1111.897450268817</x:v>
      </x:c>
    </x:row>
    <x:row r="273" ht="65" customHeight="1">
      <x:c r="A273" s="61" t="n">
        <x:v>45108</x:v>
      </x:c>
      <x:c r="B273" s="32" t="str">
        <x:v>Químicas, caucho, plástico y otros minerales no metálicos</x:v>
      </x:c>
      <x:c r="C273" s="32" t="str">
        <x:v>Industrias sin Aluar</x:v>
      </x:c>
      <x:c r="D273" s="62" t="n">
        <x:v>31</x:v>
      </x:c>
      <x:c r="E273" s="2" t="str">
        <x:v>Completo</x:v>
      </x:c>
      <x:c r="F273" s="56" t="n">
        <x:v>324.12817338709675</x:v>
      </x:c>
      <x:c r="G273" s="56" t="n">
        <x:f>F105</x:f>
        <x:v>302.5833508064516</x:v>
      </x:c>
      <x:c r="H273" s="57" t="n">
        <x:f>IF(ISNUMBER(G273),IF(G273=0,"n.a.",F273/G273-1),"n.a.")</x:f>
        <x:v>0.07120293473921624</x:v>
      </x:c>
      <x:c r="I273" s="58" t="n">
        <x:f>F273/J273</x:f>
        <x:v>0.29150905356310886</x:v>
      </x:c>
      <x:c r="J273" s="56" t="n">
        <x:v>1111.897450268817</x:v>
      </x:c>
    </x:row>
    <x:row r="274" ht="65" customHeight="1">
      <x:c r="A274" s="61" t="n">
        <x:v>45108</x:v>
      </x:c>
      <x:c r="B274" s="32" t="str">
        <x:v>Extracción de minerales</x:v>
      </x:c>
      <x:c r="C274" s="32" t="str">
        <x:v>Petróleos y minerales</x:v>
      </x:c>
      <x:c r="D274" s="62" t="n">
        <x:v>31</x:v>
      </x:c>
      <x:c r="E274" s="2" t="str">
        <x:v>Completo</x:v>
      </x:c>
      <x:c r="F274" s="56" t="n">
        <x:v>22.565838709677422</x:v>
      </x:c>
      <x:c r="G274" s="56" t="n">
        <x:f>F106</x:f>
        <x:v>20.446735215053764</x:v>
      </x:c>
      <x:c r="H274" s="57" t="n">
        <x:f>IF(ISNUMBER(G274),IF(G274=0,"n.a.",F274/G274-1),"n.a.")</x:f>
        <x:v>0.10364018863331714</x:v>
      </x:c>
      <x:c r="I274" s="58" t="n">
        <x:f>F274/J274</x:f>
        <x:v>0.12042937225909314</x:v>
      </x:c>
      <x:c r="J274" s="56" t="n">
        <x:v>187.37819758064515</x:v>
      </x:c>
    </x:row>
    <x:row r="275" ht="65" customHeight="1">
      <x:c r="A275" s="61" t="n">
        <x:v>45108</x:v>
      </x:c>
      <x:c r="B275" s="32" t="str">
        <x:v>Extracción de petróleo</x:v>
      </x:c>
      <x:c r="C275" s="32" t="str">
        <x:v>Petróleos y minerales</x:v>
      </x:c>
      <x:c r="D275" s="62" t="n">
        <x:v>31</x:v>
      </x:c>
      <x:c r="E275" s="2" t="str">
        <x:v>Completo</x:v>
      </x:c>
      <x:c r="F275" s="56" t="n">
        <x:v>164.81235887096773</x:v>
      </x:c>
      <x:c r="G275" s="56" t="n">
        <x:f>F107</x:f>
        <x:v>164.19037231182796</x:v>
      </x:c>
      <x:c r="H275" s="57" t="n">
        <x:f>IF(ISNUMBER(G275),IF(G275=0,"n.a.",F275/G275-1),"n.a.")</x:f>
        <x:v>0.0037882035979459605</x:v>
      </x:c>
      <x:c r="I275" s="58" t="n">
        <x:f>F275/J275</x:f>
        <x:v>0.8795706277409069</x:v>
      </x:c>
      <x:c r="J275" s="56" t="n">
        <x:v>187.37819758064515</x:v>
      </x:c>
    </x:row>
    <x:row r="276" ht="65" customHeight="1">
      <x:c r="A276" s="61" t="n">
        <x:v>45139</x:v>
      </x:c>
      <x:c r="B276" s="32" t="str">
        <x:v>Cargas y puertos</x:v>
      </x:c>
      <x:c r="C276" s="32" t="str">
        <x:v>Alimentación, comercios y servicios</x:v>
      </x:c>
      <x:c r="D276" s="62" t="n">
        <x:v>31</x:v>
      </x:c>
      <x:c r="E276" s="2" t="str">
        <x:v>Completo</x:v>
      </x:c>
      <x:c r="F276" s="56" t="n">
        <x:v>7.8863790322580645</x:v>
      </x:c>
      <x:c r="G276" s="56" t="n">
        <x:f>F108</x:f>
        <x:v>7.33959005376344</x:v>
      </x:c>
      <x:c r="H276" s="57" t="n">
        <x:f>IF(ISNUMBER(G276),IF(G276=0,"n.a.",F276/G276-1),"n.a.")</x:f>
        <x:v>0.07449857205774779</x:v>
      </x:c>
      <x:c r="I276" s="58" t="n">
        <x:f>F276/J276</x:f>
        <x:v>0.02012962510749771</x:v>
      </x:c>
      <x:c r="J276" s="56" t="n">
        <x:v>391.7797271505376</x:v>
      </x:c>
    </x:row>
    <x:row r="277" ht="65" customHeight="1">
      <x:c r="A277" s="61" t="n">
        <x:v>45139</x:v>
      </x:c>
      <x:c r="B277" s="32" t="str">
        <x:v>Comercio y servicios: principalmente supermercados y centros comerciales</x:v>
      </x:c>
      <x:c r="C277" s="32" t="str">
        <x:v>Alimentación, comercios y servicios</x:v>
      </x:c>
      <x:c r="D277" s="62" t="n">
        <x:v>31</x:v>
      </x:c>
      <x:c r="E277" s="2" t="str">
        <x:v>Completo</x:v>
      </x:c>
      <x:c r="F277" s="56" t="n">
        <x:v>29.50452553763441</x:v>
      </x:c>
      <x:c r="G277" s="56" t="n">
        <x:f>F109</x:f>
        <x:v>29.565193548387096</x:v>
      </x:c>
      <x:c r="H277" s="57" t="n">
        <x:f>IF(ISNUMBER(G277),IF(G277=0,"n.a.",F277/G277-1),"n.a.")</x:f>
        <x:v>-0.0020520079008917724</x:v>
      </x:c>
      <x:c r="I277" s="58" t="n">
        <x:f>F277/J277</x:f>
        <x:v>0.07530896443321473</x:v>
      </x:c>
      <x:c r="J277" s="56" t="n">
        <x:v>391.7797271505376</x:v>
      </x:c>
    </x:row>
    <x:row r="278" ht="65" customHeight="1">
      <x:c r="A278" s="61" t="n">
        <x:v>45139</x:v>
      </x:c>
      <x:c r="B278" s="32" t="str">
        <x:v>Alimentación y artículos de consumo masivo</x:v>
      </x:c>
      <x:c r="C278" s="32" t="str">
        <x:v>Alimentación, comercios y servicios</x:v>
      </x:c>
      <x:c r="D278" s="62" t="n">
        <x:v>31</x:v>
      </x:c>
      <x:c r="E278" s="2" t="str">
        <x:v>Completo</x:v>
      </x:c>
      <x:c r="F278" s="56" t="n">
        <x:v>267.00815188172044</x:v>
      </x:c>
      <x:c r="G278" s="56" t="n">
        <x:f>F110</x:f>
        <x:v>253.39793951612901</x:v>
      </x:c>
      <x:c r="H278" s="57" t="n">
        <x:f>IF(ISNUMBER(G278),IF(G278=0,"n.a.",F278/G278-1),"n.a.")</x:f>
        <x:v>0.05371082492454571</x:v>
      </x:c>
      <x:c r="I278" s="58" t="n">
        <x:f>F278/J278</x:f>
        <x:v>0.6815262081672876</x:v>
      </x:c>
      <x:c r="J278" s="56" t="n">
        <x:v>391.7797271505376</x:v>
      </x:c>
    </x:row>
    <x:row r="279" ht="65" customHeight="1">
      <x:c r="A279" s="61" t="n">
        <x:v>45139</x:v>
      </x:c>
      <x:c r="B279" s="32" t="str">
        <x:v>Servicios públicos y transporte: agua y transporte en GBA</x:v>
      </x:c>
      <x:c r="C279" s="32" t="str">
        <x:v>Alimentación, comercios y servicios</x:v>
      </x:c>
      <x:c r="D279" s="62" t="n">
        <x:v>31</x:v>
      </x:c>
      <x:c r="E279" s="2" t="str">
        <x:v>Completo</x:v>
      </x:c>
      <x:c r="F279" s="56" t="n">
        <x:v>87.38067069892473</x:v>
      </x:c>
      <x:c r="G279" s="56" t="n">
        <x:f>F111</x:f>
        <x:v>82.94244758064517</x:v>
      </x:c>
      <x:c r="H279" s="57" t="n">
        <x:f>IF(ISNUMBER(G279),IF(G279=0,"n.a.",F279/G279-1),"n.a.")</x:f>
        <x:v>0.05350967143770702</x:v>
      </x:c>
      <x:c r="I279" s="58" t="n">
        <x:f>F279/J279</x:f>
        <x:v>0.22303520229200002</x:v>
      </x:c>
      <x:c r="J279" s="56" t="n">
        <x:v>391.7797271505376</x:v>
      </x:c>
    </x:row>
    <x:row r="280" ht="65" customHeight="1">
      <x:c r="A280" s="61" t="n">
        <x:v>45139</x:v>
      </x:c>
      <x:c r="B280" s="32" t="str">
        <x:v>Industria automotriz</x:v>
      </x:c>
      <x:c r="C280" s="32" t="str">
        <x:v>Industrias sin Aluar</x:v>
      </x:c>
      <x:c r="D280" s="62" t="n">
        <x:v>31</x:v>
      </x:c>
      <x:c r="E280" s="2" t="str">
        <x:v>Completo</x:v>
      </x:c>
      <x:c r="F280" s="56" t="n">
        <x:v>39.503408602150536</x:v>
      </x:c>
      <x:c r="G280" s="56" t="n">
        <x:f>F112</x:f>
        <x:v>39.10302956989247</x:v>
      </x:c>
      <x:c r="H280" s="57" t="n">
        <x:f>IF(ISNUMBER(G280),IF(G280=0,"n.a.",F280/G280-1),"n.a.")</x:f>
        <x:v>0.010239079597206935</x:v>
      </x:c>
      <x:c r="I280" s="58" t="n">
        <x:f>F280/J280</x:f>
        <x:v>0.032673805058418</x:v>
      </x:c>
      <x:c r="J280" s="56" t="n">
        <x:v>1209.023819892473</x:v>
      </x:c>
    </x:row>
    <x:row r="281" ht="65" customHeight="1">
      <x:c r="A281" s="61" t="n">
        <x:v>45139</x:v>
      </x:c>
      <x:c r="B281" s="32" t="str">
        <x:v>Derivados de petróleo</x:v>
      </x:c>
      <x:c r="C281" s="32" t="str">
        <x:v>Industrias sin Aluar</x:v>
      </x:c>
      <x:c r="D281" s="62" t="n">
        <x:v>31</x:v>
      </x:c>
      <x:c r="E281" s="2" t="str">
        <x:v>Completo</x:v>
      </x:c>
      <x:c r="F281" s="56" t="n">
        <x:v>142.001876344086</x:v>
      </x:c>
      <x:c r="G281" s="56" t="n">
        <x:f>F113</x:f>
        <x:v>156.43338440860217</x:v>
      </x:c>
      <x:c r="H281" s="57" t="n">
        <x:f>IF(ISNUMBER(G281),IF(G281=0,"n.a.",F281/G281-1),"n.a.")</x:f>
        <x:v>-0.09225337749403428</x:v>
      </x:c>
      <x:c r="I281" s="58" t="n">
        <x:f>F281/J281</x:f>
        <x:v>0.11745167796339631</x:v>
      </x:c>
      <x:c r="J281" s="56" t="n">
        <x:v>1209.023819892473</x:v>
      </x:c>
    </x:row>
    <x:row r="282" ht="65" customHeight="1">
      <x:c r="A282" s="61" t="n">
        <x:v>45139</x:v>
      </x:c>
      <x:c r="B282" s="32" t="str">
        <x:v>Construcción: elaboración de cemento y canteras</x:v>
      </x:c>
      <x:c r="C282" s="32" t="str">
        <x:v>Industrias sin Aluar</x:v>
      </x:c>
      <x:c r="D282" s="62" t="n">
        <x:v>31</x:v>
      </x:c>
      <x:c r="E282" s="2" t="str">
        <x:v>Completo</x:v>
      </x:c>
      <x:c r="F282" s="56" t="n">
        <x:v>171.2518185483871</x:v>
      </x:c>
      <x:c r="G282" s="56" t="n">
        <x:f>F114</x:f>
        <x:v>199.46865725806452</x:v>
      </x:c>
      <x:c r="H282" s="57" t="n">
        <x:f>IF(ISNUMBER(G282),IF(G282=0,"n.a.",F282/G282-1),"n.a.")</x:f>
        <x:v>-0.1414600123024422</x:v>
      </x:c>
      <x:c r="I282" s="58" t="n">
        <x:f>F282/J282</x:f>
        <x:v>0.141644701891496</x:v>
      </x:c>
      <x:c r="J282" s="56" t="n">
        <x:v>1209.023819892473</x:v>
      </x:c>
    </x:row>
    <x:row r="283" ht="65" customHeight="1">
      <x:c r="A283" s="61" t="n">
        <x:v>45139</x:v>
      </x:c>
      <x:c r="B283" s="32" t="str">
        <x:v>Madera y papel</x:v>
      </x:c>
      <x:c r="C283" s="32" t="str">
        <x:v>Industrias sin Aluar</x:v>
      </x:c>
      <x:c r="D283" s="62" t="n">
        <x:v>31</x:v>
      </x:c>
      <x:c r="E283" s="2" t="str">
        <x:v>Completo</x:v>
      </x:c>
      <x:c r="F283" s="56" t="n">
        <x:v>105.49800134408602</x:v>
      </x:c>
      <x:c r="G283" s="56" t="n">
        <x:f>F115</x:f>
        <x:v>102.55399596774194</x:v>
      </x:c>
      <x:c r="H283" s="57" t="n">
        <x:f>IF(ISNUMBER(G283),IF(G283=0,"n.a.",F283/G283-1),"n.a.")</x:f>
        <x:v>0.028706881175747823</x:v>
      </x:c>
      <x:c r="I283" s="58" t="n">
        <x:f>F283/J283</x:f>
        <x:v>0.08725882783142246</x:v>
      </x:c>
      <x:c r="J283" s="56" t="n">
        <x:v>1209.023819892473</x:v>
      </x:c>
    </x:row>
    <x:row r="284" ht="65" customHeight="1">
      <x:c r="A284" s="61" t="n">
        <x:v>45139</x:v>
      </x:c>
      <x:c r="B284" s="32" t="str">
        <x:v>Productos metálicos no automotores</x:v>
      </x:c>
      <x:c r="C284" s="32" t="str">
        <x:v>Industrias sin Aluar</x:v>
      </x:c>
      <x:c r="D284" s="62" t="n">
        <x:v>31</x:v>
      </x:c>
      <x:c r="E284" s="2" t="str">
        <x:v>Completo</x:v>
      </x:c>
      <x:c r="F284" s="56" t="n">
        <x:v>50.94696774193548</x:v>
      </x:c>
      <x:c r="G284" s="56" t="n">
        <x:f>F116</x:f>
        <x:v>66.19231317204301</x:v>
      </x:c>
      <x:c r="H284" s="57" t="n">
        <x:f>IF(ISNUMBER(G284),IF(G284=0,"n.a.",F284/G284-1),"n.a.")</x:f>
        <x:v>-0.23031897058020567</x:v>
      </x:c>
      <x:c r="I284" s="58" t="n">
        <x:f>F284/J284</x:f>
        <x:v>0.04213892803738685</x:v>
      </x:c>
      <x:c r="J284" s="56" t="n">
        <x:v>1209.023819892473</x:v>
      </x:c>
    </x:row>
    <x:row r="285" ht="65" customHeight="1">
      <x:c r="A285" s="61" t="n">
        <x:v>45139</x:v>
      </x:c>
      <x:c r="B285" s="32" t="str">
        <x:v>Gran siderurgia</x:v>
      </x:c>
      <x:c r="C285" s="32" t="str">
        <x:v>Industrias sin Aluar</x:v>
      </x:c>
      <x:c r="D285" s="62" t="n">
        <x:v>31</x:v>
      </x:c>
      <x:c r="E285" s="2" t="str">
        <x:v>Completo</x:v>
      </x:c>
      <x:c r="F285" s="56" t="n">
        <x:v>313.49506182795693</x:v>
      </x:c>
      <x:c r="G285" s="56" t="n">
        <x:f>F117</x:f>
        <x:v>357.5920174731183</x:v>
      </x:c>
      <x:c r="H285" s="57" t="n">
        <x:f>IF(ISNUMBER(G285),IF(G285=0,"n.a.",F285/G285-1),"n.a.")</x:f>
        <x:v>-0.12331638708483283</x:v>
      </x:c>
      <x:c r="I285" s="58" t="n">
        <x:f>F285/J285</x:f>
        <x:v>0.2592960177210059</x:v>
      </x:c>
      <x:c r="J285" s="56" t="n">
        <x:v>1209.023819892473</x:v>
      </x:c>
    </x:row>
    <x:row r="286" ht="65" customHeight="1">
      <x:c r="A286" s="61" t="n">
        <x:v>45139</x:v>
      </x:c>
      <x:c r="B286" s="32" t="str">
        <x:v>Industria textil</x:v>
      </x:c>
      <x:c r="C286" s="32" t="str">
        <x:v>Industrias sin Aluar</x:v>
      </x:c>
      <x:c r="D286" s="62" t="n">
        <x:v>31</x:v>
      </x:c>
      <x:c r="E286" s="2" t="str">
        <x:v>Completo</x:v>
      </x:c>
      <x:c r="F286" s="56" t="n">
        <x:v>64.08151747311827</x:v>
      </x:c>
      <x:c r="G286" s="56" t="n">
        <x:f>F118</x:f>
        <x:v>64.61975268817204</x:v>
      </x:c>
      <x:c r="H286" s="57" t="n">
        <x:f>IF(ISNUMBER(G286),IF(G286=0,"n.a.",F286/G286-1),"n.a.")</x:f>
        <x:v>-0.008329267641290272</x:v>
      </x:c>
      <x:c r="I286" s="58" t="n">
        <x:f>F286/J286</x:f>
        <x:v>0.05300269227021308</x:v>
      </x:c>
      <x:c r="J286" s="56" t="n">
        <x:v>1209.023819892473</x:v>
      </x:c>
    </x:row>
    <x:row r="287" ht="65" customHeight="1">
      <x:c r="A287" s="61" t="n">
        <x:v>45139</x:v>
      </x:c>
      <x:c r="B287" s="32" t="str">
        <x:v>Químicas, caucho, plástico y otros minerales no metálicos</x:v>
      </x:c>
      <x:c r="C287" s="32" t="str">
        <x:v>Industrias sin Aluar</x:v>
      </x:c>
      <x:c r="D287" s="62" t="n">
        <x:v>31</x:v>
      </x:c>
      <x:c r="E287" s="2" t="str">
        <x:v>Completo</x:v>
      </x:c>
      <x:c r="F287" s="56" t="n">
        <x:v>322.2451680107527</x:v>
      </x:c>
      <x:c r="G287" s="56" t="n">
        <x:f>F119</x:f>
        <x:v>309.6252069892473</x:v>
      </x:c>
      <x:c r="H287" s="57" t="n">
        <x:f>IF(ISNUMBER(G287),IF(G287=0,"n.a.",F287/G287-1),"n.a.")</x:f>
        <x:v>0.040758829502998584</x:v>
      </x:c>
      <x:c r="I287" s="58" t="n">
        <x:f>F287/J287</x:f>
        <x:v>0.2665333492266614</x:v>
      </x:c>
      <x:c r="J287" s="56" t="n">
        <x:v>1209.023819892473</x:v>
      </x:c>
    </x:row>
    <x:row r="288" ht="65" customHeight="1">
      <x:c r="A288" s="61" t="n">
        <x:v>45139</x:v>
      </x:c>
      <x:c r="B288" s="32" t="str">
        <x:v>Extracción de minerales</x:v>
      </x:c>
      <x:c r="C288" s="32" t="str">
        <x:v>Petróleos y minerales</x:v>
      </x:c>
      <x:c r="D288" s="62" t="n">
        <x:v>31</x:v>
      </x:c>
      <x:c r="E288" s="2" t="str">
        <x:v>Completo</x:v>
      </x:c>
      <x:c r="F288" s="56" t="n">
        <x:v>23.121170698924733</x:v>
      </x:c>
      <x:c r="G288" s="56" t="n">
        <x:f>F120</x:f>
        <x:v>20.651995967741936</x:v>
      </x:c>
      <x:c r="H288" s="57" t="n">
        <x:f>IF(ISNUMBER(G288),IF(G288=0,"n.a.",F288/G288-1),"n.a.")</x:f>
        <x:v>0.11956106978907055</x:v>
      </x:c>
      <x:c r="I288" s="58" t="n">
        <x:f>F288/J288</x:f>
        <x:v>0.1225490529232722</x:v>
      </x:c>
      <x:c r="J288" s="56" t="n">
        <x:v>188.66870161290325</x:v>
      </x:c>
    </x:row>
    <x:row r="289" ht="65" customHeight="1">
      <x:c r="A289" s="61" t="n">
        <x:v>45139</x:v>
      </x:c>
      <x:c r="B289" s="32" t="str">
        <x:v>Extracción de petróleo</x:v>
      </x:c>
      <x:c r="C289" s="32" t="str">
        <x:v>Petróleos y minerales</x:v>
      </x:c>
      <x:c r="D289" s="62" t="n">
        <x:v>31</x:v>
      </x:c>
      <x:c r="E289" s="2" t="str">
        <x:v>Completo</x:v>
      </x:c>
      <x:c r="F289" s="56" t="n">
        <x:v>165.5475309139785</x:v>
      </x:c>
      <x:c r="G289" s="56" t="n">
        <x:f>F121</x:f>
        <x:v>155.16408467741934</x:v>
      </x:c>
      <x:c r="H289" s="57" t="n">
        <x:f>IF(ISNUMBER(G289),IF(G289=0,"n.a.",F289/G289-1),"n.a.")</x:f>
        <x:v>0.06691913439985786</x:v>
      </x:c>
      <x:c r="I289" s="58" t="n">
        <x:f>F289/J289</x:f>
        <x:v>0.8774509470767278</x:v>
      </x:c>
      <x:c r="J289" s="56" t="n">
        <x:v>188.66870161290325</x:v>
      </x:c>
    </x:row>
    <x:row r="290" ht="65" customHeight="1">
      <x:c r="A290" s="61" t="n">
        <x:v>45170</x:v>
      </x:c>
      <x:c r="B290" s="32" t="str">
        <x:v>Cargas y puertos</x:v>
      </x:c>
      <x:c r="C290" s="32" t="str">
        <x:v>Alimentación, comercios y servicios</x:v>
      </x:c>
      <x:c r="D290" s="62" t="n">
        <x:v>30</x:v>
      </x:c>
      <x:c r="E290" s="2" t="str">
        <x:v>Completo</x:v>
      </x:c>
      <x:c r="F290" s="56" t="n">
        <x:v>9.090315277777778</x:v>
      </x:c>
      <x:c r="G290" s="56" t="n">
        <x:f>F122</x:f>
        <x:v>7.475506944444445</x:v>
      </x:c>
      <x:c r="H290" s="57" t="n">
        <x:f>IF(ISNUMBER(G290),IF(G290=0,"n.a.",F290/G290-1),"n.a.")</x:f>
        <x:v>0.21601322095398579</x:v>
      </x:c>
      <x:c r="I290" s="58" t="n">
        <x:f>F290/J290</x:f>
        <x:v>0.023298906922674736</x:v>
      </x:c>
      <x:c r="J290" s="56" t="n">
        <x:v>390.16059027777777</x:v>
      </x:c>
    </x:row>
    <x:row r="291" ht="65" customHeight="1">
      <x:c r="A291" s="61" t="n">
        <x:v>45170</x:v>
      </x:c>
      <x:c r="B291" s="32" t="str">
        <x:v>Comercio y servicios: principalmente supermercados y centros comerciales</x:v>
      </x:c>
      <x:c r="C291" s="32" t="str">
        <x:v>Alimentación, comercios y servicios</x:v>
      </x:c>
      <x:c r="D291" s="62" t="n">
        <x:v>30</x:v>
      </x:c>
      <x:c r="E291" s="2" t="str">
        <x:v>Completo</x:v>
      </x:c>
      <x:c r="F291" s="56" t="n">
        <x:v>28.15529861111111</x:v>
      </x:c>
      <x:c r="G291" s="56" t="n">
        <x:f>F123</x:f>
        <x:v>29.170405555555554</x:v>
      </x:c>
      <x:c r="H291" s="57" t="n">
        <x:f>IF(ISNUMBER(G291),IF(G291=0,"n.a.",F291/G291-1),"n.a.")</x:f>
        <x:v>-0.0347992057399118</x:v>
      </x:c>
      <x:c r="I291" s="58" t="n">
        <x:f>F291/J291</x:f>
        <x:v>0.07216335865973991</x:v>
      </x:c>
      <x:c r="J291" s="56" t="n">
        <x:v>390.16059027777777</x:v>
      </x:c>
    </x:row>
    <x:row r="292" ht="65" customHeight="1">
      <x:c r="A292" s="61" t="n">
        <x:v>45170</x:v>
      </x:c>
      <x:c r="B292" s="32" t="str">
        <x:v>Alimentación y artículos de consumo masivo</x:v>
      </x:c>
      <x:c r="C292" s="32" t="str">
        <x:v>Alimentación, comercios y servicios</x:v>
      </x:c>
      <x:c r="D292" s="62" t="n">
        <x:v>30</x:v>
      </x:c>
      <x:c r="E292" s="2" t="str">
        <x:v>Completo</x:v>
      </x:c>
      <x:c r="F292" s="56" t="n">
        <x:v>264.2902</x:v>
      </x:c>
      <x:c r="G292" s="56" t="n">
        <x:f>F124</x:f>
        <x:v>274.391175</x:v>
      </x:c>
      <x:c r="H292" s="57" t="n">
        <x:f>IF(ISNUMBER(G292),IF(G292=0,"n.a.",F292/G292-1),"n.a.")</x:f>
        <x:v>-0.036812317305758624</x:v>
      </x:c>
      <x:c r="I292" s="58" t="n">
        <x:f>F292/J292</x:f>
        <x:v>0.6773882513655124</x:v>
      </x:c>
      <x:c r="J292" s="56" t="n">
        <x:v>390.16059027777777</x:v>
      </x:c>
    </x:row>
    <x:row r="293" ht="65" customHeight="1">
      <x:c r="A293" s="61" t="n">
        <x:v>45170</x:v>
      </x:c>
      <x:c r="B293" s="32" t="str">
        <x:v>Servicios públicos y transporte: agua y transporte en GBA</x:v>
      </x:c>
      <x:c r="C293" s="32" t="str">
        <x:v>Alimentación, comercios y servicios</x:v>
      </x:c>
      <x:c r="D293" s="62" t="n">
        <x:v>30</x:v>
      </x:c>
      <x:c r="E293" s="2" t="str">
        <x:v>Completo</x:v>
      </x:c>
      <x:c r="F293" s="56" t="n">
        <x:v>88.62477638888889</x:v>
      </x:c>
      <x:c r="G293" s="56" t="n">
        <x:f>F125</x:f>
        <x:v>82.98807777777778</x:v>
      </x:c>
      <x:c r="H293" s="57" t="n">
        <x:f>IF(ISNUMBER(G293),IF(G293=0,"n.a.",F293/G293-1),"n.a.")</x:f>
        <x:v>0.06792178782842573</x:v>
      </x:c>
      <x:c r="I293" s="58" t="n">
        <x:f>F293/J293</x:f>
        <x:v>0.22714948305207303</x:v>
      </x:c>
      <x:c r="J293" s="56" t="n">
        <x:v>390.16059027777777</x:v>
      </x:c>
    </x:row>
    <x:row r="294" ht="65" customHeight="1">
      <x:c r="A294" s="61" t="n">
        <x:v>45170</x:v>
      </x:c>
      <x:c r="B294" s="32" t="str">
        <x:v>Industria automotriz</x:v>
      </x:c>
      <x:c r="C294" s="32" t="str">
        <x:v>Industrias sin Aluar</x:v>
      </x:c>
      <x:c r="D294" s="62" t="n">
        <x:v>30</x:v>
      </x:c>
      <x:c r="E294" s="2" t="str">
        <x:v>Completo</x:v>
      </x:c>
      <x:c r="F294" s="56" t="n">
        <x:v>38.29168611111111</x:v>
      </x:c>
      <x:c r="G294" s="56" t="n">
        <x:f>F126</x:f>
        <x:v>37.15708055555556</x:v>
      </x:c>
      <x:c r="H294" s="57" t="n">
        <x:f>IF(ISNUMBER(G294),IF(G294=0,"n.a.",F294/G294-1),"n.a.")</x:f>
        <x:v>0.03053537949137697</x:v>
      </x:c>
      <x:c r="I294" s="58" t="n">
        <x:f>F294/J294</x:f>
        <x:v>0.02907321492290983</x:v>
      </x:c>
      <x:c r="J294" s="56" t="n">
        <x:v>1317.0778055555556</x:v>
      </x:c>
    </x:row>
    <x:row r="295" ht="65" customHeight="1">
      <x:c r="A295" s="61" t="n">
        <x:v>45170</x:v>
      </x:c>
      <x:c r="B295" s="32" t="str">
        <x:v>Derivados de petróleo</x:v>
      </x:c>
      <x:c r="C295" s="32" t="str">
        <x:v>Industrias sin Aluar</x:v>
      </x:c>
      <x:c r="D295" s="62" t="n">
        <x:v>30</x:v>
      </x:c>
      <x:c r="E295" s="2" t="str">
        <x:v>Completo</x:v>
      </x:c>
      <x:c r="F295" s="56" t="n">
        <x:v>154.9575</x:v>
      </x:c>
      <x:c r="G295" s="56" t="n">
        <x:f>F127</x:f>
        <x:v>155.6003777777778</x:v>
      </x:c>
      <x:c r="H295" s="57" t="n">
        <x:f>IF(ISNUMBER(G295),IF(G295=0,"n.a.",F295/G295-1),"n.a.")</x:f>
        <x:v>-0.004131595224633133</x:v>
      </x:c>
      <x:c r="I295" s="58" t="n">
        <x:f>F295/J295</x:f>
        <x:v>0.11765250264363653</x:v>
      </x:c>
      <x:c r="J295" s="56" t="n">
        <x:v>1317.0778055555556</x:v>
      </x:c>
    </x:row>
    <x:row r="296" ht="65" customHeight="1">
      <x:c r="A296" s="61" t="n">
        <x:v>45170</x:v>
      </x:c>
      <x:c r="B296" s="32" t="str">
        <x:v>Construcción: elaboración de cemento y canteras</x:v>
      </x:c>
      <x:c r="C296" s="32" t="str">
        <x:v>Industrias sin Aluar</x:v>
      </x:c>
      <x:c r="D296" s="62" t="n">
        <x:v>30</x:v>
      </x:c>
      <x:c r="E296" s="2" t="str">
        <x:v>Completo</x:v>
      </x:c>
      <x:c r="F296" s="56" t="n">
        <x:v>186.83173472222222</x:v>
      </x:c>
      <x:c r="G296" s="56" t="n">
        <x:f>F128</x:f>
        <x:v>185.78671944444443</x:v>
      </x:c>
      <x:c r="H296" s="57" t="n">
        <x:f>IF(ISNUMBER(G296),IF(G296=0,"n.a.",F296/G296-1),"n.a.")</x:f>
        <x:v>0.005624811509147065</x:v>
      </x:c>
      <x:c r="I296" s="58" t="n">
        <x:f>F296/J296</x:f>
        <x:v>0.14185322532514688</x:v>
      </x:c>
      <x:c r="J296" s="56" t="n">
        <x:v>1317.0778055555556</x:v>
      </x:c>
    </x:row>
    <x:row r="297" ht="65" customHeight="1">
      <x:c r="A297" s="61" t="n">
        <x:v>45170</x:v>
      </x:c>
      <x:c r="B297" s="32" t="str">
        <x:v>Madera y papel</x:v>
      </x:c>
      <x:c r="C297" s="32" t="str">
        <x:v>Industrias sin Aluar</x:v>
      </x:c>
      <x:c r="D297" s="62" t="n">
        <x:v>30</x:v>
      </x:c>
      <x:c r="E297" s="2" t="str">
        <x:v>Completo</x:v>
      </x:c>
      <x:c r="F297" s="56" t="n">
        <x:v>110.37756388888889</x:v>
      </x:c>
      <x:c r="G297" s="56" t="n">
        <x:f>F129</x:f>
        <x:v>109.43196527777778</x:v>
      </x:c>
      <x:c r="H297" s="57" t="n">
        <x:f>IF(ISNUMBER(G297),IF(G297=0,"n.a.",F297/G297-1),"n.a.")</x:f>
        <x:v>0.008640972577901085</x:v>
      </x:c>
      <x:c r="I297" s="58" t="n">
        <x:f>F297/J297</x:f>
        <x:v>0.08380489248494367</x:v>
      </x:c>
      <x:c r="J297" s="56" t="n">
        <x:v>1317.0778055555556</x:v>
      </x:c>
    </x:row>
    <x:row r="298" ht="65" customHeight="1">
      <x:c r="A298" s="61" t="n">
        <x:v>45170</x:v>
      </x:c>
      <x:c r="B298" s="32" t="str">
        <x:v>Productos metálicos no automotores</x:v>
      </x:c>
      <x:c r="C298" s="32" t="str">
        <x:v>Industrias sin Aluar</x:v>
      </x:c>
      <x:c r="D298" s="62" t="n">
        <x:v>30</x:v>
      </x:c>
      <x:c r="E298" s="2" t="str">
        <x:v>Completo</x:v>
      </x:c>
      <x:c r="F298" s="56" t="n">
        <x:v>51.78169305555556</x:v>
      </x:c>
      <x:c r="G298" s="56" t="n">
        <x:f>F130</x:f>
        <x:v>64.4261625</x:v>
      </x:c>
      <x:c r="H298" s="57" t="n">
        <x:f>IF(ISNUMBER(G298),IF(G298=0,"n.a.",F298/G298-1),"n.a.")</x:f>
        <x:v>-0.19626296140864274</x:v>
      </x:c>
      <x:c r="I298" s="58" t="n">
        <x:f>F298/J298</x:f>
        <x:v>0.0393155915596904</x:v>
      </x:c>
      <x:c r="J298" s="56" t="n">
        <x:v>1317.0778055555556</x:v>
      </x:c>
    </x:row>
    <x:row r="299" ht="65" customHeight="1">
      <x:c r="A299" s="61" t="n">
        <x:v>45170</x:v>
      </x:c>
      <x:c r="B299" s="32" t="str">
        <x:v>Gran siderurgia</x:v>
      </x:c>
      <x:c r="C299" s="32" t="str">
        <x:v>Industrias sin Aluar</x:v>
      </x:c>
      <x:c r="D299" s="62" t="n">
        <x:v>30</x:v>
      </x:c>
      <x:c r="E299" s="2" t="str">
        <x:v>Completo</x:v>
      </x:c>
      <x:c r="F299" s="56" t="n">
        <x:v>372.39305972222223</x:v>
      </x:c>
      <x:c r="G299" s="56" t="n">
        <x:f>F131</x:f>
        <x:v>370.34691111111107</x:v>
      </x:c>
      <x:c r="H299" s="57" t="n">
        <x:f>IF(ISNUMBER(G299),IF(G299=0,"n.a.",F299/G299-1),"n.a.")</x:f>
        <x:v>0.005524951200409189</x:v>
      </x:c>
      <x:c r="I299" s="58" t="n">
        <x:f>F299/J299</x:f>
        <x:v>0.28274188369998643</x:v>
      </x:c>
      <x:c r="J299" s="56" t="n">
        <x:v>1317.0778055555556</x:v>
      </x:c>
    </x:row>
    <x:row r="300" ht="65" customHeight="1">
      <x:c r="A300" s="61" t="n">
        <x:v>45170</x:v>
      </x:c>
      <x:c r="B300" s="32" t="str">
        <x:v>Industria textil</x:v>
      </x:c>
      <x:c r="C300" s="32" t="str">
        <x:v>Industrias sin Aluar</x:v>
      </x:c>
      <x:c r="D300" s="62" t="n">
        <x:v>30</x:v>
      </x:c>
      <x:c r="E300" s="2" t="str">
        <x:v>Completo</x:v>
      </x:c>
      <x:c r="F300" s="56" t="n">
        <x:v>65.2964375</x:v>
      </x:c>
      <x:c r="G300" s="56" t="n">
        <x:f>F132</x:f>
        <x:v>64.808925</x:v>
      </x:c>
      <x:c r="H300" s="57" t="n">
        <x:f>IF(ISNUMBER(G300),IF(G300=0,"n.a.",F300/G300-1),"n.a.")</x:f>
        <x:v>0.007522304991172124</x:v>
      </x:c>
      <x:c r="I300" s="58" t="n">
        <x:f>F300/J300</x:f>
        <x:v>0.04957675030630203</x:v>
      </x:c>
      <x:c r="J300" s="56" t="n">
        <x:v>1317.0778055555556</x:v>
      </x:c>
    </x:row>
    <x:row r="301" ht="65" customHeight="1">
      <x:c r="A301" s="61" t="n">
        <x:v>45170</x:v>
      </x:c>
      <x:c r="B301" s="32" t="str">
        <x:v>Químicas, caucho, plástico y otros minerales no metálicos</x:v>
      </x:c>
      <x:c r="C301" s="32" t="str">
        <x:v>Industrias sin Aluar</x:v>
      </x:c>
      <x:c r="D301" s="62" t="n">
        <x:v>30</x:v>
      </x:c>
      <x:c r="E301" s="2" t="str">
        <x:v>Completo</x:v>
      </x:c>
      <x:c r="F301" s="56" t="n">
        <x:v>337.14813055555555</x:v>
      </x:c>
      <x:c r="G301" s="56" t="n">
        <x:f>F133</x:f>
        <x:v>320.6918444444444</x:v>
      </x:c>
      <x:c r="H301" s="57" t="n">
        <x:f>IF(ISNUMBER(G301),IF(G301=0,"n.a.",F301/G301-1),"n.a.")</x:f>
        <x:v>0.051314950461616604</x:v>
      </x:c>
      <x:c r="I301" s="58" t="n">
        <x:f>F301/J301</x:f>
        <x:v>0.2559819390573842</x:v>
      </x:c>
      <x:c r="J301" s="56" t="n">
        <x:v>1317.0778055555556</x:v>
      </x:c>
    </x:row>
    <x:row r="302" ht="65" customHeight="1">
      <x:c r="A302" s="61" t="n">
        <x:v>45170</x:v>
      </x:c>
      <x:c r="B302" s="32" t="str">
        <x:v>Extracción de minerales</x:v>
      </x:c>
      <x:c r="C302" s="32" t="str">
        <x:v>Petróleos y minerales</x:v>
      </x:c>
      <x:c r="D302" s="62" t="n">
        <x:v>30</x:v>
      </x:c>
      <x:c r="E302" s="2" t="str">
        <x:v>Completo</x:v>
      </x:c>
      <x:c r="F302" s="56" t="n">
        <x:v>23.118481944444444</x:v>
      </x:c>
      <x:c r="G302" s="56" t="n">
        <x:f>F134</x:f>
        <x:v>20.128856944444447</x:v>
      </x:c>
      <x:c r="H302" s="57" t="n">
        <x:f>IF(ISNUMBER(G302),IF(G302=0,"n.a.",F302/G302-1),"n.a.")</x:f>
        <x:v>0.14852433043025481</x:v>
      </x:c>
      <x:c r="I302" s="58" t="n">
        <x:f>F302/J302</x:f>
        <x:v>0.12860581513324193</x:v>
      </x:c>
      <x:c r="J302" s="56" t="n">
        <x:v>179.7623375</x:v>
      </x:c>
    </x:row>
    <x:row r="303" ht="65" customHeight="1">
      <x:c r="A303" s="61" t="n">
        <x:v>45170</x:v>
      </x:c>
      <x:c r="B303" s="32" t="str">
        <x:v>Extracción de petróleo</x:v>
      </x:c>
      <x:c r="C303" s="32" t="str">
        <x:v>Petróleos y minerales</x:v>
      </x:c>
      <x:c r="D303" s="62" t="n">
        <x:v>30</x:v>
      </x:c>
      <x:c r="E303" s="2" t="str">
        <x:v>Completo</x:v>
      </x:c>
      <x:c r="F303" s="56" t="n">
        <x:v>156.64385555555555</x:v>
      </x:c>
      <x:c r="G303" s="56" t="n">
        <x:f>F135</x:f>
        <x:v>153.81158472222222</x:v>
      </x:c>
      <x:c r="H303" s="57" t="n">
        <x:f>IF(ISNUMBER(G303),IF(G303=0,"n.a.",F303/G303-1),"n.a.")</x:f>
        <x:v>0.01841389800676141</x:v>
      </x:c>
      <x:c r="I303" s="58" t="n">
        <x:f>F303/J303</x:f>
        <x:v>0.871394184866758</x:v>
      </x:c>
      <x:c r="J303" s="56" t="n">
        <x:v>179.7623375</x:v>
      </x:c>
    </x:row>
    <x:row r="304" ht="65" customHeight="1">
      <x:c r="A304" s="61" t="n">
        <x:v>45200</x:v>
      </x:c>
      <x:c r="B304" s="32" t="str">
        <x:v>Cargas y puertos</x:v>
      </x:c>
      <x:c r="C304" s="32" t="str">
        <x:v>Alimentación, comercios y servicios</x:v>
      </x:c>
      <x:c r="D304" s="62" t="n">
        <x:v>31</x:v>
      </x:c>
      <x:c r="E304" s="2" t="str">
        <x:v>Completo</x:v>
      </x:c>
      <x:c r="F304" s="56" t="n">
        <x:v>9.658463709677418</x:v>
      </x:c>
      <x:c r="G304" s="56" t="n">
        <x:f>F136</x:f>
        <x:v>7.185059139784947</x:v>
      </x:c>
      <x:c r="H304" s="57" t="n">
        <x:f>IF(ISNUMBER(G304),IF(G304=0,"n.a.",F304/G304-1),"n.a.")</x:f>
        <x:v>0.3442427573347018</x:v>
      </x:c>
      <x:c r="I304" s="58" t="n">
        <x:f>F304/J304</x:f>
        <x:v>0.02558266375376132</x:v>
      </x:c>
      <x:c r="J304" s="56" t="n">
        <x:v>377.53940725806444</x:v>
      </x:c>
    </x:row>
    <x:row r="305" ht="65" customHeight="1">
      <x:c r="A305" s="61" t="n">
        <x:v>45200</x:v>
      </x:c>
      <x:c r="B305" s="32" t="str">
        <x:v>Comercio y servicios: principalmente supermercados y centros comerciales</x:v>
      </x:c>
      <x:c r="C305" s="32" t="str">
        <x:v>Alimentación, comercios y servicios</x:v>
      </x:c>
      <x:c r="D305" s="62" t="n">
        <x:v>31</x:v>
      </x:c>
      <x:c r="E305" s="2" t="str">
        <x:v>Completo</x:v>
      </x:c>
      <x:c r="F305" s="56" t="n">
        <x:v>30.093684139784948</x:v>
      </x:c>
      <x:c r="G305" s="56" t="n">
        <x:f>F137</x:f>
        <x:v>30.752962365591397</x:v>
      </x:c>
      <x:c r="H305" s="57" t="n">
        <x:f>IF(ISNUMBER(G305),IF(G305=0,"n.a.",F305/G305-1),"n.a.")</x:f>
        <x:v>-0.021437877039907405</x:v>
      </x:c>
      <x:c r="I305" s="58" t="n">
        <x:f>F305/J305</x:f>
        <x:v>0.07971004764335665</x:v>
      </x:c>
      <x:c r="J305" s="56" t="n">
        <x:v>377.53940725806444</x:v>
      </x:c>
    </x:row>
    <x:row r="306" ht="65" customHeight="1">
      <x:c r="A306" s="61" t="n">
        <x:v>45200</x:v>
      </x:c>
      <x:c r="B306" s="32" t="str">
        <x:v>Alimentación y artículos de consumo masivo</x:v>
      </x:c>
      <x:c r="C306" s="32" t="str">
        <x:v>Alimentación, comercios y servicios</x:v>
      </x:c>
      <x:c r="D306" s="62" t="n">
        <x:v>31</x:v>
      </x:c>
      <x:c r="E306" s="2" t="str">
        <x:v>Completo</x:v>
      </x:c>
      <x:c r="F306" s="56" t="n">
        <x:v>251.34576209677414</x:v>
      </x:c>
      <x:c r="G306" s="56" t="n">
        <x:f>F138</x:f>
        <x:v>265.7251129032258</x:v>
      </x:c>
      <x:c r="H306" s="57" t="n">
        <x:f>IF(ISNUMBER(G306),IF(G306=0,"n.a.",F306/G306-1),"n.a.")</x:f>
        <x:v>-0.05411363137396985</x:v>
      </x:c>
      <x:c r="I306" s="58" t="n">
        <x:f>F306/J306</x:f>
        <x:v>0.665747090938691</x:v>
      </x:c>
      <x:c r="J306" s="56" t="n">
        <x:v>377.53940725806444</x:v>
      </x:c>
    </x:row>
    <x:row r="307" ht="65" customHeight="1">
      <x:c r="A307" s="61" t="n">
        <x:v>45200</x:v>
      </x:c>
      <x:c r="B307" s="32" t="str">
        <x:v>Servicios públicos y transporte: agua y transporte en GBA</x:v>
      </x:c>
      <x:c r="C307" s="32" t="str">
        <x:v>Alimentación, comercios y servicios</x:v>
      </x:c>
      <x:c r="D307" s="62" t="n">
        <x:v>31</x:v>
      </x:c>
      <x:c r="E307" s="2" t="str">
        <x:v>Completo</x:v>
      </x:c>
      <x:c r="F307" s="56" t="n">
        <x:v>86.44149731182794</x:v>
      </x:c>
      <x:c r="G307" s="56" t="n">
        <x:f>F139</x:f>
        <x:v>81.01035349462366</x:v>
      </x:c>
      <x:c r="H307" s="57" t="n">
        <x:f>IF(ISNUMBER(G307),IF(G307=0,"n.a.",F307/G307-1),"n.a.")</x:f>
        <x:v>0.06704258879162572</x:v>
      </x:c>
      <x:c r="I307" s="58" t="n">
        <x:f>F307/J307</x:f>
        <x:v>0.228960197664191</x:v>
      </x:c>
      <x:c r="J307" s="56" t="n">
        <x:v>377.53940725806444</x:v>
      </x:c>
    </x:row>
    <x:row r="308" ht="65" customHeight="1">
      <x:c r="A308" s="61" t="n">
        <x:v>45200</x:v>
      </x:c>
      <x:c r="B308" s="32" t="str">
        <x:v>Industria automotriz</x:v>
      </x:c>
      <x:c r="C308" s="32" t="str">
        <x:v>Industrias sin Aluar</x:v>
      </x:c>
      <x:c r="D308" s="62" t="n">
        <x:v>31</x:v>
      </x:c>
      <x:c r="E308" s="2" t="str">
        <x:v>Completo</x:v>
      </x:c>
      <x:c r="F308" s="56" t="n">
        <x:v>37.03747311827957</x:v>
      </x:c>
      <x:c r="G308" s="56" t="n">
        <x:f>F140</x:f>
        <x:v>36.911353494623654</x:v>
      </x:c>
      <x:c r="H308" s="57" t="n">
        <x:f>IF(ISNUMBER(G308),IF(G308=0,"n.a.",F308/G308-1),"n.a.")</x:f>
        <x:v>0.0034168246817145587</x:v>
      </x:c>
      <x:c r="I308" s="58" t="n">
        <x:f>F308/J308</x:f>
        <x:v>0.028461921878573524</x:v>
      </x:c>
      <x:c r="J308" s="56" t="n">
        <x:v>1301.2990927419355</x:v>
      </x:c>
    </x:row>
    <x:row r="309" ht="65" customHeight="1">
      <x:c r="A309" s="61" t="n">
        <x:v>45200</x:v>
      </x:c>
      <x:c r="B309" s="32" t="str">
        <x:v>Derivados de petróleo</x:v>
      </x:c>
      <x:c r="C309" s="32" t="str">
        <x:v>Industrias sin Aluar</x:v>
      </x:c>
      <x:c r="D309" s="62" t="n">
        <x:v>31</x:v>
      </x:c>
      <x:c r="E309" s="2" t="str">
        <x:v>Completo</x:v>
      </x:c>
      <x:c r="F309" s="56" t="n">
        <x:v>140.4176370967742</x:v>
      </x:c>
      <x:c r="G309" s="56" t="n">
        <x:f>F141</x:f>
        <x:v>157.4165067204301</x:v>
      </x:c>
      <x:c r="H309" s="57" t="n">
        <x:f>IF(ISNUMBER(G309),IF(G309=0,"n.a.",F309/G309-1),"n.a.")</x:f>
        <x:v>-0.10798657636232334</x:v>
      </x:c>
      <x:c r="I309" s="58" t="n">
        <x:f>F309/J309</x:f>
        <x:v>0.1079057365673741</x:v>
      </x:c>
      <x:c r="J309" s="56" t="n">
        <x:v>1301.2990927419355</x:v>
      </x:c>
    </x:row>
    <x:row r="310" ht="65" customHeight="1">
      <x:c r="A310" s="61" t="n">
        <x:v>45200</x:v>
      </x:c>
      <x:c r="B310" s="32" t="str">
        <x:v>Construcción: elaboración de cemento y canteras</x:v>
      </x:c>
      <x:c r="C310" s="32" t="str">
        <x:v>Industrias sin Aluar</x:v>
      </x:c>
      <x:c r="D310" s="62" t="n">
        <x:v>31</x:v>
      </x:c>
      <x:c r="E310" s="2" t="str">
        <x:v>Completo</x:v>
      </x:c>
      <x:c r="F310" s="56" t="n">
        <x:v>188.02799731182796</x:v>
      </x:c>
      <x:c r="G310" s="56" t="n">
        <x:f>F142</x:f>
        <x:v>195.07546908602149</x:v>
      </x:c>
      <x:c r="H310" s="57" t="n">
        <x:f>IF(ISNUMBER(G310),IF(G310=0,"n.a.",F310/G310-1),"n.a.")</x:f>
        <x:v>-0.03612689902637545</x:v>
      </x:c>
      <x:c r="I310" s="58" t="n">
        <x:f>F310/J310</x:f>
        <x:v>0.14449252931978823</x:v>
      </x:c>
      <x:c r="J310" s="56" t="n">
        <x:v>1301.2990927419355</x:v>
      </x:c>
    </x:row>
    <x:row r="311" ht="65" customHeight="1">
      <x:c r="A311" s="61" t="n">
        <x:v>45200</x:v>
      </x:c>
      <x:c r="B311" s="32" t="str">
        <x:v>Madera y papel</x:v>
      </x:c>
      <x:c r="C311" s="32" t="str">
        <x:v>Industrias sin Aluar</x:v>
      </x:c>
      <x:c r="D311" s="62" t="n">
        <x:v>31</x:v>
      </x:c>
      <x:c r="E311" s="2" t="str">
        <x:v>Completo</x:v>
      </x:c>
      <x:c r="F311" s="56" t="n">
        <x:v>106.23979569892474</x:v>
      </x:c>
      <x:c r="G311" s="56" t="n">
        <x:f>F143</x:f>
        <x:v>108.78326075268816</x:v>
      </x:c>
      <x:c r="H311" s="57" t="n">
        <x:f>IF(ISNUMBER(G311),IF(G311=0,"n.a.",F311/G311-1),"n.a.")</x:f>
        <x:v>-0.023381033406838503</x:v>
      </x:c>
      <x:c r="I311" s="58" t="n">
        <x:f>F311/J311</x:f>
        <x:v>0.08164133540973233</x:v>
      </x:c>
      <x:c r="J311" s="56" t="n">
        <x:v>1301.2990927419355</x:v>
      </x:c>
    </x:row>
    <x:row r="312" ht="65" customHeight="1">
      <x:c r="A312" s="61" t="n">
        <x:v>45200</x:v>
      </x:c>
      <x:c r="B312" s="32" t="str">
        <x:v>Productos metálicos no automotores</x:v>
      </x:c>
      <x:c r="C312" s="32" t="str">
        <x:v>Industrias sin Aluar</x:v>
      </x:c>
      <x:c r="D312" s="62" t="n">
        <x:v>31</x:v>
      </x:c>
      <x:c r="E312" s="2" t="str">
        <x:v>Completo</x:v>
      </x:c>
      <x:c r="F312" s="56" t="n">
        <x:v>50.29255510752688</x:v>
      </x:c>
      <x:c r="G312" s="56" t="n">
        <x:f>F144</x:f>
        <x:v>63.52213440860215</x:v>
      </x:c>
      <x:c r="H312" s="57" t="n">
        <x:f>IF(ISNUMBER(G312),IF(G312=0,"n.a.",F312/G312-1),"n.a.")</x:f>
        <x:v>-0.20826723510228462</x:v>
      </x:c>
      <x:c r="I312" s="58" t="n">
        <x:f>F312/J312</x:f>
        <x:v>0.038647959864135974</x:v>
      </x:c>
      <x:c r="J312" s="56" t="n">
        <x:v>1301.2990927419355</x:v>
      </x:c>
    </x:row>
    <x:row r="313" ht="65" customHeight="1">
      <x:c r="A313" s="61" t="n">
        <x:v>45200</x:v>
      </x:c>
      <x:c r="B313" s="32" t="str">
        <x:v>Gran siderurgia</x:v>
      </x:c>
      <x:c r="C313" s="32" t="str">
        <x:v>Industrias sin Aluar</x:v>
      </x:c>
      <x:c r="D313" s="62" t="n">
        <x:v>31</x:v>
      </x:c>
      <x:c r="E313" s="2" t="str">
        <x:v>Completo</x:v>
      </x:c>
      <x:c r="F313" s="56" t="n">
        <x:v>373.34215860215056</x:v>
      </x:c>
      <x:c r="G313" s="56" t="n">
        <x:f>F145</x:f>
        <x:v>367.2557701612903</x:v>
      </x:c>
      <x:c r="H313" s="57" t="n">
        <x:f>IF(ISNUMBER(G313),IF(G313=0,"n.a.",F313/G313-1),"n.a.")</x:f>
        <x:v>0.016572614878691327</x:v>
      </x:c>
      <x:c r="I313" s="58" t="n">
        <x:f>F313/J313</x:f>
        <x:v>0.2868995764958926</x:v>
      </x:c>
      <x:c r="J313" s="56" t="n">
        <x:v>1301.2990927419355</x:v>
      </x:c>
    </x:row>
    <x:row r="314" ht="65" customHeight="1">
      <x:c r="A314" s="61" t="n">
        <x:v>45200</x:v>
      </x:c>
      <x:c r="B314" s="32" t="str">
        <x:v>Industria textil</x:v>
      </x:c>
      <x:c r="C314" s="32" t="str">
        <x:v>Industrias sin Aluar</x:v>
      </x:c>
      <x:c r="D314" s="62" t="n">
        <x:v>31</x:v>
      </x:c>
      <x:c r="E314" s="2" t="str">
        <x:v>Completo</x:v>
      </x:c>
      <x:c r="F314" s="56" t="n">
        <x:v>62.87235080645161</x:v>
      </x:c>
      <x:c r="G314" s="56" t="n">
        <x:f>F146</x:f>
        <x:v>62.25362768817204</x:v>
      </x:c>
      <x:c r="H314" s="57" t="n">
        <x:f>IF(ISNUMBER(G314),IF(G314=0,"n.a.",F314/G314-1),"n.a.")</x:f>
        <x:v>0.009938748009654219</x:v>
      </x:c>
      <x:c r="I314" s="58" t="n">
        <x:f>F314/J314</x:f>
        <x:v>0.04831506542740671</x:v>
      </x:c>
      <x:c r="J314" s="56" t="n">
        <x:v>1301.2990927419355</x:v>
      </x:c>
    </x:row>
    <x:row r="315" ht="65" customHeight="1">
      <x:c r="A315" s="61" t="n">
        <x:v>45200</x:v>
      </x:c>
      <x:c r="B315" s="32" t="str">
        <x:v>Químicas, caucho, plástico y otros minerales no metálicos</x:v>
      </x:c>
      <x:c r="C315" s="32" t="str">
        <x:v>Industrias sin Aluar</x:v>
      </x:c>
      <x:c r="D315" s="62" t="n">
        <x:v>31</x:v>
      </x:c>
      <x:c r="E315" s="2" t="str">
        <x:v>Completo</x:v>
      </x:c>
      <x:c r="F315" s="56" t="n">
        <x:v>343.069125</x:v>
      </x:c>
      <x:c r="G315" s="56" t="n">
        <x:f>F147</x:f>
        <x:v>325.6305268817204</x:v>
      </x:c>
      <x:c r="H315" s="57" t="n">
        <x:f>IF(ISNUMBER(G315),IF(G315=0,"n.a.",F315/G315-1),"n.a.")</x:f>
        <x:v>0.05355332709520155</x:v>
      </x:c>
      <x:c r="I315" s="58" t="n">
        <x:f>F315/J315</x:f>
        <x:v>0.2636358750370965</x:v>
      </x:c>
      <x:c r="J315" s="56" t="n">
        <x:v>1301.2990927419355</x:v>
      </x:c>
    </x:row>
    <x:row r="316" ht="65" customHeight="1">
      <x:c r="A316" s="61" t="n">
        <x:v>45200</x:v>
      </x:c>
      <x:c r="B316" s="32" t="str">
        <x:v>Extracción de minerales</x:v>
      </x:c>
      <x:c r="C316" s="32" t="str">
        <x:v>Petróleos y minerales</x:v>
      </x:c>
      <x:c r="D316" s="62" t="n">
        <x:v>31</x:v>
      </x:c>
      <x:c r="E316" s="2" t="str">
        <x:v>Completo</x:v>
      </x:c>
      <x:c r="F316" s="56" t="n">
        <x:v>22.651575268817204</x:v>
      </x:c>
      <x:c r="G316" s="56" t="n">
        <x:f>F148</x:f>
        <x:v>20.161274193548387</x:v>
      </x:c>
      <x:c r="H316" s="57" t="n">
        <x:f>IF(ISNUMBER(G316),IF(G316=0,"n.a.",F316/G316-1),"n.a.")</x:f>
        <x:v>0.12351903214855908</x:v>
      </x:c>
      <x:c r="I316" s="58" t="n">
        <x:f>F316/J316</x:f>
        <x:v>0.129393673527337</x:v>
      </x:c>
      <x:c r="J316" s="56" t="n">
        <x:v>175.05937231182796</x:v>
      </x:c>
    </x:row>
    <x:row r="317" ht="65" customHeight="1">
      <x:c r="A317" s="61" t="n">
        <x:v>45200</x:v>
      </x:c>
      <x:c r="B317" s="32" t="str">
        <x:v>Extracción de petróleo</x:v>
      </x:c>
      <x:c r="C317" s="32" t="str">
        <x:v>Petróleos y minerales</x:v>
      </x:c>
      <x:c r="D317" s="62" t="n">
        <x:v>31</x:v>
      </x:c>
      <x:c r="E317" s="2" t="str">
        <x:v>Completo</x:v>
      </x:c>
      <x:c r="F317" s="56" t="n">
        <x:v>152.40779704301076</x:v>
      </x:c>
      <x:c r="G317" s="56" t="n">
        <x:f>F149</x:f>
        <x:v>157.465373655914</x:v>
      </x:c>
      <x:c r="H317" s="57" t="n">
        <x:f>IF(ISNUMBER(G317),IF(G317=0,"n.a.",F317/G317-1),"n.a.")</x:f>
        <x:v>-0.03211865882308074</x:v>
      </x:c>
      <x:c r="I317" s="58" t="n">
        <x:f>F317/J317</x:f>
        <x:v>0.870606326472663</x:v>
      </x:c>
      <x:c r="J317" s="56" t="n">
        <x:v>175.05937231182796</x:v>
      </x:c>
    </x:row>
    <x:row r="318" ht="65" customHeight="1">
      <x:c r="A318" s="61" t="n">
        <x:v>45231</x:v>
      </x:c>
      <x:c r="B318" s="32" t="str">
        <x:v>Cargas y puertos</x:v>
      </x:c>
      <x:c r="C318" s="32" t="str">
        <x:v>Alimentación, comercios y servicios</x:v>
      </x:c>
      <x:c r="D318" s="62" t="n">
        <x:v>30</x:v>
      </x:c>
      <x:c r="E318" s="2" t="str">
        <x:v>Completo</x:v>
      </x:c>
      <x:c r="F318" s="56" t="n">
        <x:v>10.10809861111111</x:v>
      </x:c>
      <x:c r="G318" s="56" t="n">
        <x:f>F150</x:f>
        <x:v>8.462795833333333</x:v>
      </x:c>
      <x:c r="H318" s="57" t="n">
        <x:f>IF(ISNUMBER(G318),IF(G318=0,"n.a.",F318/G318-1),"n.a.")</x:f>
        <x:v>0.1944159838167483</x:v>
      </x:c>
      <x:c r="I318" s="58" t="n">
        <x:f>F318/J318</x:f>
        <x:v>0.025569464215692873</x:v>
      </x:c>
      <x:c r="J318" s="56" t="n">
        <x:v>395.31914027777776</x:v>
      </x:c>
    </x:row>
    <x:row r="319" ht="65" customHeight="1">
      <x:c r="A319" s="61" t="n">
        <x:v>45231</x:v>
      </x:c>
      <x:c r="B319" s="32" t="str">
        <x:v>Comercio y servicios: principalmente supermercados y centros comerciales</x:v>
      </x:c>
      <x:c r="C319" s="32" t="str">
        <x:v>Alimentación, comercios y servicios</x:v>
      </x:c>
      <x:c r="D319" s="62" t="n">
        <x:v>30</x:v>
      </x:c>
      <x:c r="E319" s="2" t="str">
        <x:v>Completo</x:v>
      </x:c>
      <x:c r="F319" s="56" t="n">
        <x:v>36.82725</x:v>
      </x:c>
      <x:c r="G319" s="56" t="n">
        <x:f>F151</x:f>
        <x:v>35.74963888888889</x:v>
      </x:c>
      <x:c r="H319" s="57" t="n">
        <x:f>IF(ISNUMBER(G319),IF(G319=0,"n.a.",F319/G319-1),"n.a.")</x:f>
        <x:v>0.03014327262046934</x:v>
      </x:c>
      <x:c r="I319" s="58" t="n">
        <x:f>F319/J319</x:f>
        <x:v>0.09315827706728974</x:v>
      </x:c>
      <x:c r="J319" s="56" t="n">
        <x:v>395.31914027777776</x:v>
      </x:c>
    </x:row>
    <x:row r="320" ht="65" customHeight="1">
      <x:c r="A320" s="61" t="n">
        <x:v>45231</x:v>
      </x:c>
      <x:c r="B320" s="32" t="str">
        <x:v>Alimentación y artículos de consumo masivo</x:v>
      </x:c>
      <x:c r="C320" s="32" t="str">
        <x:v>Alimentación, comercios y servicios</x:v>
      </x:c>
      <x:c r="D320" s="62" t="n">
        <x:v>30</x:v>
      </x:c>
      <x:c r="E320" s="2" t="str">
        <x:v>Completo</x:v>
      </x:c>
      <x:c r="F320" s="56" t="n">
        <x:v>261.1768861111111</x:v>
      </x:c>
      <x:c r="G320" s="56" t="n">
        <x:f>F152</x:f>
        <x:v>294.71852638888885</x:v>
      </x:c>
      <x:c r="H320" s="57" t="n">
        <x:f>IF(ISNUMBER(G320),IF(G320=0,"n.a.",F320/G320-1),"n.a.")</x:f>
        <x:v>-0.11380906619191855</x:v>
      </x:c>
      <x:c r="I320" s="58" t="n">
        <x:f>F320/J320</x:f>
        <x:v>0.6606735153971819</x:v>
      </x:c>
      <x:c r="J320" s="56" t="n">
        <x:v>395.31914027777776</x:v>
      </x:c>
    </x:row>
    <x:row r="321" ht="65" customHeight="1">
      <x:c r="A321" s="61" t="n">
        <x:v>45231</x:v>
      </x:c>
      <x:c r="B321" s="32" t="str">
        <x:v>Servicios públicos y transporte: agua y transporte en GBA</x:v>
      </x:c>
      <x:c r="C321" s="32" t="str">
        <x:v>Alimentación, comercios y servicios</x:v>
      </x:c>
      <x:c r="D321" s="62" t="n">
        <x:v>30</x:v>
      </x:c>
      <x:c r="E321" s="2" t="str">
        <x:v>Completo</x:v>
      </x:c>
      <x:c r="F321" s="56" t="n">
        <x:v>87.20690555555555</x:v>
      </x:c>
      <x:c r="G321" s="56" t="n">
        <x:f>F153</x:f>
        <x:v>86.6111388888889</x:v>
      </x:c>
      <x:c r="H321" s="57" t="n">
        <x:f>IF(ISNUMBER(G321),IF(G321=0,"n.a.",F321/G321-1),"n.a.")</x:f>
        <x:v>0.006878637947838717</x:v>
      </x:c>
      <x:c r="I321" s="58" t="n">
        <x:f>F321/J321</x:f>
        <x:v>0.22059874331983553</x:v>
      </x:c>
      <x:c r="J321" s="56" t="n">
        <x:v>395.31914027777776</x:v>
      </x:c>
    </x:row>
    <x:row r="322" ht="65" customHeight="1">
      <x:c r="A322" s="61" t="n">
        <x:v>45231</x:v>
      </x:c>
      <x:c r="B322" s="32" t="str">
        <x:v>Industria automotriz</x:v>
      </x:c>
      <x:c r="C322" s="32" t="str">
        <x:v>Industrias sin Aluar</x:v>
      </x:c>
      <x:c r="D322" s="62" t="n">
        <x:v>30</x:v>
      </x:c>
      <x:c r="E322" s="2" t="str">
        <x:v>Completo</x:v>
      </x:c>
      <x:c r="F322" s="56" t="n">
        <x:v>46.246047222222224</x:v>
      </x:c>
      <x:c r="G322" s="56" t="n">
        <x:f>F154</x:f>
        <x:v>42.028394444444444</x:v>
      </x:c>
      <x:c r="H322" s="57" t="n">
        <x:f>IF(ISNUMBER(G322),IF(G322=0,"n.a.",F322/G322-1),"n.a.")</x:f>
        <x:v>0.10035246012913768</x:v>
      </x:c>
      <x:c r="I322" s="58" t="n">
        <x:f>F322/J322</x:f>
        <x:v>0.03544417742715156</x:v>
      </x:c>
      <x:c r="J322" s="56" t="n">
        <x:v>1304.7572430555556</x:v>
      </x:c>
    </x:row>
    <x:row r="323" ht="65" customHeight="1">
      <x:c r="A323" s="61" t="n">
        <x:v>45231</x:v>
      </x:c>
      <x:c r="B323" s="32" t="str">
        <x:v>Derivados de petróleo</x:v>
      </x:c>
      <x:c r="C323" s="32" t="str">
        <x:v>Industrias sin Aluar</x:v>
      </x:c>
      <x:c r="D323" s="62" t="n">
        <x:v>30</x:v>
      </x:c>
      <x:c r="E323" s="2" t="str">
        <x:v>Completo</x:v>
      </x:c>
      <x:c r="F323" s="56" t="n">
        <x:v>166.46679444444445</x:v>
      </x:c>
      <x:c r="G323" s="56" t="n">
        <x:f>F155</x:f>
        <x:v>162.29210972222225</x:v>
      </x:c>
      <x:c r="H323" s="57" t="n">
        <x:f>IF(ISNUMBER(G323),IF(G323=0,"n.a.",F323/G323-1),"n.a.")</x:f>
        <x:v>0.025723275945870316</x:v>
      </x:c>
      <x:c r="I323" s="58" t="n">
        <x:f>F323/J323</x:f>
        <x:v>0.12758449537678207</x:v>
      </x:c>
      <x:c r="J323" s="56" t="n">
        <x:v>1304.7572430555556</x:v>
      </x:c>
    </x:row>
    <x:row r="324" ht="65" customHeight="1">
      <x:c r="A324" s="61" t="n">
        <x:v>45231</x:v>
      </x:c>
      <x:c r="B324" s="32" t="str">
        <x:v>Construcción: elaboración de cemento y canteras</x:v>
      </x:c>
      <x:c r="C324" s="32" t="str">
        <x:v>Industrias sin Aluar</x:v>
      </x:c>
      <x:c r="D324" s="62" t="n">
        <x:v>30</x:v>
      </x:c>
      <x:c r="E324" s="2" t="str">
        <x:v>Completo</x:v>
      </x:c>
      <x:c r="F324" s="56" t="n">
        <x:v>181.767525</x:v>
      </x:c>
      <x:c r="G324" s="56" t="n">
        <x:f>F156</x:f>
        <x:v>184.2408125</x:v>
      </x:c>
      <x:c r="H324" s="57" t="n">
        <x:f>IF(ISNUMBER(G324),IF(G324=0,"n.a.",F324/G324-1),"n.a.")</x:f>
        <x:v>-0.013424210773060885</x:v>
      </x:c>
      <x:c r="I324" s="58" t="n">
        <x:f>F324/J324</x:f>
        <x:v>0.13931137456215714</x:v>
      </x:c>
      <x:c r="J324" s="56" t="n">
        <x:v>1304.7572430555556</x:v>
      </x:c>
    </x:row>
    <x:row r="325" ht="65" customHeight="1">
      <x:c r="A325" s="61" t="n">
        <x:v>45231</x:v>
      </x:c>
      <x:c r="B325" s="32" t="str">
        <x:v>Madera y papel</x:v>
      </x:c>
      <x:c r="C325" s="32" t="str">
        <x:v>Industrias sin Aluar</x:v>
      </x:c>
      <x:c r="D325" s="62" t="n">
        <x:v>30</x:v>
      </x:c>
      <x:c r="E325" s="2" t="str">
        <x:v>Completo</x:v>
      </x:c>
      <x:c r="F325" s="56" t="n">
        <x:v>111.24213333333334</x:v>
      </x:c>
      <x:c r="G325" s="56" t="n">
        <x:f>F157</x:f>
        <x:v>110.09355416666666</x:v>
      </x:c>
      <x:c r="H325" s="57" t="n">
        <x:f>IF(ISNUMBER(G325),IF(G325=0,"n.a.",F325/G325-1),"n.a.")</x:f>
        <x:v>0.010432755808100103</x:v>
      </x:c>
      <x:c r="I325" s="58" t="n">
        <x:f>F325/J325</x:f>
        <x:v>0.08525887395943486</x:v>
      </x:c>
      <x:c r="J325" s="56" t="n">
        <x:v>1304.7572430555556</x:v>
      </x:c>
    </x:row>
    <x:row r="326" ht="65" customHeight="1">
      <x:c r="A326" s="61" t="n">
        <x:v>45231</x:v>
      </x:c>
      <x:c r="B326" s="32" t="str">
        <x:v>Productos metálicos no automotores</x:v>
      </x:c>
      <x:c r="C326" s="32" t="str">
        <x:v>Industrias sin Aluar</x:v>
      </x:c>
      <x:c r="D326" s="62" t="n">
        <x:v>30</x:v>
      </x:c>
      <x:c r="E326" s="2" t="str">
        <x:v>Completo</x:v>
      </x:c>
      <x:c r="F326" s="56" t="n">
        <x:v>49.571956944444445</x:v>
      </x:c>
      <x:c r="G326" s="56" t="n">
        <x:f>F158</x:f>
        <x:v>54.11564722222222</x:v>
      </x:c>
      <x:c r="H326" s="57" t="n">
        <x:f>IF(ISNUMBER(G326),IF(G326=0,"n.a.",F326/G326-1),"n.a.")</x:f>
        <x:v>-0.08396259697531516</x:v>
      </x:c>
      <x:c r="I326" s="58" t="n">
        <x:f>F326/J326</x:f>
        <x:v>0.03799324143114468</x:v>
      </x:c>
      <x:c r="J326" s="56" t="n">
        <x:v>1304.7572430555556</x:v>
      </x:c>
    </x:row>
    <x:row r="327" ht="65" customHeight="1">
      <x:c r="A327" s="61" t="n">
        <x:v>45231</x:v>
      </x:c>
      <x:c r="B327" s="32" t="str">
        <x:v>Gran siderurgia</x:v>
      </x:c>
      <x:c r="C327" s="32" t="str">
        <x:v>Industrias sin Aluar</x:v>
      </x:c>
      <x:c r="D327" s="62" t="n">
        <x:v>30</x:v>
      </x:c>
      <x:c r="E327" s="2" t="str">
        <x:v>Completo</x:v>
      </x:c>
      <x:c r="F327" s="56" t="n">
        <x:v>351.0860930555555</x:v>
      </x:c>
      <x:c r="G327" s="56" t="n">
        <x:f>F159</x:f>
        <x:v>364.3673902777778</x:v>
      </x:c>
      <x:c r="H327" s="57" t="n">
        <x:f>IF(ISNUMBER(G327),IF(G327=0,"n.a.",F327/G327-1),"n.a.")</x:f>
        <x:v>-0.03645029049415538</x:v>
      </x:c>
      <x:c r="I327" s="58" t="n">
        <x:f>F327/J327</x:f>
        <x:v>0.26908154365432907</x:v>
      </x:c>
      <x:c r="J327" s="56" t="n">
        <x:v>1304.7572430555556</x:v>
      </x:c>
    </x:row>
    <x:row r="328" ht="65" customHeight="1">
      <x:c r="A328" s="61" t="n">
        <x:v>45231</x:v>
      </x:c>
      <x:c r="B328" s="32" t="str">
        <x:v>Industria textil</x:v>
      </x:c>
      <x:c r="C328" s="32" t="str">
        <x:v>Industrias sin Aluar</x:v>
      </x:c>
      <x:c r="D328" s="62" t="n">
        <x:v>30</x:v>
      </x:c>
      <x:c r="E328" s="2" t="str">
        <x:v>Completo</x:v>
      </x:c>
      <x:c r="F328" s="56" t="n">
        <x:v>66.27253750000001</x:v>
      </x:c>
      <x:c r="G328" s="56" t="n">
        <x:f>F160</x:f>
        <x:v>65.30156111111111</x:v>
      </x:c>
      <x:c r="H328" s="57" t="n">
        <x:f>IF(ISNUMBER(G328),IF(G328=0,"n.a.",F328/G328-1),"n.a.")</x:f>
        <x:v>0.014869114495391189</x:v>
      </x:c>
      <x:c r="I328" s="58" t="n">
        <x:f>F328/J328</x:f>
        <x:v>0.05079300218698091</x:v>
      </x:c>
      <x:c r="J328" s="56" t="n">
        <x:v>1304.7572430555556</x:v>
      </x:c>
    </x:row>
    <x:row r="329" ht="65" customHeight="1">
      <x:c r="A329" s="61" t="n">
        <x:v>45231</x:v>
      </x:c>
      <x:c r="B329" s="32" t="str">
        <x:v>Químicas, caucho, plástico y otros minerales no metálicos</x:v>
      </x:c>
      <x:c r="C329" s="32" t="str">
        <x:v>Industrias sin Aluar</x:v>
      </x:c>
      <x:c r="D329" s="62" t="n">
        <x:v>30</x:v>
      </x:c>
      <x:c r="E329" s="2" t="str">
        <x:v>Completo</x:v>
      </x:c>
      <x:c r="F329" s="56" t="n">
        <x:v>332.10415555555556</x:v>
      </x:c>
      <x:c r="G329" s="56" t="n">
        <x:f>F161</x:f>
        <x:v>349.0123597222222</x:v>
      </x:c>
      <x:c r="H329" s="57" t="n">
        <x:f>IF(ISNUMBER(G329),IF(G329=0,"n.a.",F329/G329-1),"n.a.")</x:f>
        <x:v>-0.048445860714284805</x:v>
      </x:c>
      <x:c r="I329" s="58" t="n">
        <x:f>F329/J329</x:f>
        <x:v>0.2545332914020197</x:v>
      </x:c>
      <x:c r="J329" s="56" t="n">
        <x:v>1304.7572430555556</x:v>
      </x:c>
    </x:row>
    <x:row r="330" ht="65" customHeight="1">
      <x:c r="A330" s="61" t="n">
        <x:v>45231</x:v>
      </x:c>
      <x:c r="B330" s="32" t="str">
        <x:v>Extracción de minerales</x:v>
      </x:c>
      <x:c r="C330" s="32" t="str">
        <x:v>Petróleos y minerales</x:v>
      </x:c>
      <x:c r="D330" s="62" t="n">
        <x:v>30</x:v>
      </x:c>
      <x:c r="E330" s="2" t="str">
        <x:v>Completo</x:v>
      </x:c>
      <x:c r="F330" s="56" t="n">
        <x:v>22.9203875</x:v>
      </x:c>
      <x:c r="G330" s="56" t="n">
        <x:f>F162</x:f>
        <x:v>19.485816666666665</x:v>
      </x:c>
      <x:c r="H330" s="57" t="n">
        <x:f>IF(ISNUMBER(G330),IF(G330=0,"n.a.",F330/G330-1),"n.a.")</x:f>
        <x:v>0.17626004042256382</x:v>
      </x:c>
      <x:c r="I330" s="58" t="n">
        <x:f>F330/J330</x:f>
        <x:v>0.1381285620502678</x:v>
      </x:c>
      <x:c r="J330" s="56" t="n">
        <x:v>165.9351777777778</x:v>
      </x:c>
    </x:row>
    <x:row r="331" ht="65" customHeight="1">
      <x:c r="A331" s="61" t="n">
        <x:v>45231</x:v>
      </x:c>
      <x:c r="B331" s="32" t="str">
        <x:v>Extracción de petróleo</x:v>
      </x:c>
      <x:c r="C331" s="32" t="str">
        <x:v>Petróleos y minerales</x:v>
      </x:c>
      <x:c r="D331" s="62" t="n">
        <x:v>30</x:v>
      </x:c>
      <x:c r="E331" s="2" t="str">
        <x:v>Completo</x:v>
      </x:c>
      <x:c r="F331" s="56" t="n">
        <x:v>143.01479027777776</x:v>
      </x:c>
      <x:c r="G331" s="56" t="n">
        <x:f>F163</x:f>
        <x:v>150.54812777777778</x:v>
      </x:c>
      <x:c r="H331" s="57" t="n">
        <x:f>IF(ISNUMBER(G331),IF(G331=0,"n.a.",F331/G331-1),"n.a.")</x:f>
        <x:v>-0.050039396777619705</x:v>
      </x:c>
      <x:c r="I331" s="58" t="n">
        <x:f>F331/J331</x:f>
        <x:v>0.861871437949732</x:v>
      </x:c>
      <x:c r="J331" s="56" t="n">
        <x:v>165.9351777777778</x:v>
      </x:c>
    </x:row>
    <x:row r="332" ht="65" customHeight="1">
      <x:c r="A332" s="61" t="n">
        <x:v>45261</x:v>
      </x:c>
      <x:c r="B332" s="32" t="str">
        <x:v>Cargas y puertos</x:v>
      </x:c>
      <x:c r="C332" s="32" t="str">
        <x:v>Alimentación, comercios y servicios</x:v>
      </x:c>
      <x:c r="D332" s="62" t="n">
        <x:v>31</x:v>
      </x:c>
      <x:c r="E332" s="2" t="str">
        <x:v>Completo</x:v>
      </x:c>
      <x:c r="F332" s="56" t="n">
        <x:v>10.850903225806452</x:v>
      </x:c>
      <x:c r="G332" s="56" t="n">
        <x:f>F164</x:f>
        <x:v>9.232108870967743</x:v>
      </x:c>
      <x:c r="H332" s="57" t="n">
        <x:f>IF(ISNUMBER(G332),IF(G332=0,"n.a.",F332/G332-1),"n.a.")</x:f>
        <x:v>0.1753439411800417</x:v>
      </x:c>
      <x:c r="I332" s="58" t="n">
        <x:f>F332/J332</x:f>
        <x:v>0.027696525336008554</x:v>
      </x:c>
      <x:c r="J332" s="56" t="n">
        <x:v>391.778502688172</x:v>
      </x:c>
    </x:row>
    <x:row r="333" ht="65" customHeight="1">
      <x:c r="A333" s="61" t="n">
        <x:v>45261</x:v>
      </x:c>
      <x:c r="B333" s="32" t="str">
        <x:v>Comercio y servicios: principalmente supermercados y centros comerciales</x:v>
      </x:c>
      <x:c r="C333" s="32" t="str">
        <x:v>Alimentación, comercios y servicios</x:v>
      </x:c>
      <x:c r="D333" s="62" t="n">
        <x:v>31</x:v>
      </x:c>
      <x:c r="E333" s="2" t="str">
        <x:v>Completo</x:v>
      </x:c>
      <x:c r="F333" s="56" t="n">
        <x:v>39.50687903225806</x:v>
      </x:c>
      <x:c r="G333" s="56" t="n">
        <x:f>F165</x:f>
        <x:v>38.40540188172044</x:v>
      </x:c>
      <x:c r="H333" s="57" t="n">
        <x:f>IF(ISNUMBER(G333),IF(G333=0,"n.a.",F333/G333-1),"n.a.")</x:f>
        <x:v>0.028680266227389506</x:v>
      </x:c>
      <x:c r="I333" s="58" t="n">
        <x:f>F333/J333</x:f>
        <x:v>0.10083983363350271</x:v>
      </x:c>
      <x:c r="J333" s="56" t="n">
        <x:v>391.778502688172</x:v>
      </x:c>
    </x:row>
    <x:row r="334" ht="65" customHeight="1">
      <x:c r="A334" s="61" t="n">
        <x:v>45261</x:v>
      </x:c>
      <x:c r="B334" s="32" t="str">
        <x:v>Alimentación y artículos de consumo masivo</x:v>
      </x:c>
      <x:c r="C334" s="32" t="str">
        <x:v>Alimentación, comercios y servicios</x:v>
      </x:c>
      <x:c r="D334" s="62" t="n">
        <x:v>31</x:v>
      </x:c>
      <x:c r="E334" s="2" t="str">
        <x:v>Completo</x:v>
      </x:c>
      <x:c r="F334" s="56" t="n">
        <x:v>253.93697983870965</x:v>
      </x:c>
      <x:c r="G334" s="56" t="n">
        <x:f>F166</x:f>
        <x:v>257.60786693548386</x:v>
      </x:c>
      <x:c r="H334" s="57" t="n">
        <x:f>IF(ISNUMBER(G334),IF(G334=0,"n.a.",F334/G334-1),"n.a.")</x:f>
        <x:v>-0.01424990292588213</x:v>
      </x:c>
      <x:c r="I334" s="58" t="n">
        <x:f>F334/J334</x:f>
        <x:v>0.6481646596133569</x:v>
      </x:c>
      <x:c r="J334" s="56" t="n">
        <x:v>391.778502688172</x:v>
      </x:c>
    </x:row>
    <x:row r="335" ht="65" customHeight="1">
      <x:c r="A335" s="61" t="n">
        <x:v>45261</x:v>
      </x:c>
      <x:c r="B335" s="32" t="str">
        <x:v>Servicios públicos y transporte: agua y transporte en GBA</x:v>
      </x:c>
      <x:c r="C335" s="32" t="str">
        <x:v>Alimentación, comercios y servicios</x:v>
      </x:c>
      <x:c r="D335" s="62" t="n">
        <x:v>31</x:v>
      </x:c>
      <x:c r="E335" s="2" t="str">
        <x:v>Completo</x:v>
      </x:c>
      <x:c r="F335" s="56" t="n">
        <x:v>87.48374059139785</x:v>
      </x:c>
      <x:c r="G335" s="56" t="n">
        <x:f>F167</x:f>
        <x:v>87.92454838709678</x:v>
      </x:c>
      <x:c r="H335" s="57" t="n">
        <x:f>IF(ISNUMBER(G335),IF(G335=0,"n.a.",F335/G335-1),"n.a.")</x:f>
        <x:v>-0.005013478076204891</x:v>
      </x:c>
      <x:c r="I335" s="58" t="n">
        <x:f>F335/J335</x:f>
        <x:v>0.2232989814171318</x:v>
      </x:c>
      <x:c r="J335" s="56" t="n">
        <x:v>391.778502688172</x:v>
      </x:c>
    </x:row>
    <x:row r="336" ht="65" customHeight="1">
      <x:c r="A336" s="61" t="n">
        <x:v>45261</x:v>
      </x:c>
      <x:c r="B336" s="32" t="str">
        <x:v>Industria automotriz</x:v>
      </x:c>
      <x:c r="C336" s="32" t="str">
        <x:v>Industrias sin Aluar</x:v>
      </x:c>
      <x:c r="D336" s="62" t="n">
        <x:v>31</x:v>
      </x:c>
      <x:c r="E336" s="2" t="str">
        <x:v>Completo</x:v>
      </x:c>
      <x:c r="F336" s="56" t="n">
        <x:v>37.83376075268817</x:v>
      </x:c>
      <x:c r="G336" s="56" t="n">
        <x:f>F168</x:f>
        <x:v>36.612905913978494</x:v>
      </x:c>
      <x:c r="H336" s="57" t="n">
        <x:f>IF(ISNUMBER(G336),IF(G336=0,"n.a.",F336/G336-1),"n.a.")</x:f>
        <x:v>0.033344931472472084</x:v>
      </x:c>
      <x:c r="I336" s="58" t="n">
        <x:f>F336/J336</x:f>
        <x:v>0.03364282703290467</x:v>
      </x:c>
      <x:c r="J336" s="56" t="n">
        <x:v>1124.5713897849464</x:v>
      </x:c>
    </x:row>
    <x:row r="337" ht="65" customHeight="1">
      <x:c r="A337" s="61" t="n">
        <x:v>45261</x:v>
      </x:c>
      <x:c r="B337" s="32" t="str">
        <x:v>Derivados de petróleo</x:v>
      </x:c>
      <x:c r="C337" s="32" t="str">
        <x:v>Industrias sin Aluar</x:v>
      </x:c>
      <x:c r="D337" s="62" t="n">
        <x:v>31</x:v>
      </x:c>
      <x:c r="E337" s="2" t="str">
        <x:v>Completo</x:v>
      </x:c>
      <x:c r="F337" s="56" t="n">
        <x:v>149.47365860215055</x:v>
      </x:c>
      <x:c r="G337" s="56" t="n">
        <x:f>F169</x:f>
        <x:v>167.18915456989248</x:v>
      </x:c>
      <x:c r="H337" s="57" t="n">
        <x:f>IF(ISNUMBER(G337),IF(G337=0,"n.a.",F337/G337-1),"n.a.")</x:f>
        <x:v>-0.1059607964004392</x:v>
      </x:c>
      <x:c r="I337" s="58" t="n">
        <x:f>F337/J337</x:f>
        <x:v>0.13291611360549963</x:v>
      </x:c>
      <x:c r="J337" s="56" t="n">
        <x:v>1124.5713897849464</x:v>
      </x:c>
    </x:row>
    <x:row r="338" ht="65" customHeight="1">
      <x:c r="A338" s="61" t="n">
        <x:v>45261</x:v>
      </x:c>
      <x:c r="B338" s="32" t="str">
        <x:v>Construcción: elaboración de cemento y canteras</x:v>
      </x:c>
      <x:c r="C338" s="32" t="str">
        <x:v>Industrias sin Aluar</x:v>
      </x:c>
      <x:c r="D338" s="62" t="n">
        <x:v>31</x:v>
      </x:c>
      <x:c r="E338" s="2" t="str">
        <x:v>Completo</x:v>
      </x:c>
      <x:c r="F338" s="56" t="n">
        <x:v>170.31919086021506</x:v>
      </x:c>
      <x:c r="G338" s="56" t="n">
        <x:f>F170</x:f>
        <x:v>177.185125</x:v>
      </x:c>
      <x:c r="H338" s="57" t="n">
        <x:f>IF(ISNUMBER(G338),IF(G338=0,"n.a.",F338/G338-1),"n.a.")</x:f>
        <x:v>-0.03875005951986621</x:v>
      </x:c>
      <x:c r="I338" s="58" t="n">
        <x:f>F338/J338</x:f>
        <x:v>0.15145253774665696</x:v>
      </x:c>
      <x:c r="J338" s="56" t="n">
        <x:v>1124.5713897849464</x:v>
      </x:c>
    </x:row>
    <x:row r="339" ht="65" customHeight="1">
      <x:c r="A339" s="61" t="n">
        <x:v>45261</x:v>
      </x:c>
      <x:c r="B339" s="32" t="str">
        <x:v>Madera y papel</x:v>
      </x:c>
      <x:c r="C339" s="32" t="str">
        <x:v>Industrias sin Aluar</x:v>
      </x:c>
      <x:c r="D339" s="62" t="n">
        <x:v>31</x:v>
      </x:c>
      <x:c r="E339" s="2" t="str">
        <x:v>Completo</x:v>
      </x:c>
      <x:c r="F339" s="56" t="n">
        <x:v>101.91472849462365</x:v>
      </x:c>
      <x:c r="G339" s="56" t="n">
        <x:f>F171</x:f>
        <x:v>104.11995161290322</x:v>
      </x:c>
      <x:c r="H339" s="57" t="n">
        <x:f>IF(ISNUMBER(G339),IF(G339=0,"n.a.",F339/G339-1),"n.a.")</x:f>
        <x:v>-0.02117964025260155</x:v>
      </x:c>
      <x:c r="I339" s="58" t="n">
        <x:f>F339/J339</x:f>
        <x:v>0.09062539685818698</x:v>
      </x:c>
      <x:c r="J339" s="56" t="n">
        <x:v>1124.5713897849464</x:v>
      </x:c>
    </x:row>
    <x:row r="340" ht="65" customHeight="1">
      <x:c r="A340" s="61" t="n">
        <x:v>45261</x:v>
      </x:c>
      <x:c r="B340" s="32" t="str">
        <x:v>Productos metálicos no automotores</x:v>
      </x:c>
      <x:c r="C340" s="32" t="str">
        <x:v>Industrias sin Aluar</x:v>
      </x:c>
      <x:c r="D340" s="62" t="n">
        <x:v>31</x:v>
      </x:c>
      <x:c r="E340" s="2" t="str">
        <x:v>Completo</x:v>
      </x:c>
      <x:c r="F340" s="56" t="n">
        <x:v>40.546857526881716</x:v>
      </x:c>
      <x:c r="G340" s="56" t="n">
        <x:f>F172</x:f>
        <x:v>45.46657795698925</x:v>
      </x:c>
      <x:c r="H340" s="57" t="n">
        <x:f>IF(ISNUMBER(G340),IF(G340=0,"n.a.",F340/G340-1),"n.a.")</x:f>
        <x:v>-0.10820520591546434</x:v>
      </x:c>
      <x:c r="I340" s="58" t="n">
        <x:f>F340/J340</x:f>
        <x:v>0.036055387763897814</x:v>
      </x:c>
      <x:c r="J340" s="56" t="n">
        <x:v>1124.5713897849464</x:v>
      </x:c>
    </x:row>
    <x:row r="341" ht="65" customHeight="1">
      <x:c r="A341" s="61" t="n">
        <x:v>45261</x:v>
      </x:c>
      <x:c r="B341" s="32" t="str">
        <x:v>Gran siderurgia</x:v>
      </x:c>
      <x:c r="C341" s="32" t="str">
        <x:v>Industrias sin Aluar</x:v>
      </x:c>
      <x:c r="D341" s="62" t="n">
        <x:v>31</x:v>
      </x:c>
      <x:c r="E341" s="2" t="str">
        <x:v>Completo</x:v>
      </x:c>
      <x:c r="F341" s="56" t="n">
        <x:v>271.11159005376345</x:v>
      </x:c>
      <x:c r="G341" s="56" t="n">
        <x:f>F173</x:f>
        <x:v>317.68285618279566</x:v>
      </x:c>
      <x:c r="H341" s="57" t="n">
        <x:f>IF(ISNUMBER(G341),IF(G341=0,"n.a.",F341/G341-1),"n.a.")</x:f>
        <x:v>-0.14659672444595173</x:v>
      </x:c>
      <x:c r="I341" s="58" t="n">
        <x:f>F341/J341</x:f>
        <x:v>0.2410799283321698</x:v>
      </x:c>
      <x:c r="J341" s="56" t="n">
        <x:v>1124.5713897849464</x:v>
      </x:c>
    </x:row>
    <x:row r="342" ht="65" customHeight="1">
      <x:c r="A342" s="61" t="n">
        <x:v>45261</x:v>
      </x:c>
      <x:c r="B342" s="32" t="str">
        <x:v>Industria textil</x:v>
      </x:c>
      <x:c r="C342" s="32" t="str">
        <x:v>Industrias sin Aluar</x:v>
      </x:c>
      <x:c r="D342" s="62" t="n">
        <x:v>31</x:v>
      </x:c>
      <x:c r="E342" s="2" t="str">
        <x:v>Completo</x:v>
      </x:c>
      <x:c r="F342" s="56" t="n">
        <x:v>50.00543951612903</x:v>
      </x:c>
      <x:c r="G342" s="56" t="n">
        <x:f>F174</x:f>
        <x:v>48.548680107526884</x:v>
      </x:c>
      <x:c r="H342" s="57" t="n">
        <x:f>IF(ISNUMBER(G342),IF(G342=0,"n.a.",F342/G342-1),"n.a.")</x:f>
        <x:v>0.030006158877557088</x:v>
      </x:c>
      <x:c r="I342" s="58" t="n">
        <x:f>F342/J342</x:f>
        <x:v>0.04446622061556417</x:v>
      </x:c>
      <x:c r="J342" s="56" t="n">
        <x:v>1124.5713897849464</x:v>
      </x:c>
    </x:row>
    <x:row r="343" ht="65" customHeight="1">
      <x:c r="A343" s="61" t="n">
        <x:v>45261</x:v>
      </x:c>
      <x:c r="B343" s="32" t="str">
        <x:v>Químicas, caucho, plástico y otros minerales no metálicos</x:v>
      </x:c>
      <x:c r="C343" s="32" t="str">
        <x:v>Industrias sin Aluar</x:v>
      </x:c>
      <x:c r="D343" s="62" t="n">
        <x:v>31</x:v>
      </x:c>
      <x:c r="E343" s="2" t="str">
        <x:v>Completo</x:v>
      </x:c>
      <x:c r="F343" s="56" t="n">
        <x:v>303.3661639784946</x:v>
      </x:c>
      <x:c r="G343" s="56" t="n">
        <x:f>F175</x:f>
        <x:v>324.8328051075269</x:v>
      </x:c>
      <x:c r="H343" s="57" t="n">
        <x:f>IF(ISNUMBER(G343),IF(G343=0,"n.a.",F343/G343-1),"n.a.")</x:f>
        <x:v>-0.06608520072942248</x:v>
      </x:c>
      <x:c r="I343" s="58" t="n">
        <x:f>F343/J343</x:f>
        <x:v>0.26976158804511985</x:v>
      </x:c>
      <x:c r="J343" s="56" t="n">
        <x:v>1124.5713897849464</x:v>
      </x:c>
    </x:row>
    <x:row r="344" ht="65" customHeight="1">
      <x:c r="A344" s="61" t="n">
        <x:v>45261</x:v>
      </x:c>
      <x:c r="B344" s="32" t="str">
        <x:v>Extracción de minerales</x:v>
      </x:c>
      <x:c r="C344" s="32" t="str">
        <x:v>Petróleos y minerales</x:v>
      </x:c>
      <x:c r="D344" s="62" t="n">
        <x:v>31</x:v>
      </x:c>
      <x:c r="E344" s="2" t="str">
        <x:v>Completo</x:v>
      </x:c>
      <x:c r="F344" s="56" t="n">
        <x:v>20.7108185483871</x:v>
      </x:c>
      <x:c r="G344" s="56" t="n">
        <x:f>F176</x:f>
        <x:v>18.08874193548387</x:v>
      </x:c>
      <x:c r="H344" s="57" t="n">
        <x:f>IF(ISNUMBER(G344),IF(G344=0,"n.a.",F344/G344-1),"n.a.")</x:f>
        <x:v>0.144956272926843</x:v>
      </x:c>
      <x:c r="I344" s="58" t="n">
        <x:f>F344/J344</x:f>
        <x:v>0.1303715780372241</x:v>
      </x:c>
      <x:c r="J344" s="56" t="n">
        <x:v>158.85992069892473</x:v>
      </x:c>
    </x:row>
    <x:row r="345" ht="65" customHeight="1">
      <x:c r="A345" s="61" t="n">
        <x:v>45261</x:v>
      </x:c>
      <x:c r="B345" s="32" t="str">
        <x:v>Extracción de petróleo</x:v>
      </x:c>
      <x:c r="C345" s="32" t="str">
        <x:v>Petróleos y minerales</x:v>
      </x:c>
      <x:c r="D345" s="62" t="n">
        <x:v>31</x:v>
      </x:c>
      <x:c r="E345" s="2" t="str">
        <x:v>Completo</x:v>
      </x:c>
      <x:c r="F345" s="56" t="n">
        <x:v>138.14910215053766</x:v>
      </x:c>
      <x:c r="G345" s="56" t="n">
        <x:f>F177</x:f>
        <x:v>149.72840188172043</x:v>
      </x:c>
      <x:c r="H345" s="57" t="n">
        <x:f>IF(ISNUMBER(G345),IF(G345=0,"n.a.",F345/G345-1),"n.a.")</x:f>
        <x:v>-0.07733535912798939</x:v>
      </x:c>
      <x:c r="I345" s="58" t="n">
        <x:f>F345/J345</x:f>
        <x:v>0.8696284219627761</x:v>
      </x:c>
      <x:c r="J345" s="56" t="n">
        <x:v>158.85992069892473</x:v>
      </x:c>
    </x:row>
    <x:row r="346" ht="65" customHeight="1">
      <x:c r="A346" s="61" t="n">
        <x:v>45292</x:v>
      </x:c>
      <x:c r="B346" s="32" t="str">
        <x:v>Cargas y puertos</x:v>
      </x:c>
      <x:c r="C346" s="32" t="str">
        <x:v>Alimentación, comercios y servicios</x:v>
      </x:c>
      <x:c r="D346" s="62" t="n">
        <x:v>31</x:v>
      </x:c>
      <x:c r="E346" s="2" t="str">
        <x:v>Completo</x:v>
      </x:c>
      <x:c r="F346" s="56" t="n">
        <x:v>12.258646505376344</x:v>
      </x:c>
      <x:c r="G346" s="56" t="n">
        <x:f>F178</x:f>
        <x:v>9.867298387096774</x:v>
      </x:c>
      <x:c r="H346" s="57" t="n">
        <x:f>IF(ISNUMBER(G346),IF(G346=0,"n.a.",F346/G346-1),"n.a.")</x:f>
        <x:v>0.24235084665187356</x:v>
      </x:c>
      <x:c r="I346" s="58" t="n">
        <x:f>F346/J346</x:f>
        <x:v>0.03063206500326105</x:v>
      </x:c>
      <x:c r="J346" s="56" t="n">
        <x:v>400.19001344086024</x:v>
      </x:c>
    </x:row>
    <x:row r="347" ht="65" customHeight="1">
      <x:c r="A347" s="61" t="n">
        <x:v>45292</x:v>
      </x:c>
      <x:c r="B347" s="32" t="str">
        <x:v>Comercio y servicios: principalmente supermercados y centros comerciales</x:v>
      </x:c>
      <x:c r="C347" s="32" t="str">
        <x:v>Alimentación, comercios y servicios</x:v>
      </x:c>
      <x:c r="D347" s="62" t="n">
        <x:v>31</x:v>
      </x:c>
      <x:c r="E347" s="2" t="str">
        <x:v>Completo</x:v>
      </x:c>
      <x:c r="F347" s="56" t="n">
        <x:v>42.51775403225807</x:v>
      </x:c>
      <x:c r="G347" s="56" t="n">
        <x:f>F179</x:f>
        <x:v>39.40074462365592</x:v>
      </x:c>
      <x:c r="H347" s="57" t="n">
        <x:f>IF(ISNUMBER(G347),IF(G347=0,"n.a.",F347/G347-1),"n.a.")</x:f>
        <x:v>0.07911041880997138</x:v>
      </x:c>
      <x:c r="I347" s="58" t="n">
        <x:f>F347/J347</x:f>
        <x:v>0.10624391565068704</x:v>
      </x:c>
      <x:c r="J347" s="56" t="n">
        <x:v>400.19001344086024</x:v>
      </x:c>
    </x:row>
    <x:row r="348" ht="65" customHeight="1">
      <x:c r="A348" s="61" t="n">
        <x:v>45292</x:v>
      </x:c>
      <x:c r="B348" s="32" t="str">
        <x:v>Alimentación y artículos de consumo masivo</x:v>
      </x:c>
      <x:c r="C348" s="32" t="str">
        <x:v>Alimentación, comercios y servicios</x:v>
      </x:c>
      <x:c r="D348" s="62" t="n">
        <x:v>31</x:v>
      </x:c>
      <x:c r="E348" s="2" t="str">
        <x:v>Completo</x:v>
      </x:c>
      <x:c r="F348" s="56" t="n">
        <x:v>257.9740793010753</x:v>
      </x:c>
      <x:c r="G348" s="56" t="n">
        <x:f>F180</x:f>
        <x:v>253.06402956989245</x:v>
      </x:c>
      <x:c r="H348" s="57" t="n">
        <x:f>IF(ISNUMBER(G348),IF(G348=0,"n.a.",F348/G348-1),"n.a.")</x:f>
        <x:v>0.01940240080555089</x:v>
      </x:c>
      <x:c r="I348" s="58" t="n">
        <x:f>F348/J348</x:f>
        <x:v>0.6446289778273002</x:v>
      </x:c>
      <x:c r="J348" s="56" t="n">
        <x:v>400.19001344086024</x:v>
      </x:c>
    </x:row>
    <x:row r="349" ht="65" customHeight="1">
      <x:c r="A349" s="61" t="n">
        <x:v>45292</x:v>
      </x:c>
      <x:c r="B349" s="32" t="str">
        <x:v>Servicios públicos y transporte: agua y transporte en GBA</x:v>
      </x:c>
      <x:c r="C349" s="32" t="str">
        <x:v>Alimentación, comercios y servicios</x:v>
      </x:c>
      <x:c r="D349" s="62" t="n">
        <x:v>31</x:v>
      </x:c>
      <x:c r="E349" s="2" t="str">
        <x:v>Completo</x:v>
      </x:c>
      <x:c r="F349" s="56" t="n">
        <x:v>87.43953360215055</x:v>
      </x:c>
      <x:c r="G349" s="56" t="n">
        <x:f>F181</x:f>
        <x:v>91.0561115591398</x:v>
      </x:c>
      <x:c r="H349" s="57" t="n">
        <x:f>IF(ISNUMBER(G349),IF(G349=0,"n.a.",F349/G349-1),"n.a.")</x:f>
        <x:v>-0.03971812429789867</x:v>
      </x:c>
      <x:c r="I349" s="58" t="n">
        <x:f>F349/J349</x:f>
        <x:v>0.21849504151875168</x:v>
      </x:c>
      <x:c r="J349" s="56" t="n">
        <x:v>400.19001344086024</x:v>
      </x:c>
    </x:row>
    <x:row r="350" ht="65" customHeight="1">
      <x:c r="A350" s="61" t="n">
        <x:v>45292</x:v>
      </x:c>
      <x:c r="B350" s="32" t="str">
        <x:v>Industria automotriz</x:v>
      </x:c>
      <x:c r="C350" s="32" t="str">
        <x:v>Industrias sin Aluar</x:v>
      </x:c>
      <x:c r="D350" s="62" t="n">
        <x:v>31</x:v>
      </x:c>
      <x:c r="E350" s="2" t="str">
        <x:v>Completo</x:v>
      </x:c>
      <x:c r="F350" s="56" t="n">
        <x:v>31.595293010752687</x:v>
      </x:c>
      <x:c r="G350" s="56" t="n">
        <x:f>F182</x:f>
        <x:v>30.346767473118277</x:v>
      </x:c>
      <x:c r="H350" s="57" t="n">
        <x:f>IF(ISNUMBER(G350),IF(G350=0,"n.a.",F350/G350-1),"n.a.")</x:f>
        <x:v>0.04114196145406179</x:v>
      </x:c>
      <x:c r="I350" s="58" t="n">
        <x:f>F350/J350</x:f>
        <x:v>0.028197445461094296</x:v>
      </x:c>
      <x:c r="J350" s="56" t="n">
        <x:v>1120.5019637096773</x:v>
      </x:c>
    </x:row>
    <x:row r="351" ht="65" customHeight="1">
      <x:c r="A351" s="61" t="n">
        <x:v>45292</x:v>
      </x:c>
      <x:c r="B351" s="32" t="str">
        <x:v>Derivados de petróleo</x:v>
      </x:c>
      <x:c r="C351" s="32" t="str">
        <x:v>Industrias sin Aluar</x:v>
      </x:c>
      <x:c r="D351" s="62" t="n">
        <x:v>31</x:v>
      </x:c>
      <x:c r="E351" s="2" t="str">
        <x:v>Completo</x:v>
      </x:c>
      <x:c r="F351" s="56" t="n">
        <x:v>155.5409502688172</x:v>
      </x:c>
      <x:c r="G351" s="56" t="n">
        <x:f>F183</x:f>
        <x:v>161.63064516129032</x:v>
      </x:c>
      <x:c r="H351" s="57" t="n">
        <x:f>IF(ISNUMBER(G351),IF(G351=0,"n.a.",F351/G351-1),"n.a.")</x:f>
        <x:v>-0.03767661068478845</x:v>
      </x:c>
      <x:c r="I351" s="58" t="n">
        <x:f>F351/J351</x:f>
        <x:v>0.13881363469802713</x:v>
      </x:c>
      <x:c r="J351" s="56" t="n">
        <x:v>1120.5019637096773</x:v>
      </x:c>
    </x:row>
    <x:row r="352" ht="65" customHeight="1">
      <x:c r="A352" s="61" t="n">
        <x:v>45292</x:v>
      </x:c>
      <x:c r="B352" s="32" t="str">
        <x:v>Construcción: elaboración de cemento y canteras</x:v>
      </x:c>
      <x:c r="C352" s="32" t="str">
        <x:v>Industrias sin Aluar</x:v>
      </x:c>
      <x:c r="D352" s="62" t="n">
        <x:v>31</x:v>
      </x:c>
      <x:c r="E352" s="2" t="str">
        <x:v>Completo</x:v>
      </x:c>
      <x:c r="F352" s="56" t="n">
        <x:v>133.46189112903227</x:v>
      </x:c>
      <x:c r="G352" s="56" t="n">
        <x:f>F184</x:f>
        <x:v>155.53374059139784</x:v>
      </x:c>
      <x:c r="H352" s="57" t="n">
        <x:f>IF(ISNUMBER(G352),IF(G352=0,"n.a.",F352/G352-1),"n.a.")</x:f>
        <x:v>-0.14191036220462583</x:v>
      </x:c>
      <x:c r="I352" s="58" t="n">
        <x:f>F352/J352</x:f>
        <x:v>0.11910902028870725</x:v>
      </x:c>
      <x:c r="J352" s="56" t="n">
        <x:v>1120.5019637096773</x:v>
      </x:c>
    </x:row>
    <x:row r="353" ht="65" customHeight="1">
      <x:c r="A353" s="61" t="n">
        <x:v>45292</x:v>
      </x:c>
      <x:c r="B353" s="32" t="str">
        <x:v>Madera y papel</x:v>
      </x:c>
      <x:c r="C353" s="32" t="str">
        <x:v>Industrias sin Aluar</x:v>
      </x:c>
      <x:c r="D353" s="62" t="n">
        <x:v>31</x:v>
      </x:c>
      <x:c r="E353" s="2" t="str">
        <x:v>Completo</x:v>
      </x:c>
      <x:c r="F353" s="56" t="n">
        <x:v>105.33960752688172</x:v>
      </x:c>
      <x:c r="G353" s="56" t="n">
        <x:f>F185</x:f>
        <x:v>109.55588844086022</x:v>
      </x:c>
      <x:c r="H353" s="57" t="n">
        <x:f>IF(ISNUMBER(G353),IF(G353=0,"n.a.",F353/G353-1),"n.a.")</x:f>
        <x:v>-0.03848520580666459</x:v>
      </x:c>
      <x:c r="I353" s="58" t="n">
        <x:f>F353/J353</x:f>
        <x:v>0.09401108694011649</x:v>
      </x:c>
      <x:c r="J353" s="56" t="n">
        <x:v>1120.5019637096773</x:v>
      </x:c>
    </x:row>
    <x:row r="354" ht="65" customHeight="1">
      <x:c r="A354" s="61" t="n">
        <x:v>45292</x:v>
      </x:c>
      <x:c r="B354" s="32" t="str">
        <x:v>Productos metálicos no automotores</x:v>
      </x:c>
      <x:c r="C354" s="32" t="str">
        <x:v>Industrias sin Aluar</x:v>
      </x:c>
      <x:c r="D354" s="62" t="n">
        <x:v>31</x:v>
      </x:c>
      <x:c r="E354" s="2" t="str">
        <x:v>Completo</x:v>
      </x:c>
      <x:c r="F354" s="56" t="n">
        <x:v>39.070408602150536</x:v>
      </x:c>
      <x:c r="G354" s="56" t="n">
        <x:f>F186</x:f>
        <x:v>44.24393548387097</x:v>
      </x:c>
      <x:c r="H354" s="57" t="n">
        <x:f>IF(ISNUMBER(G354),IF(G354=0,"n.a.",F354/G354-1),"n.a.")</x:f>
        <x:v>-0.11693188739067828</x:v>
      </x:c>
      <x:c r="I354" s="58" t="n">
        <x:f>F354/J354</x:f>
        <x:v>0.03486866589041847</x:v>
      </x:c>
      <x:c r="J354" s="56" t="n">
        <x:v>1120.5019637096773</x:v>
      </x:c>
    </x:row>
    <x:row r="355" ht="65" customHeight="1">
      <x:c r="A355" s="61" t="n">
        <x:v>45292</x:v>
      </x:c>
      <x:c r="B355" s="32" t="str">
        <x:v>Gran siderurgia</x:v>
      </x:c>
      <x:c r="C355" s="32" t="str">
        <x:v>Industrias sin Aluar</x:v>
      </x:c>
      <x:c r="D355" s="62" t="n">
        <x:v>31</x:v>
      </x:c>
      <x:c r="E355" s="2" t="str">
        <x:v>Completo</x:v>
      </x:c>
      <x:c r="F355" s="56" t="n">
        <x:v>327.53325403225807</x:v>
      </x:c>
      <x:c r="G355" s="56" t="n">
        <x:f>F187</x:f>
        <x:v>335.34868951612907</x:v>
      </x:c>
      <x:c r="H355" s="57" t="n">
        <x:f>IF(ISNUMBER(G355),IF(G355=0,"n.a.",F355/G355-1),"n.a.")</x:f>
        <x:v>-0.023305400403227483</x:v>
      </x:c>
      <x:c r="I355" s="58" t="n">
        <x:f>F355/J355</x:f>
        <x:v>0.2923093976095183</x:v>
      </x:c>
      <x:c r="J355" s="56" t="n">
        <x:v>1120.5019637096773</x:v>
      </x:c>
    </x:row>
    <x:row r="356" ht="65" customHeight="1">
      <x:c r="A356" s="61" t="n">
        <x:v>45292</x:v>
      </x:c>
      <x:c r="B356" s="32" t="str">
        <x:v>Industria textil</x:v>
      </x:c>
      <x:c r="C356" s="32" t="str">
        <x:v>Industrias sin Aluar</x:v>
      </x:c>
      <x:c r="D356" s="62" t="n">
        <x:v>31</x:v>
      </x:c>
      <x:c r="E356" s="2" t="str">
        <x:v>Completo</x:v>
      </x:c>
      <x:c r="F356" s="56" t="n">
        <x:v>36.94760752688172</x:v>
      </x:c>
      <x:c r="G356" s="56" t="n">
        <x:f>F188</x:f>
        <x:v>43.68027688172043</x:v>
      </x:c>
      <x:c r="H356" s="57" t="n">
        <x:f>IF(ISNUMBER(G356),IF(G356=0,"n.a.",F356/G356-1),"n.a.")</x:f>
        <x:v>-0.15413522613580866</x:v>
      </x:c>
      <x:c r="I356" s="58" t="n">
        <x:f>F356/J356</x:f>
        <x:v>0.032974156872120276</x:v>
      </x:c>
      <x:c r="J356" s="56" t="n">
        <x:v>1120.5019637096773</x:v>
      </x:c>
    </x:row>
    <x:row r="357" ht="65" customHeight="1">
      <x:c r="A357" s="61" t="n">
        <x:v>45292</x:v>
      </x:c>
      <x:c r="B357" s="32" t="str">
        <x:v>Químicas, caucho, plástico y otros minerales no metálicos</x:v>
      </x:c>
      <x:c r="C357" s="32" t="str">
        <x:v>Industrias sin Aluar</x:v>
      </x:c>
      <x:c r="D357" s="62" t="n">
        <x:v>31</x:v>
      </x:c>
      <x:c r="E357" s="2" t="str">
        <x:v>Completo</x:v>
      </x:c>
      <x:c r="F357" s="56" t="n">
        <x:v>291.01295161290324</x:v>
      </x:c>
      <x:c r="G357" s="56" t="n">
        <x:f>F189</x:f>
        <x:v>322.3582688172043</x:v>
      </x:c>
      <x:c r="H357" s="57" t="n">
        <x:f>IF(ISNUMBER(G357),IF(G357=0,"n.a.",F357/G357-1),"n.a.")</x:f>
        <x:v>-0.09723751563536176</x:v>
      </x:c>
      <x:c r="I357" s="58" t="n">
        <x:f>F357/J357</x:f>
        <x:v>0.25971659223999793</x:v>
      </x:c>
      <x:c r="J357" s="56" t="n">
        <x:v>1120.5019637096773</x:v>
      </x:c>
    </x:row>
    <x:row r="358" ht="65" customHeight="1">
      <x:c r="A358" s="61" t="n">
        <x:v>45292</x:v>
      </x:c>
      <x:c r="B358" s="32" t="str">
        <x:v>Extracción de minerales</x:v>
      </x:c>
      <x:c r="C358" s="32" t="str">
        <x:v>Petróleos y minerales</x:v>
      </x:c>
      <x:c r="D358" s="62" t="n">
        <x:v>31</x:v>
      </x:c>
      <x:c r="E358" s="2" t="str">
        <x:v>Completo</x:v>
      </x:c>
      <x:c r="F358" s="56" t="n">
        <x:v>20.743166666666667</x:v>
      </x:c>
      <x:c r="G358" s="56" t="n">
        <x:f>F190</x:f>
        <x:v>19.24130510752688</x:v>
      </x:c>
      <x:c r="H358" s="57" t="n">
        <x:f>IF(ISNUMBER(G358),IF(G358=0,"n.a.",F358/G358-1),"n.a.")</x:f>
        <x:v>0.07805403795360455</x:v>
      </x:c>
      <x:c r="I358" s="58" t="n">
        <x:f>F358/J358</x:f>
        <x:v>0.1289882615696928</x:v>
      </x:c>
      <x:c r="J358" s="56" t="n">
        <x:v>160.81437499999998</x:v>
      </x:c>
    </x:row>
    <x:row r="359" ht="65" customHeight="1">
      <x:c r="A359" s="61" t="n">
        <x:v>45292</x:v>
      </x:c>
      <x:c r="B359" s="32" t="str">
        <x:v>Extracción de petróleo</x:v>
      </x:c>
      <x:c r="C359" s="32" t="str">
        <x:v>Petróleos y minerales</x:v>
      </x:c>
      <x:c r="D359" s="62" t="n">
        <x:v>31</x:v>
      </x:c>
      <x:c r="E359" s="2" t="str">
        <x:v>Completo</x:v>
      </x:c>
      <x:c r="F359" s="56" t="n">
        <x:v>140.07120833333335</x:v>
      </x:c>
      <x:c r="G359" s="56" t="n">
        <x:f>F191</x:f>
        <x:v>146.68221639784946</x:v>
      </x:c>
      <x:c r="H359" s="57" t="n">
        <x:f>IF(ISNUMBER(G359),IF(G359=0,"n.a.",F359/G359-1),"n.a.")</x:f>
        <x:v>-0.04507027659430052</x:v>
      </x:c>
      <x:c r="I359" s="58" t="n">
        <x:f>F359/J359</x:f>
        <x:v>0.8710117384303073</x:v>
      </x:c>
      <x:c r="J359" s="56" t="n">
        <x:v>160.81437499999998</x:v>
      </x:c>
    </x:row>
    <x:row r="360" ht="65" customHeight="1">
      <x:c r="A360" s="61" t="n">
        <x:v>45323</x:v>
      </x:c>
      <x:c r="B360" s="32" t="str">
        <x:v>Cargas y puertos</x:v>
      </x:c>
      <x:c r="C360" s="32" t="str">
        <x:v>Alimentación, comercios y servicios</x:v>
      </x:c>
      <x:c r="D360" s="62" t="n">
        <x:v>29</x:v>
      </x:c>
      <x:c r="E360" s="2" t="str">
        <x:v>Completo</x:v>
      </x:c>
      <x:c r="F360" s="56" t="n">
        <x:v>12.43189511494253</x:v>
      </x:c>
      <x:c r="G360" s="56" t="n">
        <x:f>F192</x:f>
        <x:v>9.33863392857143</x:v>
      </x:c>
      <x:c r="H360" s="57" t="n">
        <x:f>IF(ISNUMBER(G360),IF(G360=0,"n.a.",F360/G360-1),"n.a.")</x:f>
        <x:v>0.33123272740216403</x:v>
      </x:c>
      <x:c r="I360" s="58" t="n">
        <x:f>F360/J360</x:f>
        <x:v>0.029637503822175233</x:v>
      </x:c>
      <x:c r="J360" s="56" t="n">
        <x:v>419.46498563218387</x:v>
      </x:c>
    </x:row>
    <x:row r="361" ht="65" customHeight="1">
      <x:c r="A361" s="61" t="n">
        <x:v>45323</x:v>
      </x:c>
      <x:c r="B361" s="32" t="str">
        <x:v>Comercio y servicios: principalmente supermercados y centros comerciales</x:v>
      </x:c>
      <x:c r="C361" s="32" t="str">
        <x:v>Alimentación, comercios y servicios</x:v>
      </x:c>
      <x:c r="D361" s="62" t="n">
        <x:v>29</x:v>
      </x:c>
      <x:c r="E361" s="2" t="str">
        <x:v>Completo</x:v>
      </x:c>
      <x:c r="F361" s="56" t="n">
        <x:v>43.13083045977011</x:v>
      </x:c>
      <x:c r="G361" s="56" t="n">
        <x:f>F193</x:f>
        <x:v>38.53780952380952</x:v>
      </x:c>
      <x:c r="H361" s="57" t="n">
        <x:f>IF(ISNUMBER(G361),IF(G361=0,"n.a.",F361/G361-1),"n.a.")</x:f>
        <x:v>0.11918220035632587</x:v>
      </x:c>
      <x:c r="I361" s="58" t="n">
        <x:f>F361/J361</x:f>
        <x:v>0.1028234344632289</x:v>
      </x:c>
      <x:c r="J361" s="56" t="n">
        <x:v>419.46498563218387</x:v>
      </x:c>
    </x:row>
    <x:row r="362" ht="65" customHeight="1">
      <x:c r="A362" s="61" t="n">
        <x:v>45323</x:v>
      </x:c>
      <x:c r="B362" s="32" t="str">
        <x:v>Alimentación y artículos de consumo masivo</x:v>
      </x:c>
      <x:c r="C362" s="32" t="str">
        <x:v>Alimentación, comercios y servicios</x:v>
      </x:c>
      <x:c r="D362" s="62" t="n">
        <x:v>29</x:v>
      </x:c>
      <x:c r="E362" s="2" t="str">
        <x:v>Completo</x:v>
      </x:c>
      <x:c r="F362" s="56" t="n">
        <x:v>276.799716954023</x:v>
      </x:c>
      <x:c r="G362" s="56" t="n">
        <x:f>F194</x:f>
        <x:v>262.4367589285714</x:v>
      </x:c>
      <x:c r="H362" s="57" t="n">
        <x:f>IF(ISNUMBER(G362),IF(G362=0,"n.a.",F362/G362-1),"n.a.")</x:f>
        <x:v>0.05472921584647672</x:v>
      </x:c>
      <x:c r="I362" s="58" t="n">
        <x:f>F362/J362</x:f>
        <x:v>0.6598875387342586</x:v>
      </x:c>
      <x:c r="J362" s="56" t="n">
        <x:v>419.46498563218387</x:v>
      </x:c>
    </x:row>
    <x:row r="363" ht="65" customHeight="1">
      <x:c r="A363" s="61" t="n">
        <x:v>45323</x:v>
      </x:c>
      <x:c r="B363" s="32" t="str">
        <x:v>Servicios públicos y transporte: agua y transporte en GBA</x:v>
      </x:c>
      <x:c r="C363" s="32" t="str">
        <x:v>Alimentación, comercios y servicios</x:v>
      </x:c>
      <x:c r="D363" s="62" t="n">
        <x:v>29</x:v>
      </x:c>
      <x:c r="E363" s="2" t="str">
        <x:v>Completo</x:v>
      </x:c>
      <x:c r="F363" s="56" t="n">
        <x:v>87.10254310344828</x:v>
      </x:c>
      <x:c r="G363" s="56" t="n">
        <x:f>F195</x:f>
        <x:v>90.42203571428571</x:v>
      </x:c>
      <x:c r="H363" s="57" t="n">
        <x:f>IF(ISNUMBER(G363),IF(G363=0,"n.a.",F363/G363-1),"n.a.")</x:f>
        <x:v>-0.03671110238356401</x:v>
      </x:c>
      <x:c r="I363" s="58" t="n">
        <x:f>F363/J363</x:f>
        <x:v>0.2076515229803373</x:v>
      </x:c>
      <x:c r="J363" s="56" t="n">
        <x:v>419.46498563218387</x:v>
      </x:c>
    </x:row>
    <x:row r="364" ht="65" customHeight="1">
      <x:c r="A364" s="61" t="n">
        <x:v>45323</x:v>
      </x:c>
      <x:c r="B364" s="32" t="str">
        <x:v>Industria automotriz</x:v>
      </x:c>
      <x:c r="C364" s="32" t="str">
        <x:v>Industrias sin Aluar</x:v>
      </x:c>
      <x:c r="D364" s="62" t="n">
        <x:v>29</x:v>
      </x:c>
      <x:c r="E364" s="2" t="str">
        <x:v>Completo</x:v>
      </x:c>
      <x:c r="F364" s="56" t="n">
        <x:v>43.718198275862065</x:v>
      </x:c>
      <x:c r="G364" s="56" t="n">
        <x:f>F196</x:f>
        <x:v>41.615912202380954</x:v>
      </x:c>
      <x:c r="H364" s="57" t="n">
        <x:f>IF(ISNUMBER(G364),IF(G364=0,"n.a.",F364/G364-1),"n.a.")</x:f>
        <x:v>0.05051640015140246</x:v>
      </x:c>
      <x:c r="I364" s="58" t="n">
        <x:f>F364/J364</x:f>
        <x:v>0.038380677425976194</x:v>
      </x:c>
      <x:c r="J364" s="56" t="n">
        <x:v>1139.0679166666666</x:v>
      </x:c>
    </x:row>
    <x:row r="365" ht="65" customHeight="1">
      <x:c r="A365" s="61" t="n">
        <x:v>45323</x:v>
      </x:c>
      <x:c r="B365" s="32" t="str">
        <x:v>Derivados de petróleo</x:v>
      </x:c>
      <x:c r="C365" s="32" t="str">
        <x:v>Industrias sin Aluar</x:v>
      </x:c>
      <x:c r="D365" s="62" t="n">
        <x:v>29</x:v>
      </x:c>
      <x:c r="E365" s="2" t="str">
        <x:v>Completo</x:v>
      </x:c>
      <x:c r="F365" s="56" t="n">
        <x:v>151.13160344827585</x:v>
      </x:c>
      <x:c r="G365" s="56" t="n">
        <x:f>F197</x:f>
        <x:v>154.5521681547619</x:v>
      </x:c>
      <x:c r="H365" s="57" t="n">
        <x:f>IF(ISNUMBER(G365),IF(G365=0,"n.a.",F365/G365-1),"n.a.")</x:f>
        <x:v>-0.022132104307076572</x:v>
      </x:c>
      <x:c r="I365" s="58" t="n">
        <x:f>F365/J365</x:f>
        <x:v>0.13268006344217187</x:v>
      </x:c>
      <x:c r="J365" s="56" t="n">
        <x:v>1139.0679166666666</x:v>
      </x:c>
    </x:row>
    <x:row r="366" ht="65" customHeight="1">
      <x:c r="A366" s="61" t="n">
        <x:v>45323</x:v>
      </x:c>
      <x:c r="B366" s="32" t="str">
        <x:v>Construcción: elaboración de cemento y canteras</x:v>
      </x:c>
      <x:c r="C366" s="32" t="str">
        <x:v>Industrias sin Aluar</x:v>
      </x:c>
      <x:c r="D366" s="62" t="n">
        <x:v>29</x:v>
      </x:c>
      <x:c r="E366" s="2" t="str">
        <x:v>Completo</x:v>
      </x:c>
      <x:c r="F366" s="56" t="n">
        <x:v>151.32458333333335</x:v>
      </x:c>
      <x:c r="G366" s="56" t="n">
        <x:f>F198</x:f>
        <x:v>173.6812857142857</x:v>
      </x:c>
      <x:c r="H366" s="57" t="n">
        <x:f>IF(ISNUMBER(G366),IF(G366=0,"n.a.",F366/G366-1),"n.a.")</x:f>
        <x:v>-0.12872257531378617</x:v>
      </x:c>
      <x:c r="I366" s="58" t="n">
        <x:f>F366/J366</x:f>
        <x:v>0.1328494825630459</x:v>
      </x:c>
      <x:c r="J366" s="56" t="n">
        <x:v>1139.0679166666666</x:v>
      </x:c>
    </x:row>
    <x:row r="367" ht="65" customHeight="1">
      <x:c r="A367" s="61" t="n">
        <x:v>45323</x:v>
      </x:c>
      <x:c r="B367" s="32" t="str">
        <x:v>Madera y papel</x:v>
      </x:c>
      <x:c r="C367" s="32" t="str">
        <x:v>Industrias sin Aluar</x:v>
      </x:c>
      <x:c r="D367" s="62" t="n">
        <x:v>29</x:v>
      </x:c>
      <x:c r="E367" s="2" t="str">
        <x:v>Completo</x:v>
      </x:c>
      <x:c r="F367" s="56" t="n">
        <x:v>105.27016522988505</x:v>
      </x:c>
      <x:c r="G367" s="56" t="n">
        <x:f>F199</x:f>
        <x:v>109.72295982142857</x:v>
      </x:c>
      <x:c r="H367" s="57" t="n">
        <x:f>IF(ISNUMBER(G367),IF(G367=0,"n.a.",F367/G367-1),"n.a.")</x:f>
        <x:v>-0.040582158909952315</x:v>
      </x:c>
      <x:c r="I367" s="58" t="n">
        <x:f>F367/J367</x:f>
        <x:v>0.09241781257253248</x:v>
      </x:c>
      <x:c r="J367" s="56" t="n">
        <x:v>1139.0679166666666</x:v>
      </x:c>
    </x:row>
    <x:row r="368" ht="65" customHeight="1">
      <x:c r="A368" s="61" t="n">
        <x:v>45323</x:v>
      </x:c>
      <x:c r="B368" s="32" t="str">
        <x:v>Productos metálicos no automotores</x:v>
      </x:c>
      <x:c r="C368" s="32" t="str">
        <x:v>Industrias sin Aluar</x:v>
      </x:c>
      <x:c r="D368" s="62" t="n">
        <x:v>29</x:v>
      </x:c>
      <x:c r="E368" s="2" t="str">
        <x:v>Completo</x:v>
      </x:c>
      <x:c r="F368" s="56" t="n">
        <x:v>41.61290373563218</x:v>
      </x:c>
      <x:c r="G368" s="56" t="n">
        <x:f>F200</x:f>
        <x:v>43.812755952380954</x:v>
      </x:c>
      <x:c r="H368" s="57" t="n">
        <x:f>IF(ISNUMBER(G368),IF(G368=0,"n.a.",F368/G368-1),"n.a.")</x:f>
        <x:v>-0.05021031361596473</x:v>
      </x:c>
      <x:c r="I368" s="58" t="n">
        <x:f>F368/J368</x:f>
        <x:v>0.03653241665993623</x:v>
      </x:c>
      <x:c r="J368" s="56" t="n">
        <x:v>1139.0679166666666</x:v>
      </x:c>
    </x:row>
    <x:row r="369" ht="65" customHeight="1">
      <x:c r="A369" s="61" t="n">
        <x:v>45323</x:v>
      </x:c>
      <x:c r="B369" s="32" t="str">
        <x:v>Gran siderurgia</x:v>
      </x:c>
      <x:c r="C369" s="32" t="str">
        <x:v>Industrias sin Aluar</x:v>
      </x:c>
      <x:c r="D369" s="62" t="n">
        <x:v>29</x:v>
      </x:c>
      <x:c r="E369" s="2" t="str">
        <x:v>Completo</x:v>
      </x:c>
      <x:c r="F369" s="56" t="n">
        <x:v>244.07468390804598</x:v>
      </x:c>
      <x:c r="G369" s="56" t="n">
        <x:f>F201</x:f>
        <x:v>276.4356294642857</x:v>
      </x:c>
      <x:c r="H369" s="57" t="n">
        <x:f>IF(ISNUMBER(G369),IF(G369=0,"n.a.",F369/G369-1),"n.a.")</x:f>
        <x:v>-0.11706503108500566</x:v>
      </x:c>
      <x:c r="I369" s="58" t="n">
        <x:f>F369/J369</x:f>
        <x:v>0.21427579544361028</x:v>
      </x:c>
      <x:c r="J369" s="56" t="n">
        <x:v>1139.0679166666666</x:v>
      </x:c>
    </x:row>
    <x:row r="370" ht="65" customHeight="1">
      <x:c r="A370" s="61" t="n">
        <x:v>45323</x:v>
      </x:c>
      <x:c r="B370" s="32" t="str">
        <x:v>Industria textil</x:v>
      </x:c>
      <x:c r="C370" s="32" t="str">
        <x:v>Industrias sin Aluar</x:v>
      </x:c>
      <x:c r="D370" s="62" t="n">
        <x:v>29</x:v>
      </x:c>
      <x:c r="E370" s="2" t="str">
        <x:v>Completo</x:v>
      </x:c>
      <x:c r="F370" s="56" t="n">
        <x:v>61.237347701149424</x:v>
      </x:c>
      <x:c r="G370" s="56" t="n">
        <x:f>F202</x:f>
        <x:v>64.85231398809523</x:v>
      </x:c>
      <x:c r="H370" s="57" t="n">
        <x:f>IF(ISNUMBER(G370),IF(G370=0,"n.a.",F370/G370-1),"n.a.")</x:f>
        <x:v>-0.055741515832563815</x:v>
      </x:c>
      <x:c r="I370" s="58" t="n">
        <x:f>F370/J370</x:f>
        <x:v>0.0537609275137452</x:v>
      </x:c>
      <x:c r="J370" s="56" t="n">
        <x:v>1139.0679166666666</x:v>
      </x:c>
    </x:row>
    <x:row r="371" ht="65" customHeight="1">
      <x:c r="A371" s="61" t="n">
        <x:v>45323</x:v>
      </x:c>
      <x:c r="B371" s="32" t="str">
        <x:v>Químicas, caucho, plástico y otros minerales no metálicos</x:v>
      </x:c>
      <x:c r="C371" s="32" t="str">
        <x:v>Industrias sin Aluar</x:v>
      </x:c>
      <x:c r="D371" s="62" t="n">
        <x:v>29</x:v>
      </x:c>
      <x:c r="E371" s="2" t="str">
        <x:v>Completo</x:v>
      </x:c>
      <x:c r="F371" s="56" t="n">
        <x:v>340.6984310344827</x:v>
      </x:c>
      <x:c r="G371" s="56" t="n">
        <x:f>F203</x:f>
        <x:v>327.07293601190474</x:v>
      </x:c>
      <x:c r="H371" s="57" t="n">
        <x:f>IF(ISNUMBER(G371),IF(G371=0,"n.a.",F371/G371-1),"n.a.")</x:f>
        <x:v>0.041658888652535975</x:v>
      </x:c>
      <x:c r="I371" s="58" t="n">
        <x:f>F371/J371</x:f>
        <x:v>0.29910282437898184</x:v>
      </x:c>
      <x:c r="J371" s="56" t="n">
        <x:v>1139.0679166666666</x:v>
      </x:c>
    </x:row>
    <x:row r="372" ht="65" customHeight="1">
      <x:c r="A372" s="61" t="n">
        <x:v>45323</x:v>
      </x:c>
      <x:c r="B372" s="32" t="str">
        <x:v>Extracción de minerales</x:v>
      </x:c>
      <x:c r="C372" s="32" t="str">
        <x:v>Petróleos y minerales</x:v>
      </x:c>
      <x:c r="D372" s="62" t="n">
        <x:v>29</x:v>
      </x:c>
      <x:c r="E372" s="2" t="str">
        <x:v>Completo</x:v>
      </x:c>
      <x:c r="F372" s="56" t="n">
        <x:v>19.159854885057474</x:v>
      </x:c>
      <x:c r="G372" s="56" t="n">
        <x:f>F204</x:f>
        <x:v>17.571998511904763</x:v>
      </x:c>
      <x:c r="H372" s="57" t="n">
        <x:f>IF(ISNUMBER(G372),IF(G372=0,"n.a.",F372/G372-1),"n.a.")</x:f>
        <x:v>0.09036287887669481</x:v>
      </x:c>
      <x:c r="I372" s="58" t="n">
        <x:f>F372/J372</x:f>
        <x:v>0.12106315772683376</x:v>
      </x:c>
      <x:c r="J372" s="56" t="n">
        <x:v>158.26330028735632</x:v>
      </x:c>
    </x:row>
    <x:row r="373" ht="65" customHeight="1">
      <x:c r="A373" s="61" t="n">
        <x:v>45323</x:v>
      </x:c>
      <x:c r="B373" s="32" t="str">
        <x:v>Extracción de petróleo</x:v>
      </x:c>
      <x:c r="C373" s="32" t="str">
        <x:v>Petróleos y minerales</x:v>
      </x:c>
      <x:c r="D373" s="62" t="n">
        <x:v>29</x:v>
      </x:c>
      <x:c r="E373" s="2" t="str">
        <x:v>Completo</x:v>
      </x:c>
      <x:c r="F373" s="56" t="n">
        <x:v>139.10344540229886</x:v>
      </x:c>
      <x:c r="G373" s="56" t="n">
        <x:f>F205</x:f>
        <x:v>160.39171577380952</x:v>
      </x:c>
      <x:c r="H373" s="57" t="n">
        <x:f>IF(ISNUMBER(G373),IF(G373=0,"n.a.",F373/G373-1),"n.a.")</x:f>
        <x:v>-0.13272674507411708</x:v>
      </x:c>
      <x:c r="I373" s="58" t="n">
        <x:f>F373/J373</x:f>
        <x:v>0.8789368422731664</x:v>
      </x:c>
      <x:c r="J373" s="56" t="n">
        <x:v>158.26330028735632</x:v>
      </x:c>
    </x:row>
    <x:row r="374" ht="65" customHeight="1">
      <x:c r="A374" s="61" t="n">
        <x:v>45352</x:v>
      </x:c>
      <x:c r="B374" s="32" t="str">
        <x:v>Cargas y puertos</x:v>
      </x:c>
      <x:c r="C374" s="32" t="str">
        <x:v>Alimentación, comercios y servicios</x:v>
      </x:c>
      <x:c r="D374" s="62" t="n">
        <x:v>31</x:v>
      </x:c>
      <x:c r="E374" s="2" t="str">
        <x:v>Completo</x:v>
      </x:c>
      <x:c r="F374" s="56" t="n">
        <x:v>11.240396505376344</x:v>
      </x:c>
      <x:c r="G374" s="56" t="n">
        <x:f>F206</x:f>
        <x:v>9.396623655913977</x:v>
      </x:c>
      <x:c r="H374" s="57" t="n">
        <x:f>IF(ISNUMBER(G374),IF(G374=0,"n.a.",F374/G374-1),"n.a.")</x:f>
        <x:v>0.19621652595418637</x:v>
      </x:c>
      <x:c r="I374" s="58" t="n">
        <x:f>F374/J374</x:f>
        <x:v>0.026628749616164262</x:v>
      </x:c>
      <x:c r="J374" s="56" t="n">
        <x:v>422.1150698924731</x:v>
      </x:c>
    </x:row>
    <x:row r="375" ht="65" customHeight="1">
      <x:c r="A375" s="61" t="n">
        <x:v>45352</x:v>
      </x:c>
      <x:c r="B375" s="32" t="str">
        <x:v>Comercio y servicios: principalmente supermercados y centros comerciales</x:v>
      </x:c>
      <x:c r="C375" s="32" t="str">
        <x:v>Alimentación, comercios y servicios</x:v>
      </x:c>
      <x:c r="D375" s="62" t="n">
        <x:v>31</x:v>
      </x:c>
      <x:c r="E375" s="2" t="str">
        <x:v>Completo</x:v>
      </x:c>
      <x:c r="F375" s="56" t="n">
        <x:v>39.4878938172043</x:v>
      </x:c>
      <x:c r="G375" s="56" t="n">
        <x:f>F207</x:f>
        <x:v>39.80274193548387</x:v>
      </x:c>
      <x:c r="H375" s="57" t="n">
        <x:f>IF(ISNUMBER(G375),IF(G375=0,"n.a.",F375/G375-1),"n.a.")</x:f>
        <x:v>-0.007910211783648147</x:v>
      </x:c>
      <x:c r="I375" s="58" t="n">
        <x:f>F375/J375</x:f>
        <x:v>0.09354769974751954</x:v>
      </x:c>
      <x:c r="J375" s="56" t="n">
        <x:v>422.1150698924731</x:v>
      </x:c>
    </x:row>
    <x:row r="376" ht="65" customHeight="1">
      <x:c r="A376" s="61" t="n">
        <x:v>45352</x:v>
      </x:c>
      <x:c r="B376" s="32" t="str">
        <x:v>Alimentación y artículos de consumo masivo</x:v>
      </x:c>
      <x:c r="C376" s="32" t="str">
        <x:v>Alimentación, comercios y servicios</x:v>
      </x:c>
      <x:c r="D376" s="62" t="n">
        <x:v>31</x:v>
      </x:c>
      <x:c r="E376" s="2" t="str">
        <x:v>Completo</x:v>
      </x:c>
      <x:c r="F376" s="56" t="n">
        <x:v>285.97380510752686</x:v>
      </x:c>
      <x:c r="G376" s="56" t="n">
        <x:f>F208</x:f>
        <x:v>289.14820967741935</x:v>
      </x:c>
      <x:c r="H376" s="57" t="n">
        <x:f>IF(ISNUMBER(G376),IF(G376=0,"n.a.",F376/G376-1),"n.a.")</x:f>
        <x:v>-0.010978468700995725</x:v>
      </x:c>
      <x:c r="I376" s="58" t="n">
        <x:f>F376/J376</x:f>
        <x:v>0.6774783122061337</x:v>
      </x:c>
      <x:c r="J376" s="56" t="n">
        <x:v>422.1150698924731</x:v>
      </x:c>
    </x:row>
    <x:row r="377" ht="65" customHeight="1">
      <x:c r="A377" s="61" t="n">
        <x:v>45352</x:v>
      </x:c>
      <x:c r="B377" s="32" t="str">
        <x:v>Servicios públicos y transporte: agua y transporte en GBA</x:v>
      </x:c>
      <x:c r="C377" s="32" t="str">
        <x:v>Alimentación, comercios y servicios</x:v>
      </x:c>
      <x:c r="D377" s="62" t="n">
        <x:v>31</x:v>
      </x:c>
      <x:c r="E377" s="2" t="str">
        <x:v>Completo</x:v>
      </x:c>
      <x:c r="F377" s="56" t="n">
        <x:v>85.4129744623656</x:v>
      </x:c>
      <x:c r="G377" s="56" t="n">
        <x:f>F209</x:f>
        <x:v>92.39090994623656</x:v>
      </x:c>
      <x:c r="H377" s="57" t="n">
        <x:f>IF(ISNUMBER(G377),IF(G377=0,"n.a.",F377/G377-1),"n.a.")</x:f>
        <x:v>-0.07552621235066859</x:v>
      </x:c>
      <x:c r="I377" s="58" t="n">
        <x:f>F377/J377</x:f>
        <x:v>0.20234523843018243</x:v>
      </x:c>
      <x:c r="J377" s="56" t="n">
        <x:v>422.1150698924731</x:v>
      </x:c>
    </x:row>
    <x:row r="378" ht="65" customHeight="1">
      <x:c r="A378" s="61" t="n">
        <x:v>45352</x:v>
      </x:c>
      <x:c r="B378" s="32" t="str">
        <x:v>Industria automotriz</x:v>
      </x:c>
      <x:c r="C378" s="32" t="str">
        <x:v>Industrias sin Aluar</x:v>
      </x:c>
      <x:c r="D378" s="62" t="n">
        <x:v>31</x:v>
      </x:c>
      <x:c r="E378" s="2" t="str">
        <x:v>Completo</x:v>
      </x:c>
      <x:c r="F378" s="56" t="n">
        <x:v>43.381592741935485</x:v>
      </x:c>
      <x:c r="G378" s="56" t="n">
        <x:f>F210</x:f>
        <x:v>46.577749999999995</x:v>
      </x:c>
      <x:c r="H378" s="57" t="n">
        <x:f>IF(ISNUMBER(G378),IF(G378=0,"n.a.",F378/G378-1),"n.a.")</x:f>
        <x:v>-0.06861982938343969</x:v>
      </x:c>
      <x:c r="I378" s="58" t="n">
        <x:f>F378/J378</x:f>
        <x:v>0.040861498125254234</x:v>
      </x:c>
      <x:c r="J378" s="56" t="n">
        <x:v>1061.6740631720431</x:v>
      </x:c>
    </x:row>
    <x:row r="379" ht="65" customHeight="1">
      <x:c r="A379" s="61" t="n">
        <x:v>45352</x:v>
      </x:c>
      <x:c r="B379" s="32" t="str">
        <x:v>Derivados de petróleo</x:v>
      </x:c>
      <x:c r="C379" s="32" t="str">
        <x:v>Industrias sin Aluar</x:v>
      </x:c>
      <x:c r="D379" s="62" t="n">
        <x:v>31</x:v>
      </x:c>
      <x:c r="E379" s="2" t="str">
        <x:v>Completo</x:v>
      </x:c>
      <x:c r="F379" s="56" t="n">
        <x:v>148.64953494623657</x:v>
      </x:c>
      <x:c r="G379" s="56" t="n">
        <x:f>F211</x:f>
        <x:v>154.19907930107527</x:v>
      </x:c>
      <x:c r="H379" s="57" t="n">
        <x:f>IF(ISNUMBER(G379),IF(G379=0,"n.a.",F379/G379-1),"n.a.")</x:f>
        <x:v>-0.035989477887887755</x:v>
      </x:c>
      <x:c r="I379" s="58" t="n">
        <x:f>F379/J379</x:f>
        <x:v>0.1400142850830369</x:v>
      </x:c>
      <x:c r="J379" s="56" t="n">
        <x:v>1061.6740631720431</x:v>
      </x:c>
    </x:row>
    <x:row r="380" ht="65" customHeight="1">
      <x:c r="A380" s="61" t="n">
        <x:v>45352</x:v>
      </x:c>
      <x:c r="B380" s="32" t="str">
        <x:v>Construcción: elaboración de cemento y canteras</x:v>
      </x:c>
      <x:c r="C380" s="32" t="str">
        <x:v>Industrias sin Aluar</x:v>
      </x:c>
      <x:c r="D380" s="62" t="n">
        <x:v>31</x:v>
      </x:c>
      <x:c r="E380" s="2" t="str">
        <x:v>Completo</x:v>
      </x:c>
      <x:c r="F380" s="56" t="n">
        <x:v>131.9065887096774</x:v>
      </x:c>
      <x:c r="G380" s="56" t="n">
        <x:f>F212</x:f>
        <x:v>180.8219072580645</x:v>
      </x:c>
      <x:c r="H380" s="57" t="n">
        <x:f>IF(ISNUMBER(G380),IF(G380=0,"n.a.",F380/G380-1),"n.a.")</x:f>
        <x:v>-0.2705165501798207</x:v>
      </x:c>
      <x:c r="I380" s="58" t="n">
        <x:f>F380/J380</x:f>
        <x:v>0.12424395893742587</x:v>
      </x:c>
      <x:c r="J380" s="56" t="n">
        <x:v>1061.6740631720431</x:v>
      </x:c>
    </x:row>
    <x:row r="381" ht="65" customHeight="1">
      <x:c r="A381" s="61" t="n">
        <x:v>45352</x:v>
      </x:c>
      <x:c r="B381" s="32" t="str">
        <x:v>Madera y papel</x:v>
      </x:c>
      <x:c r="C381" s="32" t="str">
        <x:v>Industrias sin Aluar</x:v>
      </x:c>
      <x:c r="D381" s="62" t="n">
        <x:v>31</x:v>
      </x:c>
      <x:c r="E381" s="2" t="str">
        <x:v>Completo</x:v>
      </x:c>
      <x:c r="F381" s="56" t="n">
        <x:v>101.02791263440861</x:v>
      </x:c>
      <x:c r="G381" s="56" t="n">
        <x:f>F213</x:f>
        <x:v>108.11033870967742</x:v>
      </x:c>
      <x:c r="H381" s="57" t="n">
        <x:f>IF(ISNUMBER(G381),IF(G381=0,"n.a.",F381/G381-1),"n.a.")</x:f>
        <x:v>-0.06551108950170026</x:v>
      </x:c>
      <x:c r="I381" s="58" t="n">
        <x:f>F381/J381</x:f>
        <x:v>0.09515906636407782</x:v>
      </x:c>
      <x:c r="J381" s="56" t="n">
        <x:v>1061.6740631720431</x:v>
      </x:c>
    </x:row>
    <x:row r="382" ht="65" customHeight="1">
      <x:c r="A382" s="61" t="n">
        <x:v>45352</x:v>
      </x:c>
      <x:c r="B382" s="32" t="str">
        <x:v>Productos metálicos no automotores</x:v>
      </x:c>
      <x:c r="C382" s="32" t="str">
        <x:v>Industrias sin Aluar</x:v>
      </x:c>
      <x:c r="D382" s="62" t="n">
        <x:v>31</x:v>
      </x:c>
      <x:c r="E382" s="2" t="str">
        <x:v>Completo</x:v>
      </x:c>
      <x:c r="F382" s="56" t="n">
        <x:v>43.05391666666667</x:v>
      </x:c>
      <x:c r="G382" s="56" t="n">
        <x:f>F214</x:f>
        <x:v>49.636471774193545</x:v>
      </x:c>
      <x:c r="H382" s="57" t="n">
        <x:f>IF(ISNUMBER(G382),IF(G382=0,"n.a.",F382/G382-1),"n.a.")</x:f>
        <x:v>-0.13261529017356954</x:v>
      </x:c>
      <x:c r="I382" s="58" t="n">
        <x:f>F382/J382</x:f>
        <x:v>0.04055285719049334</x:v>
      </x:c>
      <x:c r="J382" s="56" t="n">
        <x:v>1061.6740631720431</x:v>
      </x:c>
    </x:row>
    <x:row r="383" ht="65" customHeight="1">
      <x:c r="A383" s="61" t="n">
        <x:v>45352</x:v>
      </x:c>
      <x:c r="B383" s="32" t="str">
        <x:v>Gran siderurgia</x:v>
      </x:c>
      <x:c r="C383" s="32" t="str">
        <x:v>Industrias sin Aluar</x:v>
      </x:c>
      <x:c r="D383" s="62" t="n">
        <x:v>31</x:v>
      </x:c>
      <x:c r="E383" s="2" t="str">
        <x:v>Completo</x:v>
      </x:c>
      <x:c r="F383" s="56" t="n">
        <x:v>211.54222177419354</x:v>
      </x:c>
      <x:c r="G383" s="56" t="n">
        <x:f>F215</x:f>
        <x:v>322.6856801075269</x:v>
      </x:c>
      <x:c r="H383" s="57" t="n">
        <x:f>IF(ISNUMBER(G383),IF(G383=0,"n.a.",F383/G383-1),"n.a.")</x:f>
        <x:v>-0.3444325707180361</x:v>
      </x:c>
      <x:c r="I383" s="58" t="n">
        <x:f>F383/J383</x:f>
        <x:v>0.19925345180059592</x:v>
      </x:c>
      <x:c r="J383" s="56" t="n">
        <x:v>1061.6740631720431</x:v>
      </x:c>
    </x:row>
    <x:row r="384" ht="65" customHeight="1">
      <x:c r="A384" s="61" t="n">
        <x:v>45352</x:v>
      </x:c>
      <x:c r="B384" s="32" t="str">
        <x:v>Industria textil</x:v>
      </x:c>
      <x:c r="C384" s="32" t="str">
        <x:v>Industrias sin Aluar</x:v>
      </x:c>
      <x:c r="D384" s="62" t="n">
        <x:v>31</x:v>
      </x:c>
      <x:c r="E384" s="2" t="str">
        <x:v>Completo</x:v>
      </x:c>
      <x:c r="F384" s="56" t="n">
        <x:v>55.346901881720434</x:v>
      </x:c>
      <x:c r="G384" s="56" t="n">
        <x:f>F216</x:f>
        <x:v>68.00813709677419</x:v>
      </x:c>
      <x:c r="H384" s="57" t="n">
        <x:f>IF(ISNUMBER(G384),IF(G384=0,"n.a.",F384/G384-1),"n.a.")</x:f>
        <x:v>-0.1861723575377029</x:v>
      </x:c>
      <x:c r="I384" s="58" t="n">
        <x:f>F384/J384</x:f>
        <x:v>0.05213172648897191</x:v>
      </x:c>
      <x:c r="J384" s="56" t="n">
        <x:v>1061.6740631720431</x:v>
      </x:c>
    </x:row>
    <x:row r="385" ht="65" customHeight="1">
      <x:c r="A385" s="61" t="n">
        <x:v>45352</x:v>
      </x:c>
      <x:c r="B385" s="32" t="str">
        <x:v>Químicas, caucho, plástico y otros minerales no metálicos</x:v>
      </x:c>
      <x:c r="C385" s="32" t="str">
        <x:v>Industrias sin Aluar</x:v>
      </x:c>
      <x:c r="D385" s="62" t="n">
        <x:v>31</x:v>
      </x:c>
      <x:c r="E385" s="2" t="str">
        <x:v>Completo</x:v>
      </x:c>
      <x:c r="F385" s="56" t="n">
        <x:v>326.7653938172043</x:v>
      </x:c>
      <x:c r="G385" s="56" t="n">
        <x:f>F217</x:f>
        <x:v>331.04001344086026</x:v>
      </x:c>
      <x:c r="H385" s="57" t="n">
        <x:f>IF(ISNUMBER(G385),IF(G385=0,"n.a.",F385/G385-1),"n.a.")</x:f>
        <x:v>-0.012912697710543042</x:v>
      </x:c>
      <x:c r="I385" s="58" t="n">
        <x:f>F385/J385</x:f>
        <x:v>0.3077831560101439</x:v>
      </x:c>
      <x:c r="J385" s="56" t="n">
        <x:v>1061.6740631720431</x:v>
      </x:c>
    </x:row>
    <x:row r="386" ht="65" customHeight="1">
      <x:c r="A386" s="61" t="n">
        <x:v>45352</x:v>
      </x:c>
      <x:c r="B386" s="32" t="str">
        <x:v>Extracción de minerales</x:v>
      </x:c>
      <x:c r="C386" s="32" t="str">
        <x:v>Petróleos y minerales</x:v>
      </x:c>
      <x:c r="D386" s="62" t="n">
        <x:v>31</x:v>
      </x:c>
      <x:c r="E386" s="2" t="str">
        <x:v>Completo</x:v>
      </x:c>
      <x:c r="F386" s="56" t="n">
        <x:v>21.984283602150537</x:v>
      </x:c>
      <x:c r="G386" s="56" t="n">
        <x:f>F218</x:f>
        <x:v>19.676653225806454</x:v>
      </x:c>
      <x:c r="H386" s="57" t="n">
        <x:f>IF(ISNUMBER(G386),IF(G386=0,"n.a.",F386/G386-1),"n.a.")</x:f>
        <x:v>0.11727758526117449</x:v>
      </x:c>
      <x:c r="I386" s="58" t="n">
        <x:f>F386/J386</x:f>
        <x:v>0.12516452597205466</x:v>
      </x:c>
      <x:c r="J386" s="56" t="n">
        <x:v>175.64308602150535</x:v>
      </x:c>
    </x:row>
    <x:row r="387" ht="65" customHeight="1">
      <x:c r="A387" s="61" t="n">
        <x:v>45352</x:v>
      </x:c>
      <x:c r="B387" s="32" t="str">
        <x:v>Extracción de petróleo</x:v>
      </x:c>
      <x:c r="C387" s="32" t="str">
        <x:v>Petróleos y minerales</x:v>
      </x:c>
      <x:c r="D387" s="62" t="n">
        <x:v>31</x:v>
      </x:c>
      <x:c r="E387" s="2" t="str">
        <x:v>Completo</x:v>
      </x:c>
      <x:c r="F387" s="56" t="n">
        <x:v>153.65880241935486</x:v>
      </x:c>
      <x:c r="G387" s="56" t="n">
        <x:f>F219</x:f>
        <x:v>167.60267069892473</x:v>
      </x:c>
      <x:c r="H387" s="57" t="n">
        <x:f>IF(ISNUMBER(G387),IF(G387=0,"n.a.",F387/G387-1),"n.a.")</x:f>
        <x:v>-0.08319597904628928</x:v>
      </x:c>
      <x:c r="I387" s="58" t="n">
        <x:f>F387/J387</x:f>
        <x:v>0.8748354740279456</x:v>
      </x:c>
      <x:c r="J387" s="56" t="n">
        <x:v>175.64308602150535</x:v>
      </x:c>
    </x:row>
    <x:row r="388" ht="65" customHeight="1">
      <x:c r="A388" s="61" t="n">
        <x:v>45383</x:v>
      </x:c>
      <x:c r="B388" s="32" t="str">
        <x:v>Cargas y puertos</x:v>
      </x:c>
      <x:c r="C388" s="32" t="str">
        <x:v>Alimentación, comercios y servicios</x:v>
      </x:c>
      <x:c r="D388" s="62" t="n">
        <x:v>30</x:v>
      </x:c>
      <x:c r="E388" s="2" t="str">
        <x:v>Completo</x:v>
      </x:c>
      <x:c r="F388" s="56" t="n">
        <x:v>9.19405</x:v>
      </x:c>
      <x:c r="G388" s="56" t="n">
        <x:f>F220</x:f>
        <x:v>7.096625</x:v>
      </x:c>
      <x:c r="H388" s="57" t="n">
        <x:f>IF(ISNUMBER(G388),IF(G388=0,"n.a.",F388/G388-1),"n.a.")</x:f>
        <x:v>0.2955524633188311</x:v>
      </x:c>
      <x:c r="I388" s="58" t="n">
        <x:f>F388/J388</x:f>
        <x:v>0.02201203806878629</x:v>
      </x:c>
      <x:c r="J388" s="56" t="n">
        <x:v>417.68281388888886</x:v>
      </x:c>
    </x:row>
    <x:row r="389" ht="65" customHeight="1">
      <x:c r="A389" s="61" t="n">
        <x:v>45383</x:v>
      </x:c>
      <x:c r="B389" s="32" t="str">
        <x:v>Comercio y servicios: principalmente supermercados y centros comerciales</x:v>
      </x:c>
      <x:c r="C389" s="32" t="str">
        <x:v>Alimentación, comercios y servicios</x:v>
      </x:c>
      <x:c r="D389" s="62" t="n">
        <x:v>30</x:v>
      </x:c>
      <x:c r="E389" s="2" t="str">
        <x:v>Completo</x:v>
      </x:c>
      <x:c r="F389" s="56" t="n">
        <x:v>35.878061111111116</x:v>
      </x:c>
      <x:c r="G389" s="56" t="n">
        <x:f>F221</x:f>
        <x:v>30.459856944444443</x:v>
      </x:c>
      <x:c r="H389" s="57" t="n">
        <x:f>IF(ISNUMBER(G389),IF(G389=0,"n.a.",F389/G389-1),"n.a.")</x:f>
        <x:v>0.17788015802401524</x:v>
      </x:c>
      <x:c r="I389" s="58" t="n">
        <x:f>F389/J389</x:f>
        <x:v>0.08589786296702963</x:v>
      </x:c>
      <x:c r="J389" s="56" t="n">
        <x:v>417.68281388888886</x:v>
      </x:c>
    </x:row>
    <x:row r="390" ht="65" customHeight="1">
      <x:c r="A390" s="61" t="n">
        <x:v>45383</x:v>
      </x:c>
      <x:c r="B390" s="32" t="str">
        <x:v>Alimentación y artículos de consumo masivo</x:v>
      </x:c>
      <x:c r="C390" s="32" t="str">
        <x:v>Alimentación, comercios y servicios</x:v>
      </x:c>
      <x:c r="D390" s="62" t="n">
        <x:v>30</x:v>
      </x:c>
      <x:c r="E390" s="2" t="str">
        <x:v>Completo</x:v>
      </x:c>
      <x:c r="F390" s="56" t="n">
        <x:v>288.5058208333333</x:v>
      </x:c>
      <x:c r="G390" s="56" t="n">
        <x:f>F222</x:f>
        <x:v>280.81244722222226</x:v>
      </x:c>
      <x:c r="H390" s="57" t="n">
        <x:f>IF(ISNUMBER(G390),IF(G390=0,"n.a.",F390/G390-1),"n.a.")</x:f>
        <x:v>0.027396839731334444</x:v>
      </x:c>
      <x:c r="I390" s="58" t="n">
        <x:f>F390/J390</x:f>
        <x:v>0.6907294512483366</x:v>
      </x:c>
      <x:c r="J390" s="56" t="n">
        <x:v>417.68281388888886</x:v>
      </x:c>
    </x:row>
    <x:row r="391" ht="65" customHeight="1">
      <x:c r="A391" s="61" t="n">
        <x:v>45383</x:v>
      </x:c>
      <x:c r="B391" s="32" t="str">
        <x:v>Servicios públicos y transporte: agua y transporte en GBA</x:v>
      </x:c>
      <x:c r="C391" s="32" t="str">
        <x:v>Alimentación, comercios y servicios</x:v>
      </x:c>
      <x:c r="D391" s="62" t="n">
        <x:v>30</x:v>
      </x:c>
      <x:c r="E391" s="2" t="str">
        <x:v>Completo</x:v>
      </x:c>
      <x:c r="F391" s="56" t="n">
        <x:v>84.10488194444444</x:v>
      </x:c>
      <x:c r="G391" s="56" t="n">
        <x:f>F223</x:f>
        <x:v>86.73067916666668</x:v>
      </x:c>
      <x:c r="H391" s="57" t="n">
        <x:f>IF(ISNUMBER(G391),IF(G391=0,"n.a.",F391/G391-1),"n.a.")</x:f>
        <x:v>-0.03027529874609136</x:v>
      </x:c>
      <x:c r="I391" s="58" t="n">
        <x:f>F391/J391</x:f>
        <x:v>0.2013606477158475</x:v>
      </x:c>
      <x:c r="J391" s="56" t="n">
        <x:v>417.68281388888886</x:v>
      </x:c>
    </x:row>
    <x:row r="392" ht="65" customHeight="1">
      <x:c r="A392" s="61" t="n">
        <x:v>45383</x:v>
      </x:c>
      <x:c r="B392" s="32" t="str">
        <x:v>Industria automotriz</x:v>
      </x:c>
      <x:c r="C392" s="32" t="str">
        <x:v>Industrias sin Aluar</x:v>
      </x:c>
      <x:c r="D392" s="62" t="n">
        <x:v>30</x:v>
      </x:c>
      <x:c r="E392" s="2" t="str">
        <x:v>Completo</x:v>
      </x:c>
      <x:c r="F392" s="56" t="n">
        <x:v>40.914975000000005</x:v>
      </x:c>
      <x:c r="G392" s="56" t="n">
        <x:f>F224</x:f>
        <x:v>38.1571</x:v>
      </x:c>
      <x:c r="H392" s="57" t="n">
        <x:f>IF(ISNUMBER(G392),IF(G392=0,"n.a.",F392/G392-1),"n.a.")</x:f>
        <x:v>0.07227685017991425</x:v>
      </x:c>
      <x:c r="I392" s="58" t="n">
        <x:f>F392/J392</x:f>
        <x:v>0.03705637305267832</x:v>
      </x:c>
      <x:c r="J392" s="56" t="n">
        <x:v>1104.1278902777779</x:v>
      </x:c>
    </x:row>
    <x:row r="393" ht="65" customHeight="1">
      <x:c r="A393" s="61" t="n">
        <x:v>45383</x:v>
      </x:c>
      <x:c r="B393" s="32" t="str">
        <x:v>Derivados de petróleo</x:v>
      </x:c>
      <x:c r="C393" s="32" t="str">
        <x:v>Industrias sin Aluar</x:v>
      </x:c>
      <x:c r="D393" s="62" t="n">
        <x:v>30</x:v>
      </x:c>
      <x:c r="E393" s="2" t="str">
        <x:v>Completo</x:v>
      </x:c>
      <x:c r="F393" s="56" t="n">
        <x:v>147.35657638888887</x:v>
      </x:c>
      <x:c r="G393" s="56" t="n">
        <x:f>F225</x:f>
        <x:v>166.33599305555558</x:v>
      </x:c>
      <x:c r="H393" s="57" t="n">
        <x:f>IF(ISNUMBER(G393),IF(G393=0,"n.a.",F393/G393-1),"n.a.")</x:f>
        <x:v>-0.11410288487788478</x:v>
      </x:c>
      <x:c r="I393" s="58" t="n">
        <x:f>F393/J393</x:f>
        <x:v>0.13345969944823757</x:v>
      </x:c>
      <x:c r="J393" s="56" t="n">
        <x:v>1104.1278902777779</x:v>
      </x:c>
    </x:row>
    <x:row r="394" ht="65" customHeight="1">
      <x:c r="A394" s="61" t="n">
        <x:v>45383</x:v>
      </x:c>
      <x:c r="B394" s="32" t="str">
        <x:v>Construcción: elaboración de cemento y canteras</x:v>
      </x:c>
      <x:c r="C394" s="32" t="str">
        <x:v>Industrias sin Aluar</x:v>
      </x:c>
      <x:c r="D394" s="62" t="n">
        <x:v>30</x:v>
      </x:c>
      <x:c r="E394" s="2" t="str">
        <x:v>Completo</x:v>
      </x:c>
      <x:c r="F394" s="56" t="n">
        <x:v>141.21971805555555</x:v>
      </x:c>
      <x:c r="G394" s="56" t="n">
        <x:f>F226</x:f>
        <x:v>178.35109305555554</x:v>
      </x:c>
      <x:c r="H394" s="57" t="n">
        <x:f>IF(ISNUMBER(G394),IF(G394=0,"n.a.",F394/G394-1),"n.a.")</x:f>
        <x:v>-0.2081925844347572</x:v>
      </x:c>
      <x:c r="I394" s="58" t="n">
        <x:f>F394/J394</x:f>
        <x:v>0.12790159482342875</x:v>
      </x:c>
      <x:c r="J394" s="56" t="n">
        <x:v>1104.1278902777779</x:v>
      </x:c>
    </x:row>
    <x:row r="395" ht="65" customHeight="1">
      <x:c r="A395" s="61" t="n">
        <x:v>45383</x:v>
      </x:c>
      <x:c r="B395" s="32" t="str">
        <x:v>Madera y papel</x:v>
      </x:c>
      <x:c r="C395" s="32" t="str">
        <x:v>Industrias sin Aluar</x:v>
      </x:c>
      <x:c r="D395" s="62" t="n">
        <x:v>30</x:v>
      </x:c>
      <x:c r="E395" s="2" t="str">
        <x:v>Completo</x:v>
      </x:c>
      <x:c r="F395" s="56" t="n">
        <x:v>103.92362638888888</x:v>
      </x:c>
      <x:c r="G395" s="56" t="n">
        <x:f>F227</x:f>
        <x:v>104.97321666666667</x:v>
      </x:c>
      <x:c r="H395" s="57" t="n">
        <x:f>IF(ISNUMBER(G395),IF(G395=0,"n.a.",F395/G395-1),"n.a.")</x:f>
        <x:v>-0.009998648332466331</x:v>
      </x:c>
      <x:c r="I395" s="58" t="n">
        <x:f>F395/J395</x:f>
        <x:v>0.09412281611937512</x:v>
      </x:c>
      <x:c r="J395" s="56" t="n">
        <x:v>1104.1278902777779</x:v>
      </x:c>
    </x:row>
    <x:row r="396" ht="65" customHeight="1">
      <x:c r="A396" s="61" t="n">
        <x:v>45383</x:v>
      </x:c>
      <x:c r="B396" s="32" t="str">
        <x:v>Productos metálicos no automotores</x:v>
      </x:c>
      <x:c r="C396" s="32" t="str">
        <x:v>Industrias sin Aluar</x:v>
      </x:c>
      <x:c r="D396" s="62" t="n">
        <x:v>30</x:v>
      </x:c>
      <x:c r="E396" s="2" t="str">
        <x:v>Completo</x:v>
      </x:c>
      <x:c r="F396" s="56" t="n">
        <x:v>41.50441111111111</x:v>
      </x:c>
      <x:c r="G396" s="56" t="n">
        <x:f>F228</x:f>
        <x:v>48.040640277777776</x:v>
      </x:c>
      <x:c r="H396" s="57" t="n">
        <x:f>IF(ISNUMBER(G396),IF(G396=0,"n.a.",F396/G396-1),"n.a.")</x:f>
        <x:v>-0.1360562458966671</x:v>
      </x:c>
      <x:c r="I396" s="58" t="n">
        <x:f>F396/J396</x:f>
        <x:v>0.03759022073128628</x:v>
      </x:c>
      <x:c r="J396" s="56" t="n">
        <x:v>1104.1278902777779</x:v>
      </x:c>
    </x:row>
    <x:row r="397" ht="65" customHeight="1">
      <x:c r="A397" s="61" t="n">
        <x:v>45383</x:v>
      </x:c>
      <x:c r="B397" s="32" t="str">
        <x:v>Gran siderurgia</x:v>
      </x:c>
      <x:c r="C397" s="32" t="str">
        <x:v>Industrias sin Aluar</x:v>
      </x:c>
      <x:c r="D397" s="62" t="n">
        <x:v>30</x:v>
      </x:c>
      <x:c r="E397" s="2" t="str">
        <x:v>Completo</x:v>
      </x:c>
      <x:c r="F397" s="56" t="n">
        <x:v>256.65835555555554</x:v>
      </x:c>
      <x:c r="G397" s="56" t="n">
        <x:f>F229</x:f>
        <x:v>321.56680694444447</x:v>
      </x:c>
      <x:c r="H397" s="57" t="n">
        <x:f>IF(ISNUMBER(G397),IF(G397=0,"n.a.",F397/G397-1),"n.a.")</x:f>
        <x:v>-0.20185059523293036</x:v>
      </x:c>
      <x:c r="I397" s="58" t="n">
        <x:f>F397/J397</x:f>
        <x:v>0.23245346650104556</x:v>
      </x:c>
      <x:c r="J397" s="56" t="n">
        <x:v>1104.1278902777779</x:v>
      </x:c>
    </x:row>
    <x:row r="398" ht="65" customHeight="1">
      <x:c r="A398" s="61" t="n">
        <x:v>45383</x:v>
      </x:c>
      <x:c r="B398" s="32" t="str">
        <x:v>Industria textil</x:v>
      </x:c>
      <x:c r="C398" s="32" t="str">
        <x:v>Industrias sin Aluar</x:v>
      </x:c>
      <x:c r="D398" s="62" t="n">
        <x:v>30</x:v>
      </x:c>
      <x:c r="E398" s="2" t="str">
        <x:v>Completo</x:v>
      </x:c>
      <x:c r="F398" s="56" t="n">
        <x:v>49.75077361111111</x:v>
      </x:c>
      <x:c r="G398" s="56" t="n">
        <x:f>F230</x:f>
        <x:v>63.00198472222222</x:v>
      </x:c>
      <x:c r="H398" s="57" t="n">
        <x:f>IF(ISNUMBER(G398),IF(G398=0,"n.a.",F398/G398-1),"n.a.")</x:f>
        <x:v>-0.2103300581646138</x:v>
      </x:c>
      <x:c r="I398" s="58" t="n">
        <x:f>F398/J398</x:f>
        <x:v>0.04505888679127084</x:v>
      </x:c>
      <x:c r="J398" s="56" t="n">
        <x:v>1104.1278902777779</x:v>
      </x:c>
    </x:row>
    <x:row r="399" ht="65" customHeight="1">
      <x:c r="A399" s="61" t="n">
        <x:v>45383</x:v>
      </x:c>
      <x:c r="B399" s="32" t="str">
        <x:v>Químicas, caucho, plástico y otros minerales no metálicos</x:v>
      </x:c>
      <x:c r="C399" s="32" t="str">
        <x:v>Industrias sin Aluar</x:v>
      </x:c>
      <x:c r="D399" s="62" t="n">
        <x:v>30</x:v>
      </x:c>
      <x:c r="E399" s="2" t="str">
        <x:v>Completo</x:v>
      </x:c>
      <x:c r="F399" s="56" t="n">
        <x:v>322.79945416666664</x:v>
      </x:c>
      <x:c r="G399" s="56" t="n">
        <x:f>F231</x:f>
        <x:v>333.08837083333333</x:v>
      </x:c>
      <x:c r="H399" s="57" t="n">
        <x:f>IF(ISNUMBER(G399),IF(G399=0,"n.a.",F399/G399-1),"n.a.")</x:f>
        <x:v>-0.030889450270886076</x:v>
      </x:c>
      <x:c r="I399" s="58" t="n">
        <x:f>F399/J399</x:f>
        <x:v>0.2923569425326774</x:v>
      </x:c>
      <x:c r="J399" s="56" t="n">
        <x:v>1104.1278902777779</x:v>
      </x:c>
    </x:row>
    <x:row r="400" ht="65" customHeight="1">
      <x:c r="A400" s="61" t="n">
        <x:v>45383</x:v>
      </x:c>
      <x:c r="B400" s="32" t="str">
        <x:v>Extracción de minerales</x:v>
      </x:c>
      <x:c r="C400" s="32" t="str">
        <x:v>Petróleos y minerales</x:v>
      </x:c>
      <x:c r="D400" s="62" t="n">
        <x:v>30</x:v>
      </x:c>
      <x:c r="E400" s="2" t="str">
        <x:v>Completo</x:v>
      </x:c>
      <x:c r="F400" s="56" t="n">
        <x:v>21.144481944444447</x:v>
      </x:c>
      <x:c r="G400" s="56" t="n">
        <x:f>F232</x:f>
        <x:v>20.03678611111111</x:v>
      </x:c>
      <x:c r="H400" s="57" t="n">
        <x:f>IF(ISNUMBER(G400),IF(G400=0,"n.a.",F400/G400-1),"n.a.")</x:f>
        <x:v>0.05528310913690304</x:v>
      </x:c>
      <x:c r="I400" s="58" t="n">
        <x:f>F400/J400</x:f>
        <x:v>0.12153351295843995</x:v>
      </x:c>
      <x:c r="J400" s="56" t="n">
        <x:v>173.98066944444446</x:v>
      </x:c>
    </x:row>
    <x:row r="401" ht="65" customHeight="1">
      <x:c r="A401" s="61" t="n">
        <x:v>45383</x:v>
      </x:c>
      <x:c r="B401" s="32" t="str">
        <x:v>Extracción de petróleo</x:v>
      </x:c>
      <x:c r="C401" s="32" t="str">
        <x:v>Petróleos y minerales</x:v>
      </x:c>
      <x:c r="D401" s="62" t="n">
        <x:v>30</x:v>
      </x:c>
      <x:c r="E401" s="2" t="str">
        <x:v>Completo</x:v>
      </x:c>
      <x:c r="F401" s="56" t="n">
        <x:v>152.8361875</x:v>
      </x:c>
      <x:c r="G401" s="56" t="n">
        <x:f>F233</x:f>
        <x:v>168.23026666666667</x:v>
      </x:c>
      <x:c r="H401" s="57" t="n">
        <x:f>IF(ISNUMBER(G401),IF(G401=0,"n.a.",F401/G401-1),"n.a.")</x:f>
        <x:v>-0.09150600228892625</x:v>
      </x:c>
      <x:c r="I401" s="58" t="n">
        <x:f>F401/J401</x:f>
        <x:v>0.8784664870415599</x:v>
      </x:c>
      <x:c r="J401" s="56" t="n">
        <x:v>173.98066944444446</x:v>
      </x:c>
    </x:row>
    <x:row r="402" ht="65" customHeight="1">
      <x:c r="A402" s="61" t="n">
        <x:v>45413</x:v>
      </x:c>
      <x:c r="B402" s="32" t="str">
        <x:v>Cargas y puertos</x:v>
      </x:c>
      <x:c r="C402" s="32" t="str">
        <x:v>Alimentación, comercios y servicios</x:v>
      </x:c>
      <x:c r="D402" s="62" t="n">
        <x:v>31</x:v>
      </x:c>
      <x:c r="E402" s="2" t="str">
        <x:v>Completo</x:v>
      </x:c>
      <x:c r="F402" s="56" t="n">
        <x:v>9.037594086021505</x:v>
      </x:c>
      <x:c r="G402" s="56" t="n">
        <x:f>F234</x:f>
        <x:v>6.715490591397849</x:v>
      </x:c>
      <x:c r="H402" s="57" t="n">
        <x:f>IF(ISNUMBER(G402),IF(G402=0,"n.a.",F402/G402-1),"n.a.")</x:f>
        <x:v>0.34578315061570253</x:v>
      </x:c>
      <x:c r="I402" s="58" t="n">
        <x:f>F402/J402</x:f>
        <x:v>0.022514983346271583</x:v>
      </x:c>
      <x:c r="J402" s="56" t="n">
        <x:v>401.4035430107526</x:v>
      </x:c>
    </x:row>
    <x:row r="403" ht="65" customHeight="1">
      <x:c r="A403" s="61" t="n">
        <x:v>45413</x:v>
      </x:c>
      <x:c r="B403" s="32" t="str">
        <x:v>Comercio y servicios: principalmente supermercados y centros comerciales</x:v>
      </x:c>
      <x:c r="C403" s="32" t="str">
        <x:v>Alimentación, comercios y servicios</x:v>
      </x:c>
      <x:c r="D403" s="62" t="n">
        <x:v>31</x:v>
      </x:c>
      <x:c r="E403" s="2" t="str">
        <x:v>Completo</x:v>
      </x:c>
      <x:c r="F403" s="56" t="n">
        <x:v>31.103408602150537</x:v>
      </x:c>
      <x:c r="G403" s="56" t="n">
        <x:f>F235</x:f>
        <x:v>29.059623655913978</x:v>
      </x:c>
      <x:c r="H403" s="57" t="n">
        <x:f>IF(ISNUMBER(G403),IF(G403=0,"n.a.",F403/G403-1),"n.a.")</x:f>
        <x:v>0.0703307437989007</x:v>
      </x:c>
      <x:c r="I403" s="58" t="n">
        <x:f>F403/J403</x:f>
        <x:v>0.0774866319536132</x:v>
      </x:c>
      <x:c r="J403" s="56" t="n">
        <x:v>401.4035430107526</x:v>
      </x:c>
    </x:row>
    <x:row r="404" ht="65" customHeight="1">
      <x:c r="A404" s="61" t="n">
        <x:v>45413</x:v>
      </x:c>
      <x:c r="B404" s="32" t="str">
        <x:v>Alimentación y artículos de consumo masivo</x:v>
      </x:c>
      <x:c r="C404" s="32" t="str">
        <x:v>Alimentación, comercios y servicios</x:v>
      </x:c>
      <x:c r="D404" s="62" t="n">
        <x:v>31</x:v>
      </x:c>
      <x:c r="E404" s="2" t="str">
        <x:v>Completo</x:v>
      </x:c>
      <x:c r="F404" s="56" t="n">
        <x:v>275.74411290322575</x:v>
      </x:c>
      <x:c r="G404" s="56" t="n">
        <x:f>F236</x:f>
        <x:v>275.2428588709677</x:v>
      </x:c>
      <x:c r="H404" s="57" t="n">
        <x:f>IF(ISNUMBER(G404),IF(G404=0,"n.a.",F404/G404-1),"n.a.")</x:f>
        <x:v>0.001821133650166784</x:v>
      </x:c>
      <x:c r="I404" s="58" t="n">
        <x:f>F404/J404</x:f>
        <x:v>0.6869498730255085</x:v>
      </x:c>
      <x:c r="J404" s="56" t="n">
        <x:v>401.4035430107526</x:v>
      </x:c>
    </x:row>
    <x:row r="405" ht="65" customHeight="1">
      <x:c r="A405" s="61" t="n">
        <x:v>45413</x:v>
      </x:c>
      <x:c r="B405" s="32" t="str">
        <x:v>Servicios públicos y transporte: agua y transporte en GBA</x:v>
      </x:c>
      <x:c r="C405" s="32" t="str">
        <x:v>Alimentación, comercios y servicios</x:v>
      </x:c>
      <x:c r="D405" s="62" t="n">
        <x:v>31</x:v>
      </x:c>
      <x:c r="E405" s="2" t="str">
        <x:v>Completo</x:v>
      </x:c>
      <x:c r="F405" s="56" t="n">
        <x:v>85.51842741935484</x:v>
      </x:c>
      <x:c r="G405" s="56" t="n">
        <x:f>F237</x:f>
        <x:v>88.93069758064517</x:v>
      </x:c>
      <x:c r="H405" s="57" t="n">
        <x:f>IF(ISNUMBER(G405),IF(G405=0,"n.a.",F405/G405-1),"n.a.")</x:f>
        <x:v>-0.038369992073839065</x:v>
      </x:c>
      <x:c r="I405" s="58" t="n">
        <x:f>F405/J405</x:f>
        <x:v>0.21304851167460673</x:v>
      </x:c>
      <x:c r="J405" s="56" t="n">
        <x:v>401.4035430107526</x:v>
      </x:c>
    </x:row>
    <x:row r="406" ht="65" customHeight="1">
      <x:c r="A406" s="61" t="n">
        <x:v>45413</x:v>
      </x:c>
      <x:c r="B406" s="32" t="str">
        <x:v>Industria automotriz</x:v>
      </x:c>
      <x:c r="C406" s="32" t="str">
        <x:v>Industrias sin Aluar</x:v>
      </x:c>
      <x:c r="D406" s="62" t="n">
        <x:v>31</x:v>
      </x:c>
      <x:c r="E406" s="2" t="str">
        <x:v>Completo</x:v>
      </x:c>
      <x:c r="F406" s="56" t="n">
        <x:v>38.929057795698924</x:v>
      </x:c>
      <x:c r="G406" s="56" t="n">
        <x:f>F238</x:f>
        <x:v>37.40162096774194</x:v>
      </x:c>
      <x:c r="H406" s="57" t="n">
        <x:f>IF(ISNUMBER(G406),IF(G406=0,"n.a.",F406/G406-1),"n.a.")</x:f>
        <x:v>0.04083878688772247</x:v>
      </x:c>
      <x:c r="I406" s="58" t="n">
        <x:f>F406/J406</x:f>
        <x:v>0.03546973392926183</x:v>
      </x:c>
      <x:c r="J406" s="56" t="n">
        <x:v>1097.5288924731183</x:v>
      </x:c>
    </x:row>
    <x:row r="407" ht="65" customHeight="1">
      <x:c r="A407" s="61" t="n">
        <x:v>45413</x:v>
      </x:c>
      <x:c r="B407" s="32" t="str">
        <x:v>Derivados de petróleo</x:v>
      </x:c>
      <x:c r="C407" s="32" t="str">
        <x:v>Industrias sin Aluar</x:v>
      </x:c>
      <x:c r="D407" s="62" t="n">
        <x:v>31</x:v>
      </x:c>
      <x:c r="E407" s="2" t="str">
        <x:v>Completo</x:v>
      </x:c>
      <x:c r="F407" s="56" t="n">
        <x:v>154.64159677419354</x:v>
      </x:c>
      <x:c r="G407" s="56" t="n">
        <x:f>F239</x:f>
        <x:v>153.75251344086024</x:v>
      </x:c>
      <x:c r="H407" s="57" t="n">
        <x:f>IF(ISNUMBER(G407),IF(G407=0,"n.a.",F407/G407-1),"n.a.")</x:f>
        <x:v>0.0057825612956583505</x:v>
      </x:c>
      <x:c r="I407" s="58" t="n">
        <x:f>F407/J407</x:f>
        <x:v>0.1408997957454511</x:v>
      </x:c>
      <x:c r="J407" s="56" t="n">
        <x:v>1097.5288924731183</x:v>
      </x:c>
    </x:row>
    <x:row r="408" ht="65" customHeight="1">
      <x:c r="A408" s="61" t="n">
        <x:v>45413</x:v>
      </x:c>
      <x:c r="B408" s="32" t="str">
        <x:v>Construcción: elaboración de cemento y canteras</x:v>
      </x:c>
      <x:c r="C408" s="32" t="str">
        <x:v>Industrias sin Aluar</x:v>
      </x:c>
      <x:c r="D408" s="62" t="n">
        <x:v>31</x:v>
      </x:c>
      <x:c r="E408" s="2" t="str">
        <x:v>Completo</x:v>
      </x:c>
      <x:c r="F408" s="56" t="n">
        <x:v>105.73363978494623</x:v>
      </x:c>
      <x:c r="G408" s="56" t="n">
        <x:f>F240</x:f>
        <x:v>175.4919677419355</x:v>
      </x:c>
      <x:c r="H408" s="57" t="n">
        <x:f>IF(ISNUMBER(G408),IF(G408=0,"n.a.",F408/G408-1),"n.a.")</x:f>
        <x:v>-0.39750154297415086</x:v>
      </x:c>
      <x:c r="I408" s="58" t="n">
        <x:f>F408/J408</x:f>
        <x:v>0.0963379101088548</x:v>
      </x:c>
      <x:c r="J408" s="56" t="n">
        <x:v>1097.5288924731183</x:v>
      </x:c>
    </x:row>
    <x:row r="409" ht="65" customHeight="1">
      <x:c r="A409" s="61" t="n">
        <x:v>45413</x:v>
      </x:c>
      <x:c r="B409" s="32" t="str">
        <x:v>Madera y papel</x:v>
      </x:c>
      <x:c r="C409" s="32" t="str">
        <x:v>Industrias sin Aluar</x:v>
      </x:c>
      <x:c r="D409" s="62" t="n">
        <x:v>31</x:v>
      </x:c>
      <x:c r="E409" s="2" t="str">
        <x:v>Completo</x:v>
      </x:c>
      <x:c r="F409" s="56" t="n">
        <x:v>92.04283064516129</x:v>
      </x:c>
      <x:c r="G409" s="56" t="n">
        <x:f>F241</x:f>
        <x:v>108.79648387096775</x:v>
      </x:c>
      <x:c r="H409" s="57" t="n">
        <x:f>IF(ISNUMBER(G409),IF(G409=0,"n.a.",F409/G409-1),"n.a.")</x:f>
        <x:v>-0.15399075990062538</x:v>
      </x:c>
      <x:c r="I409" s="58" t="n">
        <x:f>F409/J409</x:f>
        <x:v>0.08386369714400543</x:v>
      </x:c>
      <x:c r="J409" s="56" t="n">
        <x:v>1097.5288924731183</x:v>
      </x:c>
    </x:row>
    <x:row r="410" ht="65" customHeight="1">
      <x:c r="A410" s="61" t="n">
        <x:v>45413</x:v>
      </x:c>
      <x:c r="B410" s="32" t="str">
        <x:v>Productos metálicos no automotores</x:v>
      </x:c>
      <x:c r="C410" s="32" t="str">
        <x:v>Industrias sin Aluar</x:v>
      </x:c>
      <x:c r="D410" s="62" t="n">
        <x:v>31</x:v>
      </x:c>
      <x:c r="E410" s="2" t="str">
        <x:v>Completo</x:v>
      </x:c>
      <x:c r="F410" s="56" t="n">
        <x:v>37.319522849462366</x:v>
      </x:c>
      <x:c r="G410" s="56" t="n">
        <x:f>F242</x:f>
        <x:v>47.84571370967742</x:v>
      </x:c>
      <x:c r="H410" s="57" t="n">
        <x:f>IF(ISNUMBER(G410),IF(G410=0,"n.a.",F410/G410-1),"n.a.")</x:f>
        <x:v>-0.22000279741016782</x:v>
      </x:c>
      <x:c r="I410" s="58" t="n">
        <x:f>F410/J410</x:f>
        <x:v>0.03400322588808424</x:v>
      </x:c>
      <x:c r="J410" s="56" t="n">
        <x:v>1097.5288924731183</x:v>
      </x:c>
    </x:row>
    <x:row r="411" ht="65" customHeight="1">
      <x:c r="A411" s="61" t="n">
        <x:v>45413</x:v>
      </x:c>
      <x:c r="B411" s="32" t="str">
        <x:v>Gran siderurgia</x:v>
      </x:c>
      <x:c r="C411" s="32" t="str">
        <x:v>Industrias sin Aluar</x:v>
      </x:c>
      <x:c r="D411" s="62" t="n">
        <x:v>31</x:v>
      </x:c>
      <x:c r="E411" s="2" t="str">
        <x:v>Completo</x:v>
      </x:c>
      <x:c r="F411" s="56" t="n">
        <x:v>273.3228051075269</x:v>
      </x:c>
      <x:c r="G411" s="56" t="n">
        <x:f>F243</x:f>
        <x:v>357.60996505376346</x:v>
      </x:c>
      <x:c r="H411" s="57" t="n">
        <x:f>IF(ISNUMBER(G411),IF(G411=0,"n.a.",F411/G411-1),"n.a.")</x:f>
        <x:v>-0.23569578083084108</x:v>
      </x:c>
      <x:c r="I411" s="58" t="n">
        <x:f>F411/J411</x:f>
        <x:v>0.24903472426282516</x:v>
      </x:c>
      <x:c r="J411" s="56" t="n">
        <x:v>1097.5288924731183</x:v>
      </x:c>
    </x:row>
    <x:row r="412" ht="65" customHeight="1">
      <x:c r="A412" s="61" t="n">
        <x:v>45413</x:v>
      </x:c>
      <x:c r="B412" s="32" t="str">
        <x:v>Industria textil</x:v>
      </x:c>
      <x:c r="C412" s="32" t="str">
        <x:v>Industrias sin Aluar</x:v>
      </x:c>
      <x:c r="D412" s="62" t="n">
        <x:v>31</x:v>
      </x:c>
      <x:c r="E412" s="2" t="str">
        <x:v>Completo</x:v>
      </x:c>
      <x:c r="F412" s="56" t="n">
        <x:v>50.00282392473118</x:v>
      </x:c>
      <x:c r="G412" s="56" t="n">
        <x:f>F244</x:f>
        <x:v>60.61020833333333</x:v>
      </x:c>
      <x:c r="H412" s="57" t="n">
        <x:f>IF(ISNUMBER(G412),IF(G412=0,"n.a.",F412/G412-1),"n.a.")</x:f>
        <x:v>-0.175009865504265</x:v>
      </x:c>
      <x:c r="I412" s="58" t="n">
        <x:f>F412/J412</x:f>
        <x:v>0.04555946022710823</x:v>
      </x:c>
      <x:c r="J412" s="56" t="n">
        <x:v>1097.5288924731183</x:v>
      </x:c>
    </x:row>
    <x:row r="413" ht="65" customHeight="1">
      <x:c r="A413" s="61" t="n">
        <x:v>45413</x:v>
      </x:c>
      <x:c r="B413" s="32" t="str">
        <x:v>Químicas, caucho, plástico y otros minerales no metálicos</x:v>
      </x:c>
      <x:c r="C413" s="32" t="str">
        <x:v>Industrias sin Aluar</x:v>
      </x:c>
      <x:c r="D413" s="62" t="n">
        <x:v>31</x:v>
      </x:c>
      <x:c r="E413" s="2" t="str">
        <x:v>Completo</x:v>
      </x:c>
      <x:c r="F413" s="56" t="n">
        <x:v>345.5366155913979</x:v>
      </x:c>
      <x:c r="G413" s="56" t="n">
        <x:f>F245</x:f>
        <x:v>328.57641397849466</x:v>
      </x:c>
      <x:c r="H413" s="57" t="n">
        <x:f>IF(ISNUMBER(G413),IF(G413=0,"n.a.",F413/G413-1),"n.a.")</x:f>
        <x:v>0.05161722172186489</x:v>
      </x:c>
      <x:c r="I413" s="58" t="n">
        <x:f>F413/J413</x:f>
        <x:v>0.3148314526944092</x:v>
      </x:c>
      <x:c r="J413" s="56" t="n">
        <x:v>1097.5288924731183</x:v>
      </x:c>
    </x:row>
    <x:row r="414" ht="65" customHeight="1">
      <x:c r="A414" s="61" t="n">
        <x:v>45413</x:v>
      </x:c>
      <x:c r="B414" s="32" t="str">
        <x:v>Extracción de minerales</x:v>
      </x:c>
      <x:c r="C414" s="32" t="str">
        <x:v>Petróleos y minerales</x:v>
      </x:c>
      <x:c r="D414" s="62" t="n">
        <x:v>31</x:v>
      </x:c>
      <x:c r="E414" s="2" t="str">
        <x:v>Completo</x:v>
      </x:c>
      <x:c r="F414" s="56" t="n">
        <x:v>23.108010752688173</x:v>
      </x:c>
      <x:c r="G414" s="56" t="n">
        <x:f>F246</x:f>
        <x:v>20.764936827956987</x:v>
      </x:c>
      <x:c r="H414" s="57" t="n">
        <x:f>IF(ISNUMBER(G414),IF(G414=0,"n.a.",F414/G414-1),"n.a.")</x:f>
        <x:v>0.11283799917833481</x:v>
      </x:c>
      <x:c r="I414" s="58" t="n">
        <x:f>F414/J414</x:f>
        <x:v>0.13501878144802884</x:v>
      </x:c>
      <x:c r="J414" s="56" t="n">
        <x:v>171.14663978494625</x:v>
      </x:c>
    </x:row>
    <x:row r="415" ht="65" customHeight="1">
      <x:c r="A415" s="61" t="n">
        <x:v>45413</x:v>
      </x:c>
      <x:c r="B415" s="32" t="str">
        <x:v>Extracción de petróleo</x:v>
      </x:c>
      <x:c r="C415" s="32" t="str">
        <x:v>Petróleos y minerales</x:v>
      </x:c>
      <x:c r="D415" s="62" t="n">
        <x:v>31</x:v>
      </x:c>
      <x:c r="E415" s="2" t="str">
        <x:v>Completo</x:v>
      </x:c>
      <x:c r="F415" s="56" t="n">
        <x:v>148.03862903225806</x:v>
      </x:c>
      <x:c r="G415" s="56" t="n">
        <x:f>F247</x:f>
        <x:v>168.01221236559138</x:v>
      </x:c>
      <x:c r="H415" s="57" t="n">
        <x:f>IF(ISNUMBER(G415),IF(G415=0,"n.a.",F415/G415-1),"n.a.")</x:f>
        <x:v>-0.11888173515548495</x:v>
      </x:c>
      <x:c r="I415" s="58" t="n">
        <x:f>F415/J415</x:f>
        <x:v>0.8649812185519711</x:v>
      </x:c>
      <x:c r="J415" s="56" t="n">
        <x:v>171.14663978494625</x:v>
      </x:c>
    </x:row>
    <x:row r="416" ht="65" customHeight="1">
      <x:c r="A416" s="61" t="n">
        <x:v>45444</x:v>
      </x:c>
      <x:c r="B416" s="32" t="str">
        <x:v>Cargas y puertos</x:v>
      </x:c>
      <x:c r="C416" s="32" t="str">
        <x:v>Alimentación, comercios y servicios</x:v>
      </x:c>
      <x:c r="D416" s="62" t="n">
        <x:v>30</x:v>
      </x:c>
      <x:c r="E416" s="2" t="str">
        <x:v>Completo</x:v>
      </x:c>
      <x:c r="F416" s="56" t="n">
        <x:v>9.327354166666668</x:v>
      </x:c>
      <x:c r="G416" s="56" t="n">
        <x:f>F248</x:f>
        <x:v>6.961018055555556</x:v>
      </x:c>
      <x:c r="H416" s="57" t="n">
        <x:f>IF(ISNUMBER(G416),IF(G416=0,"n.a.",F416/G416-1),"n.a.")</x:f>
        <x:v>0.3399410965789049</x:v>
      </x:c>
      <x:c r="I416" s="58" t="n">
        <x:f>F416/J416</x:f>
        <x:v>0.023983331270587462</x:v>
      </x:c>
      <x:c r="J416" s="56" t="n">
        <x:v>388.9098666666667</x:v>
      </x:c>
    </x:row>
    <x:row r="417" ht="65" customHeight="1">
      <x:c r="A417" s="61" t="n">
        <x:v>45444</x:v>
      </x:c>
      <x:c r="B417" s="32" t="str">
        <x:v>Comercio y servicios: principalmente supermercados y centros comerciales</x:v>
      </x:c>
      <x:c r="C417" s="32" t="str">
        <x:v>Alimentación, comercios y servicios</x:v>
      </x:c>
      <x:c r="D417" s="62" t="n">
        <x:v>30</x:v>
      </x:c>
      <x:c r="E417" s="2" t="str">
        <x:v>Completo</x:v>
      </x:c>
      <x:c r="F417" s="56" t="n">
        <x:v>29.116030555555554</x:v>
      </x:c>
      <x:c r="G417" s="56" t="n">
        <x:f>F249</x:f>
        <x:v>28.469118055555555</x:v>
      </x:c>
      <x:c r="H417" s="57" t="n">
        <x:f>IF(ISNUMBER(G417),IF(G417=0,"n.a.",F417/G417-1),"n.a.")</x:f>
        <x:v>0.022723306662945975</x:v>
      </x:c>
      <x:c r="I417" s="58" t="n">
        <x:f>F417/J417</x:f>
        <x:v>0.0748657543844492</x:v>
      </x:c>
      <x:c r="J417" s="56" t="n">
        <x:v>388.9098666666667</x:v>
      </x:c>
    </x:row>
    <x:row r="418" ht="65" customHeight="1">
      <x:c r="A418" s="61" t="n">
        <x:v>45444</x:v>
      </x:c>
      <x:c r="B418" s="32" t="str">
        <x:v>Alimentación y artículos de consumo masivo</x:v>
      </x:c>
      <x:c r="C418" s="32" t="str">
        <x:v>Alimentación, comercios y servicios</x:v>
      </x:c>
      <x:c r="D418" s="62" t="n">
        <x:v>30</x:v>
      </x:c>
      <x:c r="E418" s="2" t="str">
        <x:v>Completo</x:v>
      </x:c>
      <x:c r="F418" s="56" t="n">
        <x:v>265.35000694444443</x:v>
      </x:c>
      <x:c r="G418" s="56" t="n">
        <x:f>F250</x:f>
        <x:v>272.8942791666667</x:v>
      </x:c>
      <x:c r="H418" s="57" t="n">
        <x:f>IF(ISNUMBER(G418),IF(G418=0,"n.a.",F418/G418-1),"n.a.")</x:f>
        <x:v>-0.027645402627200943</x:v>
      </x:c>
      <x:c r="I418" s="58" t="n">
        <x:f>F418/J418</x:f>
        <x:v>0.6822917845174522</x:v>
      </x:c>
      <x:c r="J418" s="56" t="n">
        <x:v>388.9098666666667</x:v>
      </x:c>
    </x:row>
    <x:row r="419" ht="65" customHeight="1">
      <x:c r="A419" s="61" t="n">
        <x:v>45444</x:v>
      </x:c>
      <x:c r="B419" s="32" t="str">
        <x:v>Servicios públicos y transporte: agua y transporte en GBA</x:v>
      </x:c>
      <x:c r="C419" s="32" t="str">
        <x:v>Alimentación, comercios y servicios</x:v>
      </x:c>
      <x:c r="D419" s="62" t="n">
        <x:v>30</x:v>
      </x:c>
      <x:c r="E419" s="2" t="str">
        <x:v>Completo</x:v>
      </x:c>
      <x:c r="F419" s="56" t="n">
        <x:v>85.11647500000001</x:v>
      </x:c>
      <x:c r="G419" s="56" t="n">
        <x:f>F251</x:f>
        <x:v>89.01271805555555</x:v>
      </x:c>
      <x:c r="H419" s="57" t="n">
        <x:f>IF(ISNUMBER(G419),IF(G419=0,"n.a.",F419/G419-1),"n.a.")</x:f>
        <x:v>-0.043771756897972525</x:v>
      </x:c>
      <x:c r="I419" s="58" t="n">
        <x:f>F419/J419</x:f>
        <x:v>0.21885912982751102</x:v>
      </x:c>
      <x:c r="J419" s="56" t="n">
        <x:v>388.9098666666667</x:v>
      </x:c>
    </x:row>
    <x:row r="420" ht="65" customHeight="1">
      <x:c r="A420" s="61" t="n">
        <x:v>45444</x:v>
      </x:c>
      <x:c r="B420" s="32" t="str">
        <x:v>Industria automotriz</x:v>
      </x:c>
      <x:c r="C420" s="32" t="str">
        <x:v>Industrias sin Aluar</x:v>
      </x:c>
      <x:c r="D420" s="62" t="n">
        <x:v>30</x:v>
      </x:c>
      <x:c r="E420" s="2" t="str">
        <x:v>Completo</x:v>
      </x:c>
      <x:c r="F420" s="56" t="n">
        <x:v>36.91479861111111</x:v>
      </x:c>
      <x:c r="G420" s="56" t="n">
        <x:f>F252</x:f>
        <x:v>38.96101388888889</x:v>
      </x:c>
      <x:c r="H420" s="57" t="n">
        <x:f>IF(ISNUMBER(G420),IF(G420=0,"n.a.",F420/G420-1),"n.a.")</x:f>
        <x:v>-0.052519559260272075</x:v>
      </x:c>
      <x:c r="I420" s="58" t="n">
        <x:f>F420/J420</x:f>
        <x:v>0.035446144759893355</x:v>
      </x:c>
      <x:c r="J420" s="56" t="n">
        <x:v>1041.4333875</x:v>
      </x:c>
    </x:row>
    <x:row r="421" ht="65" customHeight="1">
      <x:c r="A421" s="61" t="n">
        <x:v>45444</x:v>
      </x:c>
      <x:c r="B421" s="32" t="str">
        <x:v>Derivados de petróleo</x:v>
      </x:c>
      <x:c r="C421" s="32" t="str">
        <x:v>Industrias sin Aluar</x:v>
      </x:c>
      <x:c r="D421" s="62" t="n">
        <x:v>30</x:v>
      </x:c>
      <x:c r="E421" s="2" t="str">
        <x:v>Completo</x:v>
      </x:c>
      <x:c r="F421" s="56" t="n">
        <x:v>148.24127638888888</x:v>
      </x:c>
      <x:c r="G421" s="56" t="n">
        <x:f>F253</x:f>
        <x:v>153.00893750000003</x:v>
      </x:c>
      <x:c r="H421" s="57" t="n">
        <x:f>IF(ISNUMBER(G421),IF(G421=0,"n.a.",F421/G421-1),"n.a.")</x:f>
        <x:v>-0.031159363557512143</x:v>
      </x:c>
      <x:c r="I421" s="58" t="n">
        <x:f>F421/J421</x:f>
        <x:v>0.1423435028761154</x:v>
      </x:c>
      <x:c r="J421" s="56" t="n">
        <x:v>1041.4333875</x:v>
      </x:c>
    </x:row>
    <x:row r="422" ht="65" customHeight="1">
      <x:c r="A422" s="61" t="n">
        <x:v>45444</x:v>
      </x:c>
      <x:c r="B422" s="32" t="str">
        <x:v>Construcción: elaboración de cemento y canteras</x:v>
      </x:c>
      <x:c r="C422" s="32" t="str">
        <x:v>Industrias sin Aluar</x:v>
      </x:c>
      <x:c r="D422" s="62" t="n">
        <x:v>30</x:v>
      </x:c>
      <x:c r="E422" s="2" t="str">
        <x:v>Completo</x:v>
      </x:c>
      <x:c r="F422" s="56" t="n">
        <x:v>98.02053055555555</x:v>
      </x:c>
      <x:c r="G422" s="56" t="n">
        <x:f>F254</x:f>
        <x:v>162.46503194444446</x:v>
      </x:c>
      <x:c r="H422" s="57" t="n">
        <x:f>IF(ISNUMBER(G422),IF(G422=0,"n.a.",F422/G422-1),"n.a.")</x:f>
        <x:v>-0.3966669049800572</x:v>
      </x:c>
      <x:c r="I422" s="58" t="n">
        <x:f>F422/J422</x:f>
        <x:v>0.09412078749545136</x:v>
      </x:c>
      <x:c r="J422" s="56" t="n">
        <x:v>1041.4333875</x:v>
      </x:c>
    </x:row>
    <x:row r="423" ht="65" customHeight="1">
      <x:c r="A423" s="61" t="n">
        <x:v>45444</x:v>
      </x:c>
      <x:c r="B423" s="32" t="str">
        <x:v>Madera y papel</x:v>
      </x:c>
      <x:c r="C423" s="32" t="str">
        <x:v>Industrias sin Aluar</x:v>
      </x:c>
      <x:c r="D423" s="62" t="n">
        <x:v>30</x:v>
      </x:c>
      <x:c r="E423" s="2" t="str">
        <x:v>Completo</x:v>
      </x:c>
      <x:c r="F423" s="56" t="n">
        <x:v>86.17488333333334</x:v>
      </x:c>
      <x:c r="G423" s="56" t="n">
        <x:f>F255</x:f>
        <x:v>109.91046388888888</x:v>
      </x:c>
      <x:c r="H423" s="57" t="n">
        <x:f>IF(ISNUMBER(G423),IF(G423=0,"n.a.",F423/G423-1),"n.a.")</x:f>
        <x:v>-0.215953783795785</x:v>
      </x:c>
      <x:c r="I423" s="58" t="n">
        <x:f>F423/J423</x:f>
        <x:v>0.08274641889501871</x:v>
      </x:c>
      <x:c r="J423" s="56" t="n">
        <x:v>1041.4333875</x:v>
      </x:c>
    </x:row>
    <x:row r="424" ht="65" customHeight="1">
      <x:c r="A424" s="61" t="n">
        <x:v>45444</x:v>
      </x:c>
      <x:c r="B424" s="32" t="str">
        <x:v>Productos metálicos no automotores</x:v>
      </x:c>
      <x:c r="C424" s="32" t="str">
        <x:v>Industrias sin Aluar</x:v>
      </x:c>
      <x:c r="D424" s="62" t="n">
        <x:v>30</x:v>
      </x:c>
      <x:c r="E424" s="2" t="str">
        <x:v>Completo</x:v>
      </x:c>
      <x:c r="F424" s="56" t="n">
        <x:v>37.63717777777777</x:v>
      </x:c>
      <x:c r="G424" s="56" t="n">
        <x:f>F256</x:f>
        <x:v>51.01157777777778</x:v>
      </x:c>
      <x:c r="H424" s="57" t="n">
        <x:f>IF(ISNUMBER(G424),IF(G424=0,"n.a.",F424/G424-1),"n.a.")</x:f>
        <x:v>-0.26218361757526953</x:v>
      </x:c>
      <x:c r="I424" s="58" t="n">
        <x:f>F424/J424</x:f>
        <x:v>0.03613978409903607</x:v>
      </x:c>
      <x:c r="J424" s="56" t="n">
        <x:v>1041.4333875</x:v>
      </x:c>
    </x:row>
    <x:row r="425" ht="65" customHeight="1">
      <x:c r="A425" s="61" t="n">
        <x:v>45444</x:v>
      </x:c>
      <x:c r="B425" s="32" t="str">
        <x:v>Gran siderurgia</x:v>
      </x:c>
      <x:c r="C425" s="32" t="str">
        <x:v>Industrias sin Aluar</x:v>
      </x:c>
      <x:c r="D425" s="62" t="n">
        <x:v>30</x:v>
      </x:c>
      <x:c r="E425" s="2" t="str">
        <x:v>Completo</x:v>
      </x:c>
      <x:c r="F425" s="56" t="n">
        <x:v>251.9359513888889</x:v>
      </x:c>
      <x:c r="G425" s="56" t="n">
        <x:f>F257</x:f>
        <x:v>332.24445833333334</x:v>
      </x:c>
      <x:c r="H425" s="57" t="n">
        <x:f>IF(ISNUMBER(G425),IF(G425=0,"n.a.",F425/G425-1),"n.a.")</x:f>
        <x:v>-0.24171511346585872</x:v>
      </x:c>
      <x:c r="I425" s="58" t="n">
        <x:f>F425/J425</x:f>
        <x:v>0.24191268919625347</x:v>
      </x:c>
      <x:c r="J425" s="56" t="n">
        <x:v>1041.4333875</x:v>
      </x:c>
    </x:row>
    <x:row r="426" ht="65" customHeight="1">
      <x:c r="A426" s="61" t="n">
        <x:v>45444</x:v>
      </x:c>
      <x:c r="B426" s="32" t="str">
        <x:v>Industria textil</x:v>
      </x:c>
      <x:c r="C426" s="32" t="str">
        <x:v>Industrias sin Aluar</x:v>
      </x:c>
      <x:c r="D426" s="62" t="n">
        <x:v>30</x:v>
      </x:c>
      <x:c r="E426" s="2" t="str">
        <x:v>Completo</x:v>
      </x:c>
      <x:c r="F426" s="56" t="n">
        <x:v>45.67310416666667</x:v>
      </x:c>
      <x:c r="G426" s="56" t="n">
        <x:f>F258</x:f>
        <x:v>61.439101388888886</x:v>
      </x:c>
      <x:c r="H426" s="57" t="n">
        <x:f>IF(ISNUMBER(G426),IF(G426=0,"n.a.",F426/G426-1),"n.a.")</x:f>
        <x:v>-0.25661178086620684</x:v>
      </x:c>
      <x:c r="I426" s="58" t="n">
        <x:f>F426/J426</x:f>
        <x:v>0.04385600146381582</x:v>
      </x:c>
      <x:c r="J426" s="56" t="n">
        <x:v>1041.4333875</x:v>
      </x:c>
    </x:row>
    <x:row r="427" ht="65" customHeight="1">
      <x:c r="A427" s="61" t="n">
        <x:v>45444</x:v>
      </x:c>
      <x:c r="B427" s="32" t="str">
        <x:v>Químicas, caucho, plástico y otros minerales no metálicos</x:v>
      </x:c>
      <x:c r="C427" s="32" t="str">
        <x:v>Industrias sin Aluar</x:v>
      </x:c>
      <x:c r="D427" s="62" t="n">
        <x:v>30</x:v>
      </x:c>
      <x:c r="E427" s="2" t="str">
        <x:v>Completo</x:v>
      </x:c>
      <x:c r="F427" s="56" t="n">
        <x:v>336.83566527777776</x:v>
      </x:c>
      <x:c r="G427" s="56" t="n">
        <x:f>F259</x:f>
        <x:v>330.5203138888889</x:v>
      </x:c>
      <x:c r="H427" s="57" t="n">
        <x:f>IF(ISNUMBER(G427),IF(G427=0,"n.a.",F427/G427-1),"n.a.")</x:f>
        <x:v>0.01910730180115916</x:v>
      </x:c>
      <x:c r="I427" s="58" t="n">
        <x:f>F427/J427</x:f>
        <x:v>0.32343467121441577</x:v>
      </x:c>
      <x:c r="J427" s="56" t="n">
        <x:v>1041.4333875</x:v>
      </x:c>
    </x:row>
    <x:row r="428" ht="65" customHeight="1">
      <x:c r="A428" s="61" t="n">
        <x:v>45444</x:v>
      </x:c>
      <x:c r="B428" s="32" t="str">
        <x:v>Extracción de minerales</x:v>
      </x:c>
      <x:c r="C428" s="32" t="str">
        <x:v>Petróleos y minerales</x:v>
      </x:c>
      <x:c r="D428" s="62" t="n">
        <x:v>30</x:v>
      </x:c>
      <x:c r="E428" s="2" t="str">
        <x:v>Completo</x:v>
      </x:c>
      <x:c r="F428" s="56" t="n">
        <x:v>22.59985972222222</x:v>
      </x:c>
      <x:c r="G428" s="56" t="n">
        <x:f>F260</x:f>
        <x:v>21.87880555555556</x:v>
      </x:c>
      <x:c r="H428" s="57" t="n">
        <x:f>IF(ISNUMBER(G428),IF(G428=0,"n.a.",F428/G428-1),"n.a.")</x:f>
        <x:v>0.03295674276348093</x:v>
      </x:c>
      <x:c r="I428" s="58" t="n">
        <x:f>F428/J428</x:f>
        <x:v>0.13395187620557023</x:v>
      </x:c>
      <x:c r="J428" s="56" t="n">
        <x:v>168.71626111111112</x:v>
      </x:c>
    </x:row>
    <x:row r="429" ht="65" customHeight="1">
      <x:c r="A429" s="61" t="n">
        <x:v>45444</x:v>
      </x:c>
      <x:c r="B429" s="32" t="str">
        <x:v>Extracción de petróleo</x:v>
      </x:c>
      <x:c r="C429" s="32" t="str">
        <x:v>Petróleos y minerales</x:v>
      </x:c>
      <x:c r="D429" s="62" t="n">
        <x:v>30</x:v>
      </x:c>
      <x:c r="E429" s="2" t="str">
        <x:v>Completo</x:v>
      </x:c>
      <x:c r="F429" s="56" t="n">
        <x:v>146.11640138888887</x:v>
      </x:c>
      <x:c r="G429" s="56" t="n">
        <x:f>F261</x:f>
        <x:v>167.14473888888887</x:v>
      </x:c>
      <x:c r="H429" s="57" t="n">
        <x:f>IF(ISNUMBER(G429),IF(G429=0,"n.a.",F429/G429-1),"n.a.")</x:f>
        <x:v>-0.1258091498409578</x:v>
      </x:c>
      <x:c r="I429" s="58" t="n">
        <x:f>F429/J429</x:f>
        <x:v>0.8660481237944296</x:v>
      </x:c>
      <x:c r="J429" s="56" t="n">
        <x:v>168.71626111111112</x:v>
      </x:c>
    </x:row>
    <x:row r="430" ht="65" customHeight="1">
      <x:c r="A430" s="61" t="n">
        <x:v>45474</x:v>
      </x:c>
      <x:c r="B430" s="32" t="str">
        <x:v>Cargas y puertos</x:v>
      </x:c>
      <x:c r="C430" s="32" t="str">
        <x:v>Alimentación, comercios y servicios</x:v>
      </x:c>
      <x:c r="D430" s="62" t="n">
        <x:v>31</x:v>
      </x:c>
      <x:c r="E430" s="2" t="str">
        <x:v>Completo</x:v>
      </x:c>
      <x:c r="F430" s="56" t="n">
        <x:v>10.083543010752688</x:v>
      </x:c>
      <x:c r="G430" s="56" t="n">
        <x:f>F262</x:f>
        <x:v>7.421228494623656</x:v>
      </x:c>
      <x:c r="H430" s="57" t="n">
        <x:f>IF(ISNUMBER(G430),IF(G430=0,"n.a.",F430/G430-1),"n.a.")</x:f>
        <x:v>0.35874310002148</x:v>
      </x:c>
      <x:c r="I430" s="58" t="n">
        <x:f>F430/J430</x:f>
        <x:v>0.024536698980639756</x:v>
      </x:c>
      <x:c r="J430" s="56" t="n">
        <x:v>410.95760349462364</x:v>
      </x:c>
    </x:row>
    <x:row r="431" ht="65" customHeight="1">
      <x:c r="A431" s="61" t="n">
        <x:v>45474</x:v>
      </x:c>
      <x:c r="B431" s="32" t="str">
        <x:v>Comercio y servicios: principalmente supermercados y centros comerciales</x:v>
      </x:c>
      <x:c r="C431" s="32" t="str">
        <x:v>Alimentación, comercios y servicios</x:v>
      </x:c>
      <x:c r="D431" s="62" t="n">
        <x:v>31</x:v>
      </x:c>
      <x:c r="E431" s="2" t="str">
        <x:v>Completo</x:v>
      </x:c>
      <x:c r="F431" s="56" t="n">
        <x:v>29.510850806451614</x:v>
      </x:c>
      <x:c r="G431" s="56" t="n">
        <x:f>F263</x:f>
        <x:v>28.65633870967742</x:v>
      </x:c>
      <x:c r="H431" s="57" t="n">
        <x:f>IF(ISNUMBER(G431),IF(G431=0,"n.a.",F431/G431-1),"n.a.")</x:f>
        <x:v>0.02981930474201233</x:v>
      </x:c>
      <x:c r="I431" s="58" t="n">
        <x:f>F431/J431</x:f>
        <x:v>0.07180996422867666</x:v>
      </x:c>
      <x:c r="J431" s="56" t="n">
        <x:v>410.95760349462364</x:v>
      </x:c>
    </x:row>
    <x:row r="432" ht="65" customHeight="1">
      <x:c r="A432" s="61" t="n">
        <x:v>45474</x:v>
      </x:c>
      <x:c r="B432" s="32" t="str">
        <x:v>Alimentación y artículos de consumo masivo</x:v>
      </x:c>
      <x:c r="C432" s="32" t="str">
        <x:v>Alimentación, comercios y servicios</x:v>
      </x:c>
      <x:c r="D432" s="62" t="n">
        <x:v>31</x:v>
      </x:c>
      <x:c r="E432" s="2" t="str">
        <x:v>Completo</x:v>
      </x:c>
      <x:c r="F432" s="56" t="n">
        <x:v>283.7487849462365</x:v>
      </x:c>
      <x:c r="G432" s="56" t="n">
        <x:f>F264</x:f>
        <x:v>269.8224086021505</x:v>
      </x:c>
      <x:c r="H432" s="57" t="n">
        <x:f>IF(ISNUMBER(G432),IF(G432=0,"n.a.",F432/G432-1),"n.a.")</x:f>
        <x:v>0.05161311996373241</x:v>
      </x:c>
      <x:c r="I432" s="58" t="n">
        <x:f>F432/J432</x:f>
        <x:v>0.6904575618831412</x:v>
      </x:c>
      <x:c r="J432" s="56" t="n">
        <x:v>410.95760349462364</x:v>
      </x:c>
    </x:row>
    <x:row r="433" ht="65" customHeight="1">
      <x:c r="A433" s="61" t="n">
        <x:v>45474</x:v>
      </x:c>
      <x:c r="B433" s="32" t="str">
        <x:v>Servicios públicos y transporte: agua y transporte en GBA</x:v>
      </x:c>
      <x:c r="C433" s="32" t="str">
        <x:v>Alimentación, comercios y servicios</x:v>
      </x:c>
      <x:c r="D433" s="62" t="n">
        <x:v>31</x:v>
      </x:c>
      <x:c r="E433" s="2" t="str">
        <x:v>Completo</x:v>
      </x:c>
      <x:c r="F433" s="56" t="n">
        <x:v>87.6144247311828</x:v>
      </x:c>
      <x:c r="G433" s="56" t="n">
        <x:f>F265</x:f>
        <x:v>88.18783064516128</x:v>
      </x:c>
      <x:c r="H433" s="57" t="n">
        <x:f>IF(ISNUMBER(G433),IF(G433=0,"n.a.",F433/G433-1),"n.a.")</x:f>
        <x:v>-0.006502097962764131</x:v>
      </x:c>
      <x:c r="I433" s="58" t="n">
        <x:f>F433/J433</x:f>
        <x:v>0.2131957749075423</x:v>
      </x:c>
      <x:c r="J433" s="56" t="n">
        <x:v>410.95760349462364</x:v>
      </x:c>
    </x:row>
    <x:row r="434" ht="65" customHeight="1">
      <x:c r="A434" s="61" t="n">
        <x:v>45474</x:v>
      </x:c>
      <x:c r="B434" s="32" t="str">
        <x:v>Industria automotriz</x:v>
      </x:c>
      <x:c r="C434" s="32" t="str">
        <x:v>Industrias sin Aluar</x:v>
      </x:c>
      <x:c r="D434" s="62" t="n">
        <x:v>31</x:v>
      </x:c>
      <x:c r="E434" s="2" t="str">
        <x:v>Completo</x:v>
      </x:c>
      <x:c r="F434" s="56" t="n">
        <x:v>42.255794354838706</x:v>
      </x:c>
      <x:c r="G434" s="56" t="n">
        <x:f>F266</x:f>
        <x:v>37.458571236559145</x:v>
      </x:c>
      <x:c r="H434" s="57" t="n">
        <x:f>IF(ISNUMBER(G434),IF(G434=0,"n.a.",F434/G434-1),"n.a.")</x:f>
        <x:v>0.12806743449941105</x:v>
      </x:c>
      <x:c r="I434" s="58" t="n">
        <x:f>F434/J434</x:f>
        <x:v>0.0394055223730029</x:v>
      </x:c>
      <x:c r="J434" s="56" t="n">
        <x:v>1072.3317903225807</x:v>
      </x:c>
    </x:row>
    <x:row r="435" ht="65" customHeight="1">
      <x:c r="A435" s="61" t="n">
        <x:v>45474</x:v>
      </x:c>
      <x:c r="B435" s="32" t="str">
        <x:v>Derivados de petróleo</x:v>
      </x:c>
      <x:c r="C435" s="32" t="str">
        <x:v>Industrias sin Aluar</x:v>
      </x:c>
      <x:c r="D435" s="62" t="n">
        <x:v>31</x:v>
      </x:c>
      <x:c r="E435" s="2" t="str">
        <x:v>Completo</x:v>
      </x:c>
      <x:c r="F435" s="56" t="n">
        <x:v>144.62603494623656</x:v>
      </x:c>
      <x:c r="G435" s="56" t="n">
        <x:f>F267</x:f>
        <x:v>146.66988440860217</x:v>
      </x:c>
      <x:c r="H435" s="57" t="n">
        <x:f>IF(ISNUMBER(G435),IF(G435=0,"n.a.",F435/G435-1),"n.a.")</x:f>
        <x:v>-0.013935031520661223</x:v>
      </x:c>
      <x:c r="I435" s="58" t="n">
        <x:f>F435/J435</x:f>
        <x:v>0.13487060278491783</x:v>
      </x:c>
      <x:c r="J435" s="56" t="n">
        <x:v>1072.3317903225807</x:v>
      </x:c>
    </x:row>
    <x:row r="436" ht="65" customHeight="1">
      <x:c r="A436" s="61" t="n">
        <x:v>45474</x:v>
      </x:c>
      <x:c r="B436" s="32" t="str">
        <x:v>Construcción: elaboración de cemento y canteras</x:v>
      </x:c>
      <x:c r="C436" s="32" t="str">
        <x:v>Industrias sin Aluar</x:v>
      </x:c>
      <x:c r="D436" s="62" t="n">
        <x:v>31</x:v>
      </x:c>
      <x:c r="E436" s="2" t="str">
        <x:v>Completo</x:v>
      </x:c>
      <x:c r="F436" s="56" t="n">
        <x:v>127.71007930107527</x:v>
      </x:c>
      <x:c r="G436" s="56" t="n">
        <x:f>F268</x:f>
        <x:v>154.11805913978495</x:v>
      </x:c>
      <x:c r="H436" s="57" t="n">
        <x:f>IF(ISNUMBER(G436),IF(G436=0,"n.a.",F436/G436-1),"n.a.")</x:f>
        <x:v>-0.17134902934871288</x:v>
      </x:c>
      <x:c r="I436" s="58" t="n">
        <x:f>F436/J436</x:f>
        <x:v>0.11909567584735813</x:v>
      </x:c>
      <x:c r="J436" s="56" t="n">
        <x:v>1072.3317903225807</x:v>
      </x:c>
    </x:row>
    <x:row r="437" ht="65" customHeight="1">
      <x:c r="A437" s="61" t="n">
        <x:v>45474</x:v>
      </x:c>
      <x:c r="B437" s="32" t="str">
        <x:v>Madera y papel</x:v>
      </x:c>
      <x:c r="C437" s="32" t="str">
        <x:v>Industrias sin Aluar</x:v>
      </x:c>
      <x:c r="D437" s="62" t="n">
        <x:v>31</x:v>
      </x:c>
      <x:c r="E437" s="2" t="str">
        <x:v>Completo</x:v>
      </x:c>
      <x:c r="F437" s="56" t="n">
        <x:v>92.99674865591398</x:v>
      </x:c>
      <x:c r="G437" s="56" t="n">
        <x:f>F269</x:f>
        <x:v>109.64630779569892</x:v>
      </x:c>
      <x:c r="H437" s="57" t="n">
        <x:f>IF(ISNUMBER(G437),IF(G437=0,"n.a.",F437/G437-1),"n.a.")</x:f>
        <x:v>-0.15184787773070874</x:v>
      </x:c>
      <x:c r="I437" s="58" t="n">
        <x:f>F437/J437</x:f>
        <x:v>0.08672385682787465</x:v>
      </x:c>
      <x:c r="J437" s="56" t="n">
        <x:v>1072.3317903225807</x:v>
      </x:c>
    </x:row>
    <x:row r="438" ht="65" customHeight="1">
      <x:c r="A438" s="61" t="n">
        <x:v>45474</x:v>
      </x:c>
      <x:c r="B438" s="32" t="str">
        <x:v>Productos metálicos no automotores</x:v>
      </x:c>
      <x:c r="C438" s="32" t="str">
        <x:v>Industrias sin Aluar</x:v>
      </x:c>
      <x:c r="D438" s="62" t="n">
        <x:v>31</x:v>
      </x:c>
      <x:c r="E438" s="2" t="str">
        <x:v>Completo</x:v>
      </x:c>
      <x:c r="F438" s="56" t="n">
        <x:v>39.46702284946237</x:v>
      </x:c>
      <x:c r="G438" s="56" t="n">
        <x:f>F270</x:f>
        <x:v>45.64464516129032</x:v>
      </x:c>
      <x:c r="H438" s="57" t="n">
        <x:f>IF(ISNUMBER(G438),IF(G438=0,"n.a.",F438/G438-1),"n.a.")</x:f>
        <x:v>-0.1353416658186004</x:v>
      </x:c>
      <x:c r="I438" s="58" t="n">
        <x:f>F438/J438</x:f>
        <x:v>0.03680486133642446</x:v>
      </x:c>
      <x:c r="J438" s="56" t="n">
        <x:v>1072.3317903225807</x:v>
      </x:c>
    </x:row>
    <x:row r="439" ht="65" customHeight="1">
      <x:c r="A439" s="61" t="n">
        <x:v>45474</x:v>
      </x:c>
      <x:c r="B439" s="32" t="str">
        <x:v>Gran siderurgia</x:v>
      </x:c>
      <x:c r="C439" s="32" t="str">
        <x:v>Industrias sin Aluar</x:v>
      </x:c>
      <x:c r="D439" s="62" t="n">
        <x:v>31</x:v>
      </x:c>
      <x:c r="E439" s="2" t="str">
        <x:v>Completo</x:v>
      </x:c>
      <x:c r="F439" s="56" t="n">
        <x:v>229.298561827957</x:v>
      </x:c>
      <x:c r="G439" s="56" t="n">
        <x:f>F271</x:f>
        <x:v>231.08136021505376</x:v>
      </x:c>
      <x:c r="H439" s="57" t="n">
        <x:f>IF(ISNUMBER(G439),IF(G439=0,"n.a.",F439/G439-1),"n.a.")</x:f>
        <x:v>-0.007715024636507306</x:v>
      </x:c>
      <x:c r="I439" s="58" t="n">
        <x:f>F439/J439</x:f>
        <x:v>0.2138317299713543</x:v>
      </x:c>
      <x:c r="J439" s="56" t="n">
        <x:v>1072.3317903225807</x:v>
      </x:c>
    </x:row>
    <x:row r="440" ht="65" customHeight="1">
      <x:c r="A440" s="61" t="n">
        <x:v>45474</x:v>
      </x:c>
      <x:c r="B440" s="32" t="str">
        <x:v>Industria textil</x:v>
      </x:c>
      <x:c r="C440" s="32" t="str">
        <x:v>Industrias sin Aluar</x:v>
      </x:c>
      <x:c r="D440" s="62" t="n">
        <x:v>31</x:v>
      </x:c>
      <x:c r="E440" s="2" t="str">
        <x:v>Completo</x:v>
      </x:c>
      <x:c r="F440" s="56" t="n">
        <x:v>53.51257258064516</x:v>
      </x:c>
      <x:c r="G440" s="56" t="n">
        <x:f>F272</x:f>
        <x:v>63.15044892473118</x:v>
      </x:c>
      <x:c r="H440" s="57" t="n">
        <x:f>IF(ISNUMBER(G440),IF(G440=0,"n.a.",F440/G440-1),"n.a.")</x:f>
        <x:v>-0.15261770119121987</x:v>
      </x:c>
      <x:c r="I440" s="58" t="n">
        <x:f>F440/J440</x:f>
        <x:v>0.049902999298889965</x:v>
      </x:c>
      <x:c r="J440" s="56" t="n">
        <x:v>1072.3317903225807</x:v>
      </x:c>
    </x:row>
    <x:row r="441" ht="65" customHeight="1">
      <x:c r="A441" s="61" t="n">
        <x:v>45474</x:v>
      </x:c>
      <x:c r="B441" s="32" t="str">
        <x:v>Químicas, caucho, plástico y otros minerales no metálicos</x:v>
      </x:c>
      <x:c r="C441" s="32" t="str">
        <x:v>Industrias sin Aluar</x:v>
      </x:c>
      <x:c r="D441" s="62" t="n">
        <x:v>31</x:v>
      </x:c>
      <x:c r="E441" s="2" t="str">
        <x:v>Completo</x:v>
      </x:c>
      <x:c r="F441" s="56" t="n">
        <x:v>342.4649758064516</x:v>
      </x:c>
      <x:c r="G441" s="56" t="n">
        <x:f>F273</x:f>
        <x:v>324.12817338709675</x:v>
      </x:c>
      <x:c r="H441" s="57" t="n">
        <x:f>IF(ISNUMBER(G441),IF(G441=0,"n.a.",F441/G441-1),"n.a.")</x:f>
        <x:v>0.05657268921654568</x:v>
      </x:c>
      <x:c r="I441" s="58" t="n">
        <x:f>F441/J441</x:f>
        <x:v>0.31936475156017774</x:v>
      </x:c>
      <x:c r="J441" s="56" t="n">
        <x:v>1072.3317903225807</x:v>
      </x:c>
    </x:row>
    <x:row r="442" ht="65" customHeight="1">
      <x:c r="A442" s="61" t="n">
        <x:v>45474</x:v>
      </x:c>
      <x:c r="B442" s="32" t="str">
        <x:v>Extracción de minerales</x:v>
      </x:c>
      <x:c r="C442" s="32" t="str">
        <x:v>Petróleos y minerales</x:v>
      </x:c>
      <x:c r="D442" s="62" t="n">
        <x:v>31</x:v>
      </x:c>
      <x:c r="E442" s="2" t="str">
        <x:v>Completo</x:v>
      </x:c>
      <x:c r="F442" s="56" t="n">
        <x:v>22.565686827956988</x:v>
      </x:c>
      <x:c r="G442" s="56" t="n">
        <x:f>F274</x:f>
        <x:v>22.565838709677422</x:v>
      </x:c>
      <x:c r="H442" s="57" t="n">
        <x:f>IF(ISNUMBER(G442),IF(G442=0,"n.a.",F442/G442-1),"n.a.")</x:f>
        <x:v>-0.000006730603829496751</x:v>
      </x:c>
      <x:c r="I442" s="58" t="n">
        <x:f>F442/J442</x:f>
        <x:v>0.13414173585917397</x:v>
      </x:c>
      <x:c r="J442" s="56" t="n">
        <x:v>168.2227137096774</x:v>
      </x:c>
    </x:row>
    <x:row r="443" ht="65" customHeight="1">
      <x:c r="A443" s="61" t="n">
        <x:v>45474</x:v>
      </x:c>
      <x:c r="B443" s="32" t="str">
        <x:v>Extracción de petróleo</x:v>
      </x:c>
      <x:c r="C443" s="32" t="str">
        <x:v>Petróleos y minerales</x:v>
      </x:c>
      <x:c r="D443" s="62" t="n">
        <x:v>31</x:v>
      </x:c>
      <x:c r="E443" s="2" t="str">
        <x:v>Completo</x:v>
      </x:c>
      <x:c r="F443" s="56" t="n">
        <x:v>145.65702688172044</x:v>
      </x:c>
      <x:c r="G443" s="56" t="n">
        <x:f>F275</x:f>
        <x:v>164.81235887096773</x:v>
      </x:c>
      <x:c r="H443" s="57" t="n">
        <x:f>IF(ISNUMBER(G443),IF(G443=0,"n.a.",F443/G443-1),"n.a.")</x:f>
        <x:v>-0.11622509452852425</x:v>
      </x:c>
      <x:c r="I443" s="58" t="n">
        <x:f>F443/J443</x:f>
        <x:v>0.8658582641408262</x:v>
      </x:c>
      <x:c r="J443" s="56" t="n">
        <x:v>168.2227137096774</x:v>
      </x:c>
    </x:row>
    <x:row r="444" ht="65" customHeight="1">
      <x:c r="A444" s="61" t="n">
        <x:v>45505</x:v>
      </x:c>
      <x:c r="B444" s="32" t="str">
        <x:v>Cargas y puertos</x:v>
      </x:c>
      <x:c r="C444" s="32" t="str">
        <x:v>Alimentación, comercios y servicios</x:v>
      </x:c>
      <x:c r="D444" s="62" t="n">
        <x:v>31</x:v>
      </x:c>
      <x:c r="E444" s="2" t="str">
        <x:v>Completo</x:v>
      </x:c>
      <x:c r="F444" s="56" t="n">
        <x:v>9.959030913978495</x:v>
      </x:c>
      <x:c r="G444" s="56" t="n">
        <x:f>F276</x:f>
        <x:v>7.8863790322580645</x:v>
      </x:c>
      <x:c r="H444" s="57" t="n">
        <x:f>IF(ISNUMBER(G444),IF(G444=0,"n.a.",F444/G444-1),"n.a.")</x:f>
        <x:v>0.26281413475595783</x:v>
      </x:c>
      <x:c r="I444" s="58" t="n">
        <x:f>F444/J444</x:f>
        <x:v>0.02502075760221665</x:v>
      </x:c>
      <x:c r="J444" s="56" t="n">
        <x:v>398.03075</x:v>
      </x:c>
    </x:row>
    <x:row r="445" ht="65" customHeight="1">
      <x:c r="A445" s="61" t="n">
        <x:v>45505</x:v>
      </x:c>
      <x:c r="B445" s="32" t="str">
        <x:v>Comercio y servicios: principalmente supermercados y centros comerciales</x:v>
      </x:c>
      <x:c r="C445" s="32" t="str">
        <x:v>Alimentación, comercios y servicios</x:v>
      </x:c>
      <x:c r="D445" s="62" t="n">
        <x:v>31</x:v>
      </x:c>
      <x:c r="E445" s="2" t="str">
        <x:v>Completo</x:v>
      </x:c>
      <x:c r="F445" s="56" t="n">
        <x:v>32.436723118279566</x:v>
      </x:c>
      <x:c r="G445" s="56" t="n">
        <x:f>F277</x:f>
        <x:v>29.50452553763441</x:v>
      </x:c>
      <x:c r="H445" s="57" t="n">
        <x:f>IF(ISNUMBER(G445),IF(G445=0,"n.a.",F445/G445-1),"n.a.")</x:f>
        <x:v>0.09938128226820653</x:v>
      </x:c>
      <x:c r="I445" s="58" t="n">
        <x:f>F445/J445</x:f>
        <x:v>0.08149300806100927</x:v>
      </x:c>
      <x:c r="J445" s="56" t="n">
        <x:v>398.03075</x:v>
      </x:c>
    </x:row>
    <x:row r="446" ht="65" customHeight="1">
      <x:c r="A446" s="61" t="n">
        <x:v>45505</x:v>
      </x:c>
      <x:c r="B446" s="32" t="str">
        <x:v>Alimentación y artículos de consumo masivo</x:v>
      </x:c>
      <x:c r="C446" s="32" t="str">
        <x:v>Alimentación, comercios y servicios</x:v>
      </x:c>
      <x:c r="D446" s="62" t="n">
        <x:v>31</x:v>
      </x:c>
      <x:c r="E446" s="2" t="str">
        <x:v>Completo</x:v>
      </x:c>
      <x:c r="F446" s="56" t="n">
        <x:v>270.41067607526884</x:v>
      </x:c>
      <x:c r="G446" s="56" t="n">
        <x:f>F278</x:f>
        <x:v>267.00815188172044</x:v>
      </x:c>
      <x:c r="H446" s="57" t="n">
        <x:f>IF(ISNUMBER(G446),IF(G446=0,"n.a.",F446/G446-1),"n.a.")</x:f>
        <x:v>0.0127431472393984</x:v>
      </x:c>
      <x:c r="I446" s="58" t="n">
        <x:f>F446/J446</x:f>
        <x:v>0.6793713201185306</x:v>
      </x:c>
      <x:c r="J446" s="56" t="n">
        <x:v>398.03075</x:v>
      </x:c>
    </x:row>
    <x:row r="447" ht="65" customHeight="1">
      <x:c r="A447" s="61" t="n">
        <x:v>45505</x:v>
      </x:c>
      <x:c r="B447" s="32" t="str">
        <x:v>Servicios públicos y transporte: agua y transporte en GBA</x:v>
      </x:c>
      <x:c r="C447" s="32" t="str">
        <x:v>Alimentación, comercios y servicios</x:v>
      </x:c>
      <x:c r="D447" s="62" t="n">
        <x:v>31</x:v>
      </x:c>
      <x:c r="E447" s="2" t="str">
        <x:v>Completo</x:v>
      </x:c>
      <x:c r="F447" s="56" t="n">
        <x:v>85.22431989247312</x:v>
      </x:c>
      <x:c r="G447" s="56" t="n">
        <x:f>F279</x:f>
        <x:v>87.38067069892473</x:v>
      </x:c>
      <x:c r="H447" s="57" t="n">
        <x:f>IF(ISNUMBER(G447),IF(G447=0,"n.a.",F447/G447-1),"n.a.")</x:f>
        <x:v>-0.024677663712166398</x:v>
      </x:c>
      <x:c r="I447" s="58" t="n">
        <x:f>F447/J447</x:f>
        <x:v>0.21411491421824347</x:v>
      </x:c>
      <x:c r="J447" s="56" t="n">
        <x:v>398.03075</x:v>
      </x:c>
    </x:row>
    <x:row r="448" ht="65" customHeight="1">
      <x:c r="A448" s="61" t="n">
        <x:v>45505</x:v>
      </x:c>
      <x:c r="B448" s="32" t="str">
        <x:v>Industria automotriz</x:v>
      </x:c>
      <x:c r="C448" s="32" t="str">
        <x:v>Industrias sin Aluar</x:v>
      </x:c>
      <x:c r="D448" s="62" t="n">
        <x:v>31</x:v>
      </x:c>
      <x:c r="E448" s="2" t="str">
        <x:v>Completo</x:v>
      </x:c>
      <x:c r="F448" s="56" t="n">
        <x:v>42.96219623655914</x:v>
      </x:c>
      <x:c r="G448" s="56" t="n">
        <x:f>F280</x:f>
        <x:v>39.503408602150536</x:v>
      </x:c>
      <x:c r="H448" s="57" t="n">
        <x:f>IF(ISNUMBER(G448),IF(G448=0,"n.a.",F448/G448-1),"n.a.")</x:f>
        <x:v>0.08755668831626617</x:v>
      </x:c>
      <x:c r="I448" s="58" t="n">
        <x:f>F448/J448</x:f>
        <x:v>0.03961094566671294</x:v>
      </x:c>
      <x:c r="J448" s="56" t="n">
        <x:v>1084.6041545698924</x:v>
      </x:c>
    </x:row>
    <x:row r="449" ht="65" customHeight="1">
      <x:c r="A449" s="61" t="n">
        <x:v>45505</x:v>
      </x:c>
      <x:c r="B449" s="32" t="str">
        <x:v>Derivados de petróleo</x:v>
      </x:c>
      <x:c r="C449" s="32" t="str">
        <x:v>Industrias sin Aluar</x:v>
      </x:c>
      <x:c r="D449" s="62" t="n">
        <x:v>31</x:v>
      </x:c>
      <x:c r="E449" s="2" t="str">
        <x:v>Completo</x:v>
      </x:c>
      <x:c r="F449" s="56" t="n">
        <x:v>154.567001344086</x:v>
      </x:c>
      <x:c r="G449" s="56" t="n">
        <x:f>F281</x:f>
        <x:v>142.001876344086</x:v>
      </x:c>
      <x:c r="H449" s="57" t="n">
        <x:f>IF(ISNUMBER(G449),IF(G449=0,"n.a.",F449/G449-1),"n.a.")</x:f>
        <x:v>0.08848562655294301</x:v>
      </x:c>
      <x:c r="I449" s="58" t="n">
        <x:f>F449/J449</x:f>
        <x:v>0.14251005834048336</x:v>
      </x:c>
      <x:c r="J449" s="56" t="n">
        <x:v>1084.6041545698924</x:v>
      </x:c>
    </x:row>
    <x:row r="450" ht="65" customHeight="1">
      <x:c r="A450" s="61" t="n">
        <x:v>45505</x:v>
      </x:c>
      <x:c r="B450" s="32" t="str">
        <x:v>Construcción: elaboración de cemento y canteras</x:v>
      </x:c>
      <x:c r="C450" s="32" t="str">
        <x:v>Industrias sin Aluar</x:v>
      </x:c>
      <x:c r="D450" s="62" t="n">
        <x:v>31</x:v>
      </x:c>
      <x:c r="E450" s="2" t="str">
        <x:v>Completo</x:v>
      </x:c>
      <x:c r="F450" s="56" t="n">
        <x:v>133.24863978494622</x:v>
      </x:c>
      <x:c r="G450" s="56" t="n">
        <x:f>F282</x:f>
        <x:v>171.2518185483871</x:v>
      </x:c>
      <x:c r="H450" s="57" t="n">
        <x:f>IF(ISNUMBER(G450),IF(G450=0,"n.a.",F450/G450-1),"n.a.")</x:f>
        <x:v>-0.22191401577848413</x:v>
      </x:c>
      <x:c r="I450" s="58" t="n">
        <x:f>F450/J450</x:f>
        <x:v>0.1228546278598637</x:v>
      </x:c>
      <x:c r="J450" s="56" t="n">
        <x:v>1084.6041545698924</x:v>
      </x:c>
    </x:row>
    <x:row r="451" ht="65" customHeight="1">
      <x:c r="A451" s="61" t="n">
        <x:v>45505</x:v>
      </x:c>
      <x:c r="B451" s="32" t="str">
        <x:v>Madera y papel</x:v>
      </x:c>
      <x:c r="C451" s="32" t="str">
        <x:v>Industrias sin Aluar</x:v>
      </x:c>
      <x:c r="D451" s="62" t="n">
        <x:v>31</x:v>
      </x:c>
      <x:c r="E451" s="2" t="str">
        <x:v>Completo</x:v>
      </x:c>
      <x:c r="F451" s="56" t="n">
        <x:v>96.62161962365592</x:v>
      </x:c>
      <x:c r="G451" s="56" t="n">
        <x:f>F283</x:f>
        <x:v>105.49800134408602</x:v>
      </x:c>
      <x:c r="H451" s="57" t="n">
        <x:f>IF(ISNUMBER(G451),IF(G451=0,"n.a.",F451/G451-1),"n.a.")</x:f>
        <x:v>-0.08413791358453726</x:v>
      </x:c>
      <x:c r="I451" s="58" t="n">
        <x:f>F451/J451</x:f>
        <x:v>0.08908468515130473</x:v>
      </x:c>
      <x:c r="J451" s="56" t="n">
        <x:v>1084.6041545698924</x:v>
      </x:c>
    </x:row>
    <x:row r="452" ht="65" customHeight="1">
      <x:c r="A452" s="61" t="n">
        <x:v>45505</x:v>
      </x:c>
      <x:c r="B452" s="32" t="str">
        <x:v>Productos metálicos no automotores</x:v>
      </x:c>
      <x:c r="C452" s="32" t="str">
        <x:v>Industrias sin Aluar</x:v>
      </x:c>
      <x:c r="D452" s="62" t="n">
        <x:v>31</x:v>
      </x:c>
      <x:c r="E452" s="2" t="str">
        <x:v>Completo</x:v>
      </x:c>
      <x:c r="F452" s="56" t="n">
        <x:v>41.913873655913974</x:v>
      </x:c>
      <x:c r="G452" s="56" t="n">
        <x:f>F284</x:f>
        <x:v>50.94696774193548</x:v>
      </x:c>
      <x:c r="H452" s="57" t="n">
        <x:f>IF(ISNUMBER(G452),IF(G452=0,"n.a.",F452/G452-1),"n.a.")</x:f>
        <x:v>-0.17730386098299988</x:v>
      </x:c>
      <x:c r="I452" s="58" t="n">
        <x:f>F452/J452</x:f>
        <x:v>0.03864439710959361</x:v>
      </x:c>
      <x:c r="J452" s="56" t="n">
        <x:v>1084.6041545698924</x:v>
      </x:c>
    </x:row>
    <x:row r="453" ht="65" customHeight="1">
      <x:c r="A453" s="61" t="n">
        <x:v>45505</x:v>
      </x:c>
      <x:c r="B453" s="32" t="str">
        <x:v>Gran siderurgia</x:v>
      </x:c>
      <x:c r="C453" s="32" t="str">
        <x:v>Industrias sin Aluar</x:v>
      </x:c>
      <x:c r="D453" s="62" t="n">
        <x:v>31</x:v>
      </x:c>
      <x:c r="E453" s="2" t="str">
        <x:v>Completo</x:v>
      </x:c>
      <x:c r="F453" s="56" t="n">
        <x:v>254.93140725806452</x:v>
      </x:c>
      <x:c r="G453" s="56" t="n">
        <x:f>F285</x:f>
        <x:v>313.49506182795693</x:v>
      </x:c>
      <x:c r="H453" s="57" t="n">
        <x:f>IF(ISNUMBER(G453),IF(G453=0,"n.a.",F453/G453-1),"n.a.")</x:f>
        <x:v>-0.18680885825892712</x:v>
      </x:c>
      <x:c r="I453" s="58" t="n">
        <x:f>F453/J453</x:f>
        <x:v>0.2350455750920108</x:v>
      </x:c>
      <x:c r="J453" s="56" t="n">
        <x:v>1084.6041545698924</x:v>
      </x:c>
    </x:row>
    <x:row r="454" ht="65" customHeight="1">
      <x:c r="A454" s="61" t="n">
        <x:v>45505</x:v>
      </x:c>
      <x:c r="B454" s="32" t="str">
        <x:v>Industria textil</x:v>
      </x:c>
      <x:c r="C454" s="32" t="str">
        <x:v>Industrias sin Aluar</x:v>
      </x:c>
      <x:c r="D454" s="62" t="n">
        <x:v>31</x:v>
      </x:c>
      <x:c r="E454" s="2" t="str">
        <x:v>Completo</x:v>
      </x:c>
      <x:c r="F454" s="56" t="n">
        <x:v>54.60349731182796</x:v>
      </x:c>
      <x:c r="G454" s="56" t="n">
        <x:f>F286</x:f>
        <x:v>64.08151747311827</x:v>
      </x:c>
      <x:c r="H454" s="57" t="n">
        <x:f>IF(ISNUMBER(G454),IF(G454=0,"n.a.",F454/G454-1),"n.a.")</x:f>
        <x:v>-0.14790567600503957</x:v>
      </x:c>
      <x:c r="I454" s="58" t="n">
        <x:f>F454/J454</x:f>
        <x:v>0.050344171264475164</x:v>
      </x:c>
      <x:c r="J454" s="56" t="n">
        <x:v>1084.6041545698924</x:v>
      </x:c>
    </x:row>
    <x:row r="455" ht="65" customHeight="1">
      <x:c r="A455" s="61" t="n">
        <x:v>45505</x:v>
      </x:c>
      <x:c r="B455" s="32" t="str">
        <x:v>Químicas, caucho, plástico y otros minerales no metálicos</x:v>
      </x:c>
      <x:c r="C455" s="32" t="str">
        <x:v>Industrias sin Aluar</x:v>
      </x:c>
      <x:c r="D455" s="62" t="n">
        <x:v>31</x:v>
      </x:c>
      <x:c r="E455" s="2" t="str">
        <x:v>Completo</x:v>
      </x:c>
      <x:c r="F455" s="56" t="n">
        <x:v>305.7559193548387</x:v>
      </x:c>
      <x:c r="G455" s="56" t="n">
        <x:f>F287</x:f>
        <x:v>322.2451680107527</x:v>
      </x:c>
      <x:c r="H455" s="57" t="n">
        <x:f>IF(ISNUMBER(G455),IF(G455=0,"n.a.",F455/G455-1),"n.a.")</x:f>
        <x:v>-0.051169886449201396</x:v>
      </x:c>
      <x:c r="I455" s="58" t="n">
        <x:f>F455/J455</x:f>
        <x:v>0.2819055395155557</x:v>
      </x:c>
      <x:c r="J455" s="56" t="n">
        <x:v>1084.6041545698924</x:v>
      </x:c>
    </x:row>
    <x:row r="456" ht="65" customHeight="1">
      <x:c r="A456" s="61" t="n">
        <x:v>45505</x:v>
      </x:c>
      <x:c r="B456" s="32" t="str">
        <x:v>Extracción de minerales</x:v>
      </x:c>
      <x:c r="C456" s="32" t="str">
        <x:v>Petróleos y minerales</x:v>
      </x:c>
      <x:c r="D456" s="62" t="n">
        <x:v>31</x:v>
      </x:c>
      <x:c r="E456" s="2" t="str">
        <x:v>Completo</x:v>
      </x:c>
      <x:c r="F456" s="56" t="n">
        <x:v>22.694216397849463</x:v>
      </x:c>
      <x:c r="G456" s="56" t="n">
        <x:f>F288</x:f>
        <x:v>23.121170698924733</x:v>
      </x:c>
      <x:c r="H456" s="57" t="n">
        <x:f>IF(ISNUMBER(G456),IF(G456=0,"n.a.",F456/G456-1),"n.a.")</x:f>
        <x:v>-0.01846594649703981</x:v>
      </x:c>
      <x:c r="I456" s="58" t="n">
        <x:f>F456/J456</x:f>
        <x:v>0.13373089779184344</x:v>
      </x:c>
      <x:c r="J456" s="56" t="n">
        <x:v>169.70062096774194</x:v>
      </x:c>
    </x:row>
    <x:row r="457" ht="65" customHeight="1">
      <x:c r="A457" s="61" t="n">
        <x:v>45505</x:v>
      </x:c>
      <x:c r="B457" s="32" t="str">
        <x:v>Extracción de petróleo</x:v>
      </x:c>
      <x:c r="C457" s="32" t="str">
        <x:v>Petróleos y minerales</x:v>
      </x:c>
      <x:c r="D457" s="62" t="n">
        <x:v>31</x:v>
      </x:c>
      <x:c r="E457" s="2" t="str">
        <x:v>Completo</x:v>
      </x:c>
      <x:c r="F457" s="56" t="n">
        <x:v>147.00640456989248</x:v>
      </x:c>
      <x:c r="G457" s="56" t="n">
        <x:f>F289</x:f>
        <x:v>165.5475309139785</x:v>
      </x:c>
      <x:c r="H457" s="57" t="n">
        <x:f>IF(ISNUMBER(G457),IF(G457=0,"n.a.",F457/G457-1),"n.a.")</x:f>
        <x:v>-0.11199880929495909</x:v>
      </x:c>
      <x:c r="I457" s="58" t="n">
        <x:f>F457/J457</x:f>
        <x:v>0.8662691022081566</x:v>
      </x:c>
      <x:c r="J457" s="56" t="n">
        <x:v>169.70062096774194</x:v>
      </x:c>
    </x:row>
    <x:row r="458" ht="65" customHeight="1">
      <x:c r="A458" s="61" t="n">
        <x:v>45536</x:v>
      </x:c>
      <x:c r="B458" s="32" t="str">
        <x:v>Cargas y puertos</x:v>
      </x:c>
      <x:c r="C458" s="32" t="str">
        <x:v>Alimentación, comercios y servicios</x:v>
      </x:c>
      <x:c r="D458" s="62" t="n">
        <x:v>30</x:v>
      </x:c>
      <x:c r="E458" s="2" t="str">
        <x:v>Completo</x:v>
      </x:c>
      <x:c r="F458" s="56" t="n">
        <x:v>9.502590277777777</x:v>
      </x:c>
      <x:c r="G458" s="56" t="n">
        <x:f>F290</x:f>
        <x:v>9.090315277777778</x:v>
      </x:c>
      <x:c r="H458" s="57" t="n">
        <x:f>IF(ISNUMBER(G458),IF(G458=0,"n.a.",F458/G458-1),"n.a.")</x:f>
        <x:v>0.0453532124466407</x:v>
      </x:c>
      <x:c r="I458" s="58" t="n">
        <x:f>F458/J458</x:f>
        <x:v>0.022659389487634168</x:v>
      </x:c>
      <x:c r="J458" s="56" t="n">
        <x:v>419.3665625</x:v>
      </x:c>
    </x:row>
    <x:row r="459" ht="65" customHeight="1">
      <x:c r="A459" s="61" t="n">
        <x:v>45536</x:v>
      </x:c>
      <x:c r="B459" s="32" t="str">
        <x:v>Comercio y servicios: principalmente supermercados y centros comerciales</x:v>
      </x:c>
      <x:c r="C459" s="32" t="str">
        <x:v>Alimentación, comercios y servicios</x:v>
      </x:c>
      <x:c r="D459" s="62" t="n">
        <x:v>30</x:v>
      </x:c>
      <x:c r="E459" s="2" t="str">
        <x:v>Completo</x:v>
      </x:c>
      <x:c r="F459" s="56" t="n">
        <x:v>31.98450972222222</x:v>
      </x:c>
      <x:c r="G459" s="56" t="n">
        <x:f>F291</x:f>
        <x:v>28.15529861111111</x:v>
      </x:c>
      <x:c r="H459" s="57" t="n">
        <x:f>IF(ISNUMBER(G459),IF(G459=0,"n.a.",F459/G459-1),"n.a.")</x:f>
        <x:v>0.1360032143150478</x:v>
      </x:c>
      <x:c r="I459" s="58" t="n">
        <x:f>F459/J459</x:f>
        <x:v>0.07626862173166755</x:v>
      </x:c>
      <x:c r="J459" s="56" t="n">
        <x:v>419.3665625</x:v>
      </x:c>
    </x:row>
    <x:row r="460" ht="65" customHeight="1">
      <x:c r="A460" s="61" t="n">
        <x:v>45536</x:v>
      </x:c>
      <x:c r="B460" s="32" t="str">
        <x:v>Alimentación y artículos de consumo masivo</x:v>
      </x:c>
      <x:c r="C460" s="32" t="str">
        <x:v>Alimentación, comercios y servicios</x:v>
      </x:c>
      <x:c r="D460" s="62" t="n">
        <x:v>30</x:v>
      </x:c>
      <x:c r="E460" s="2" t="str">
        <x:v>Completo</x:v>
      </x:c>
      <x:c r="F460" s="56" t="n">
        <x:v>291.8013208333333</x:v>
      </x:c>
      <x:c r="G460" s="56" t="n">
        <x:f>F292</x:f>
        <x:v>264.2902</x:v>
      </x:c>
      <x:c r="H460" s="57" t="n">
        <x:f>IF(ISNUMBER(G460),IF(G460=0,"n.a.",F460/G460-1),"n.a.")</x:f>
        <x:v>0.10409436609202039</x:v>
      </x:c>
      <x:c r="I460" s="58" t="n">
        <x:f>F460/J460</x:f>
        <x:v>0.6958144662125592</x:v>
      </x:c>
      <x:c r="J460" s="56" t="n">
        <x:v>419.3665625</x:v>
      </x:c>
    </x:row>
    <x:row r="461" ht="65" customHeight="1">
      <x:c r="A461" s="61" t="n">
        <x:v>45536</x:v>
      </x:c>
      <x:c r="B461" s="32" t="str">
        <x:v>Servicios públicos y transporte: agua y transporte en GBA</x:v>
      </x:c>
      <x:c r="C461" s="32" t="str">
        <x:v>Alimentación, comercios y servicios</x:v>
      </x:c>
      <x:c r="D461" s="62" t="n">
        <x:v>30</x:v>
      </x:c>
      <x:c r="E461" s="2" t="str">
        <x:v>Completo</x:v>
      </x:c>
      <x:c r="F461" s="56" t="n">
        <x:v>86.07814166666667</x:v>
      </x:c>
      <x:c r="G461" s="56" t="n">
        <x:f>F293</x:f>
        <x:v>88.62477638888889</x:v>
      </x:c>
      <x:c r="H461" s="57" t="n">
        <x:f>IF(ISNUMBER(G461),IF(G461=0,"n.a.",F461/G461-1),"n.a.")</x:f>
        <x:v>-0.0287350200021661</x:v>
      </x:c>
      <x:c r="I461" s="58" t="n">
        <x:f>F461/J461</x:f>
        <x:v>0.20525752256813912</x:v>
      </x:c>
      <x:c r="J461" s="56" t="n">
        <x:v>419.3665625</x:v>
      </x:c>
    </x:row>
    <x:row r="462" ht="65" customHeight="1">
      <x:c r="A462" s="61" t="n">
        <x:v>45536</x:v>
      </x:c>
      <x:c r="B462" s="32" t="str">
        <x:v>Industria automotriz</x:v>
      </x:c>
      <x:c r="C462" s="32" t="str">
        <x:v>Industrias sin Aluar</x:v>
      </x:c>
      <x:c r="D462" s="62" t="n">
        <x:v>30</x:v>
      </x:c>
      <x:c r="E462" s="2" t="str">
        <x:v>Completo</x:v>
      </x:c>
      <x:c r="F462" s="56" t="n">
        <x:v>41.262163888888885</x:v>
      </x:c>
      <x:c r="G462" s="56" t="n">
        <x:f>F294</x:f>
        <x:v>38.29168611111111</x:v>
      </x:c>
      <x:c r="H462" s="57" t="n">
        <x:f>IF(ISNUMBER(G462),IF(G462=0,"n.a.",F462/G462-1),"n.a.")</x:f>
        <x:v>0.07757500594667799</x:v>
      </x:c>
      <x:c r="I462" s="58" t="n">
        <x:f>F462/J462</x:f>
        <x:v>0.035709638347652665</x:v>
      </x:c>
      <x:c r="J462" s="56" t="n">
        <x:v>1155.490948611111</x:v>
      </x:c>
    </x:row>
    <x:row r="463" ht="65" customHeight="1">
      <x:c r="A463" s="61" t="n">
        <x:v>45536</x:v>
      </x:c>
      <x:c r="B463" s="32" t="str">
        <x:v>Derivados de petróleo</x:v>
      </x:c>
      <x:c r="C463" s="32" t="str">
        <x:v>Industrias sin Aluar</x:v>
      </x:c>
      <x:c r="D463" s="62" t="n">
        <x:v>30</x:v>
      </x:c>
      <x:c r="E463" s="2" t="str">
        <x:v>Completo</x:v>
      </x:c>
      <x:c r="F463" s="56" t="n">
        <x:v>152.1239111111111</x:v>
      </x:c>
      <x:c r="G463" s="56" t="n">
        <x:f>F295</x:f>
        <x:v>154.9575</x:v>
      </x:c>
      <x:c r="H463" s="57" t="n">
        <x:f>IF(ISNUMBER(G463),IF(G463=0,"n.a.",F463/G463-1),"n.a.")</x:f>
        <x:v>-0.01828623260499751</x:v>
      </x:c>
      <x:c r="I463" s="58" t="n">
        <x:f>F463/J463</x:f>
        <x:v>0.13165305301089775</x:v>
      </x:c>
      <x:c r="J463" s="56" t="n">
        <x:v>1155.490948611111</x:v>
      </x:c>
    </x:row>
    <x:row r="464" ht="65" customHeight="1">
      <x:c r="A464" s="61" t="n">
        <x:v>45536</x:v>
      </x:c>
      <x:c r="B464" s="32" t="str">
        <x:v>Construcción: elaboración de cemento y canteras</x:v>
      </x:c>
      <x:c r="C464" s="32" t="str">
        <x:v>Industrias sin Aluar</x:v>
      </x:c>
      <x:c r="D464" s="62" t="n">
        <x:v>30</x:v>
      </x:c>
      <x:c r="E464" s="2" t="str">
        <x:v>Completo</x:v>
      </x:c>
      <x:c r="F464" s="56" t="n">
        <x:v>157.56987222222224</x:v>
      </x:c>
      <x:c r="G464" s="56" t="n">
        <x:f>F296</x:f>
        <x:v>186.83173472222222</x:v>
      </x:c>
      <x:c r="H464" s="57" t="n">
        <x:f>IF(ISNUMBER(G464),IF(G464=0,"n.a.",F464/G464-1),"n.a.")</x:f>
        <x:v>-0.15662147837735352</x:v>
      </x:c>
      <x:c r="I464" s="58" t="n">
        <x:f>F464/J464</x:f>
        <x:v>0.13636616748198652</x:v>
      </x:c>
      <x:c r="J464" s="56" t="n">
        <x:v>1155.490948611111</x:v>
      </x:c>
    </x:row>
    <x:row r="465" ht="65" customHeight="1">
      <x:c r="A465" s="61" t="n">
        <x:v>45536</x:v>
      </x:c>
      <x:c r="B465" s="32" t="str">
        <x:v>Madera y papel</x:v>
      </x:c>
      <x:c r="C465" s="32" t="str">
        <x:v>Industrias sin Aluar</x:v>
      </x:c>
      <x:c r="D465" s="62" t="n">
        <x:v>30</x:v>
      </x:c>
      <x:c r="E465" s="2" t="str">
        <x:v>Completo</x:v>
      </x:c>
      <x:c r="F465" s="56" t="n">
        <x:v>98.49534999999999</x:v>
      </x:c>
      <x:c r="G465" s="56" t="n">
        <x:f>F297</x:f>
        <x:v>110.37756388888889</x:v>
      </x:c>
      <x:c r="H465" s="57" t="n">
        <x:f>IF(ISNUMBER(G465),IF(G465=0,"n.a.",F465/G465-1),"n.a.")</x:f>
        <x:v>-0.1076506263614414</x:v>
      </x:c>
      <x:c r="I465" s="58" t="n">
        <x:f>F465/J465</x:f>
        <x:v>0.08524112639600548</x:v>
      </x:c>
      <x:c r="J465" s="56" t="n">
        <x:v>1155.490948611111</x:v>
      </x:c>
    </x:row>
    <x:row r="466" ht="65" customHeight="1">
      <x:c r="A466" s="61" t="n">
        <x:v>45536</x:v>
      </x:c>
      <x:c r="B466" s="32" t="str">
        <x:v>Productos metálicos no automotores</x:v>
      </x:c>
      <x:c r="C466" s="32" t="str">
        <x:v>Industrias sin Aluar</x:v>
      </x:c>
      <x:c r="D466" s="62" t="n">
        <x:v>30</x:v>
      </x:c>
      <x:c r="E466" s="2" t="str">
        <x:v>Completo</x:v>
      </x:c>
      <x:c r="F466" s="56" t="n">
        <x:v>42.796524999999995</x:v>
      </x:c>
      <x:c r="G466" s="56" t="n">
        <x:f>F298</x:f>
        <x:v>51.78169305555556</x:v>
      </x:c>
      <x:c r="H466" s="57" t="n">
        <x:f>IF(ISNUMBER(G466),IF(G466=0,"n.a.",F466/G466-1),"n.a.")</x:f>
        <x:v>-0.1735201675602911</x:v>
      </x:c>
      <x:c r="I466" s="58" t="n">
        <x:f>F466/J466</x:f>
        <x:v>0.037037525089608885</x:v>
      </x:c>
      <x:c r="J466" s="56" t="n">
        <x:v>1155.490948611111</x:v>
      </x:c>
    </x:row>
    <x:row r="467" ht="65" customHeight="1">
      <x:c r="A467" s="61" t="n">
        <x:v>45536</x:v>
      </x:c>
      <x:c r="B467" s="32" t="str">
        <x:v>Gran siderurgia</x:v>
      </x:c>
      <x:c r="C467" s="32" t="str">
        <x:v>Industrias sin Aluar</x:v>
      </x:c>
      <x:c r="D467" s="62" t="n">
        <x:v>30</x:v>
      </x:c>
      <x:c r="E467" s="2" t="str">
        <x:v>Completo</x:v>
      </x:c>
      <x:c r="F467" s="56" t="n">
        <x:v>277.0638638888889</x:v>
      </x:c>
      <x:c r="G467" s="56" t="n">
        <x:f>F299</x:f>
        <x:v>372.39305972222223</x:v>
      </x:c>
      <x:c r="H467" s="57" t="n">
        <x:f>IF(ISNUMBER(G467),IF(G467=0,"n.a.",F467/G467-1),"n.a.")</x:f>
        <x:v>-0.2559907961347129</x:v>
      </x:c>
      <x:c r="I467" s="58" t="n">
        <x:f>F467/J467</x:f>
        <x:v>0.23978021136549532</x:v>
      </x:c>
      <x:c r="J467" s="56" t="n">
        <x:v>1155.490948611111</x:v>
      </x:c>
    </x:row>
    <x:row r="468" ht="65" customHeight="1">
      <x:c r="A468" s="61" t="n">
        <x:v>45536</x:v>
      </x:c>
      <x:c r="B468" s="32" t="str">
        <x:v>Industria textil</x:v>
      </x:c>
      <x:c r="C468" s="32" t="str">
        <x:v>Industrias sin Aluar</x:v>
      </x:c>
      <x:c r="D468" s="62" t="n">
        <x:v>30</x:v>
      </x:c>
      <x:c r="E468" s="2" t="str">
        <x:v>Completo</x:v>
      </x:c>
      <x:c r="F468" s="56" t="n">
        <x:v>55.916716666666666</x:v>
      </x:c>
      <x:c r="G468" s="56" t="n">
        <x:f>F300</x:f>
        <x:v>65.2964375</x:v>
      </x:c>
      <x:c r="H468" s="57" t="n">
        <x:f>IF(ISNUMBER(G468),IF(G468=0,"n.a.",F468/G468-1),"n.a.")</x:f>
        <x:v>-0.1436482784123304</x:v>
      </x:c>
      <x:c r="I468" s="58" t="n">
        <x:f>F468/J468</x:f>
        <x:v>0.048392171945507684</x:v>
      </x:c>
      <x:c r="J468" s="56" t="n">
        <x:v>1155.490948611111</x:v>
      </x:c>
    </x:row>
    <x:row r="469" ht="65" customHeight="1">
      <x:c r="A469" s="61" t="n">
        <x:v>45536</x:v>
      </x:c>
      <x:c r="B469" s="32" t="str">
        <x:v>Químicas, caucho, plástico y otros minerales no metálicos</x:v>
      </x:c>
      <x:c r="C469" s="32" t="str">
        <x:v>Industrias sin Aluar</x:v>
      </x:c>
      <x:c r="D469" s="62" t="n">
        <x:v>30</x:v>
      </x:c>
      <x:c r="E469" s="2" t="str">
        <x:v>Completo</x:v>
      </x:c>
      <x:c r="F469" s="56" t="n">
        <x:v>330.2625458333333</x:v>
      </x:c>
      <x:c r="G469" s="56" t="n">
        <x:f>F301</x:f>
        <x:v>337.14813055555555</x:v>
      </x:c>
      <x:c r="H469" s="57" t="n">
        <x:f>IF(ISNUMBER(G469),IF(G469=0,"n.a.",F469/G469-1),"n.a.")</x:f>
        <x:v>-0.02042302506876159</x:v>
      </x:c>
      <x:c r="I469" s="58" t="n">
        <x:f>F469/J469</x:f>
        <x:v>0.28582010636284577</x:v>
      </x:c>
      <x:c r="J469" s="56" t="n">
        <x:v>1155.490948611111</x:v>
      </x:c>
    </x:row>
    <x:row r="470" ht="65" customHeight="1">
      <x:c r="A470" s="61" t="n">
        <x:v>45536</x:v>
      </x:c>
      <x:c r="B470" s="32" t="str">
        <x:v>Extracción de minerales</x:v>
      </x:c>
      <x:c r="C470" s="32" t="str">
        <x:v>Petróleos y minerales</x:v>
      </x:c>
      <x:c r="D470" s="62" t="n">
        <x:v>30</x:v>
      </x:c>
      <x:c r="E470" s="2" t="str">
        <x:v>Completo</x:v>
      </x:c>
      <x:c r="F470" s="56" t="n">
        <x:v>23.909290277777778</x:v>
      </x:c>
      <x:c r="G470" s="56" t="n">
        <x:f>F302</x:f>
        <x:v>23.118481944444444</x:v>
      </x:c>
      <x:c r="H470" s="57" t="n">
        <x:f>IF(ISNUMBER(G470),IF(G470=0,"n.a.",F470/G470-1),"n.a.")</x:f>
        <x:v>0.03420675869781209</x:v>
      </x:c>
      <x:c r="I470" s="58" t="n">
        <x:f>F470/J470</x:f>
        <x:v>0.14190007225453063</x:v>
      </x:c>
      <x:c r="J470" s="56" t="n">
        <x:v>168.49385555555554</x:v>
      </x:c>
    </x:row>
    <x:row r="471" ht="65" customHeight="1">
      <x:c r="A471" s="61" t="n">
        <x:v>45536</x:v>
      </x:c>
      <x:c r="B471" s="32" t="str">
        <x:v>Extracción de petróleo</x:v>
      </x:c>
      <x:c r="C471" s="32" t="str">
        <x:v>Petróleos y minerales</x:v>
      </x:c>
      <x:c r="D471" s="62" t="n">
        <x:v>30</x:v>
      </x:c>
      <x:c r="E471" s="2" t="str">
        <x:v>Completo</x:v>
      </x:c>
      <x:c r="F471" s="56" t="n">
        <x:v>144.58456527777778</x:v>
      </x:c>
      <x:c r="G471" s="56" t="n">
        <x:f>F303</x:f>
        <x:v>156.64385555555555</x:v>
      </x:c>
      <x:c r="H471" s="57" t="n">
        <x:f>IF(ISNUMBER(G471),IF(G471=0,"n.a.",F471/G471-1),"n.a.")</x:f>
        <x:v>-0.07698540255542163</x:v>
      </x:c>
      <x:c r="I471" s="58" t="n">
        <x:f>F471/J471</x:f>
        <x:v>0.8580999277454695</x:v>
      </x:c>
      <x:c r="J471" s="56" t="n">
        <x:v>168.49385555555554</x:v>
      </x:c>
    </x:row>
    <x:row r="472" ht="65" customHeight="1">
      <x:c r="A472" s="61" t="n">
        <x:v>45566</x:v>
      </x:c>
      <x:c r="B472" s="32" t="str">
        <x:v>Cargas y puertos</x:v>
      </x:c>
      <x:c r="C472" s="32" t="str">
        <x:v>Alimentación, comercios y servicios</x:v>
      </x:c>
      <x:c r="D472" s="62" t="n">
        <x:v>31</x:v>
      </x:c>
      <x:c r="E472" s="2" t="str">
        <x:v>Completo</x:v>
      </x:c>
      <x:c r="F472" s="56" t="n">
        <x:v>9.916600806451614</x:v>
      </x:c>
      <x:c r="G472" s="56" t="n">
        <x:f>F304</x:f>
        <x:v>9.658463709677418</x:v>
      </x:c>
      <x:c r="H472" s="57" t="n">
        <x:f>IF(ISNUMBER(G472),IF(G472=0,"n.a.",F472/G472-1),"n.a.")</x:f>
        <x:v>0.026726517232295688</x:v>
      </x:c>
      <x:c r="I472" s="58" t="n">
        <x:f>F472/J472</x:f>
        <x:v>0.023912005129454097</x:v>
      </x:c>
      <x:c r="J472" s="56" t="n">
        <x:v>414.7122231182796</x:v>
      </x:c>
    </x:row>
    <x:row r="473" ht="65" customHeight="1">
      <x:c r="A473" s="61" t="n">
        <x:v>45566</x:v>
      </x:c>
      <x:c r="B473" s="32" t="str">
        <x:v>Comercio y servicios: principalmente supermercados y centros comerciales</x:v>
      </x:c>
      <x:c r="C473" s="32" t="str">
        <x:v>Alimentación, comercios y servicios</x:v>
      </x:c>
      <x:c r="D473" s="62" t="n">
        <x:v>31</x:v>
      </x:c>
      <x:c r="E473" s="2" t="str">
        <x:v>Completo</x:v>
      </x:c>
      <x:c r="F473" s="56" t="n">
        <x:v>43.676810483870966</x:v>
      </x:c>
      <x:c r="G473" s="56" t="n">
        <x:f>F305</x:f>
        <x:v>30.093684139784948</x:v>
      </x:c>
      <x:c r="H473" s="57" t="n">
        <x:f>IF(ISNUMBER(G473),IF(G473=0,"n.a.",F473/G473-1),"n.a.")</x:f>
        <x:v>0.45136136476320066</x:v>
      </x:c>
      <x:c r="I473" s="58" t="n">
        <x:f>F473/J473</x:f>
        <x:v>0.1053183582472175</x:v>
      </x:c>
      <x:c r="J473" s="56" t="n">
        <x:v>414.7122231182796</x:v>
      </x:c>
    </x:row>
    <x:row r="474" ht="65" customHeight="1">
      <x:c r="A474" s="61" t="n">
        <x:v>45566</x:v>
      </x:c>
      <x:c r="B474" s="32" t="str">
        <x:v>Alimentación y artículos de consumo masivo</x:v>
      </x:c>
      <x:c r="C474" s="32" t="str">
        <x:v>Alimentación, comercios y servicios</x:v>
      </x:c>
      <x:c r="D474" s="62" t="n">
        <x:v>31</x:v>
      </x:c>
      <x:c r="E474" s="2" t="str">
        <x:v>Completo</x:v>
      </x:c>
      <x:c r="F474" s="56" t="n">
        <x:v>287.3545564516129</x:v>
      </x:c>
      <x:c r="G474" s="56" t="n">
        <x:f>F306</x:f>
        <x:v>251.34576209677414</x:v>
      </x:c>
      <x:c r="H474" s="57" t="n">
        <x:f>IF(ISNUMBER(G474),IF(G474=0,"n.a.",F474/G474-1),"n.a.")</x:f>
        <x:v>0.14326398048030153</x:v>
      </x:c>
      <x:c r="I474" s="58" t="n">
        <x:f>F474/J474</x:f>
        <x:v>0.6929011020966624</x:v>
      </x:c>
      <x:c r="J474" s="56" t="n">
        <x:v>414.7122231182796</x:v>
      </x:c>
    </x:row>
    <x:row r="475" ht="65" customHeight="1">
      <x:c r="A475" s="61" t="n">
        <x:v>45566</x:v>
      </x:c>
      <x:c r="B475" s="32" t="str">
        <x:v>Servicios públicos y transporte: agua y transporte en GBA</x:v>
      </x:c>
      <x:c r="C475" s="32" t="str">
        <x:v>Alimentación, comercios y servicios</x:v>
      </x:c>
      <x:c r="D475" s="62" t="n">
        <x:v>31</x:v>
      </x:c>
      <x:c r="E475" s="2" t="str">
        <x:v>Completo</x:v>
      </x:c>
      <x:c r="F475" s="56" t="n">
        <x:v>73.76425537634408</x:v>
      </x:c>
      <x:c r="G475" s="56" t="n">
        <x:f>F307</x:f>
        <x:v>86.44149731182794</x:v>
      </x:c>
      <x:c r="H475" s="57" t="n">
        <x:f>IF(ISNUMBER(G475),IF(G475=0,"n.a.",F475/G475-1),"n.a.")</x:f>
        <x:v>-0.14665689894000966</x:v>
      </x:c>
      <x:c r="I475" s="58" t="n">
        <x:f>F475/J475</x:f>
        <x:v>0.17786853452666587</x:v>
      </x:c>
      <x:c r="J475" s="56" t="n">
        <x:v>414.7122231182796</x:v>
      </x:c>
    </x:row>
    <x:row r="476" ht="65" customHeight="1">
      <x:c r="A476" s="61" t="n">
        <x:v>45566</x:v>
      </x:c>
      <x:c r="B476" s="32" t="str">
        <x:v>Industria automotriz</x:v>
      </x:c>
      <x:c r="C476" s="32" t="str">
        <x:v>Industrias sin Aluar</x:v>
      </x:c>
      <x:c r="D476" s="62" t="n">
        <x:v>31</x:v>
      </x:c>
      <x:c r="E476" s="2" t="str">
        <x:v>Completo</x:v>
      </x:c>
      <x:c r="F476" s="56" t="n">
        <x:v>42.818172043010755</x:v>
      </x:c>
      <x:c r="G476" s="56" t="n">
        <x:f>F308</x:f>
        <x:v>37.03747311827957</x:v>
      </x:c>
      <x:c r="H476" s="57" t="n">
        <x:f>IF(ISNUMBER(G476),IF(G476=0,"n.a.",F476/G476-1),"n.a.")</x:f>
        <x:v>0.15607703328654354</x:v>
      </x:c>
      <x:c r="I476" s="58" t="n">
        <x:f>F476/J476</x:f>
        <x:v>0.03689213226020126</x:v>
      </x:c>
      <x:c r="J476" s="56" t="n">
        <x:v>1160.6315336021505</x:v>
      </x:c>
    </x:row>
    <x:row r="477" ht="65" customHeight="1">
      <x:c r="A477" s="61" t="n">
        <x:v>45566</x:v>
      </x:c>
      <x:c r="B477" s="32" t="str">
        <x:v>Derivados de petróleo</x:v>
      </x:c>
      <x:c r="C477" s="32" t="str">
        <x:v>Industrias sin Aluar</x:v>
      </x:c>
      <x:c r="D477" s="62" t="n">
        <x:v>31</x:v>
      </x:c>
      <x:c r="E477" s="2" t="str">
        <x:v>Completo</x:v>
      </x:c>
      <x:c r="F477" s="56" t="n">
        <x:v>149.40455913978496</x:v>
      </x:c>
      <x:c r="G477" s="56" t="n">
        <x:f>F309</x:f>
        <x:v>140.4176370967742</x:v>
      </x:c>
      <x:c r="H477" s="57" t="n">
        <x:f>IF(ISNUMBER(G477),IF(G477=0,"n.a.",F477/G477-1),"n.a.")</x:f>
        <x:v>0.06400137638562509</x:v>
      </x:c>
      <x:c r="I477" s="58" t="n">
        <x:f>F477/J477</x:f>
        <x:v>0.12872695150379992</x:v>
      </x:c>
      <x:c r="J477" s="56" t="n">
        <x:v>1160.6315336021505</x:v>
      </x:c>
    </x:row>
    <x:row r="478" ht="65" customHeight="1">
      <x:c r="A478" s="61" t="n">
        <x:v>45566</x:v>
      </x:c>
      <x:c r="B478" s="32" t="str">
        <x:v>Construcción: elaboración de cemento y canteras</x:v>
      </x:c>
      <x:c r="C478" s="32" t="str">
        <x:v>Industrias sin Aluar</x:v>
      </x:c>
      <x:c r="D478" s="62" t="n">
        <x:v>31</x:v>
      </x:c>
      <x:c r="E478" s="2" t="str">
        <x:v>Completo</x:v>
      </x:c>
      <x:c r="F478" s="56" t="n">
        <x:v>172.92159543010752</x:v>
      </x:c>
      <x:c r="G478" s="56" t="n">
        <x:f>F310</x:f>
        <x:v>188.02799731182796</x:v>
      </x:c>
      <x:c r="H478" s="57" t="n">
        <x:f>IF(ISNUMBER(G478),IF(G478=0,"n.a.",F478/G478-1),"n.a.")</x:f>
        <x:v>-0.08034123693115658</x:v>
      </x:c>
      <x:c r="I478" s="58" t="n">
        <x:f>F478/J478</x:f>
        <x:v>0.14898922735058379</x:v>
      </x:c>
      <x:c r="J478" s="56" t="n">
        <x:v>1160.6315336021505</x:v>
      </x:c>
    </x:row>
    <x:row r="479" ht="65" customHeight="1">
      <x:c r="A479" s="61" t="n">
        <x:v>45566</x:v>
      </x:c>
      <x:c r="B479" s="32" t="str">
        <x:v>Madera y papel</x:v>
      </x:c>
      <x:c r="C479" s="32" t="str">
        <x:v>Industrias sin Aluar</x:v>
      </x:c>
      <x:c r="D479" s="62" t="n">
        <x:v>31</x:v>
      </x:c>
      <x:c r="E479" s="2" t="str">
        <x:v>Completo</x:v>
      </x:c>
      <x:c r="F479" s="56" t="n">
        <x:v>98.67534005376345</x:v>
      </x:c>
      <x:c r="G479" s="56" t="n">
        <x:f>F311</x:f>
        <x:v>106.23979569892474</x:v>
      </x:c>
      <x:c r="H479" s="57" t="n">
        <x:f>IF(ISNUMBER(G479),IF(G479=0,"n.a.",F479/G479-1),"n.a.")</x:f>
        <x:v>-0.07120171490726845</x:v>
      </x:c>
      <x:c r="I479" s="58" t="n">
        <x:f>F479/J479</x:f>
        <x:v>0.08501866199302154</x:v>
      </x:c>
      <x:c r="J479" s="56" t="n">
        <x:v>1160.6315336021505</x:v>
      </x:c>
    </x:row>
    <x:row r="480" ht="65" customHeight="1">
      <x:c r="A480" s="61" t="n">
        <x:v>45566</x:v>
      </x:c>
      <x:c r="B480" s="32" t="str">
        <x:v>Productos metálicos no automotores</x:v>
      </x:c>
      <x:c r="C480" s="32" t="str">
        <x:v>Industrias sin Aluar</x:v>
      </x:c>
      <x:c r="D480" s="62" t="n">
        <x:v>31</x:v>
      </x:c>
      <x:c r="E480" s="2" t="str">
        <x:v>Completo</x:v>
      </x:c>
      <x:c r="F480" s="56" t="n">
        <x:v>43.676311827956994</x:v>
      </x:c>
      <x:c r="G480" s="56" t="n">
        <x:f>F312</x:f>
        <x:v>50.29255510752688</x:v>
      </x:c>
      <x:c r="H480" s="57" t="n">
        <x:f>IF(ISNUMBER(G480),IF(G480=0,"n.a.",F480/G480-1),"n.a.")</x:f>
        <x:v>-0.1315551231275519</x:v>
      </x:c>
      <x:c r="I480" s="58" t="n">
        <x:f>F480/J480</x:f>
        <x:v>0.03763150540327183</x:v>
      </x:c>
      <x:c r="J480" s="56" t="n">
        <x:v>1160.6315336021505</x:v>
      </x:c>
    </x:row>
    <x:row r="481" ht="65" customHeight="1">
      <x:c r="A481" s="61" t="n">
        <x:v>45566</x:v>
      </x:c>
      <x:c r="B481" s="32" t="str">
        <x:v>Gran siderurgia</x:v>
      </x:c>
      <x:c r="C481" s="32" t="str">
        <x:v>Industrias sin Aluar</x:v>
      </x:c>
      <x:c r="D481" s="62" t="n">
        <x:v>31</x:v>
      </x:c>
      <x:c r="E481" s="2" t="str">
        <x:v>Completo</x:v>
      </x:c>
      <x:c r="F481" s="56" t="n">
        <x:v>295.38708467741935</x:v>
      </x:c>
      <x:c r="G481" s="56" t="n">
        <x:f>F313</x:f>
        <x:v>373.34215860215056</x:v>
      </x:c>
      <x:c r="H481" s="57" t="n">
        <x:f>IF(ISNUMBER(G481),IF(G481=0,"n.a.",F481/G481-1),"n.a.")</x:f>
        <x:v>-0.20880329780222728</x:v>
      </x:c>
      <x:c r="I481" s="58" t="n">
        <x:f>F481/J481</x:f>
        <x:v>0.25450547923737027</x:v>
      </x:c>
      <x:c r="J481" s="56" t="n">
        <x:v>1160.6315336021505</x:v>
      </x:c>
    </x:row>
    <x:row r="482" ht="65" customHeight="1">
      <x:c r="A482" s="61" t="n">
        <x:v>45566</x:v>
      </x:c>
      <x:c r="B482" s="32" t="str">
        <x:v>Industria textil</x:v>
      </x:c>
      <x:c r="C482" s="32" t="str">
        <x:v>Industrias sin Aluar</x:v>
      </x:c>
      <x:c r="D482" s="62" t="n">
        <x:v>31</x:v>
      </x:c>
      <x:c r="E482" s="2" t="str">
        <x:v>Completo</x:v>
      </x:c>
      <x:c r="F482" s="56" t="n">
        <x:v>58.80636155913979</x:v>
      </x:c>
      <x:c r="G482" s="56" t="n">
        <x:f>F314</x:f>
        <x:v>62.87235080645161</x:v>
      </x:c>
      <x:c r="H482" s="57" t="n">
        <x:f>IF(ISNUMBER(G482),IF(G482=0,"n.a.",F482/G482-1),"n.a.")</x:f>
        <x:v>-0.06467054587840526</x:v>
      </x:c>
      <x:c r="I482" s="58" t="n">
        <x:f>F482/J482</x:f>
        <x:v>0.05066755456542494</x:v>
      </x:c>
      <x:c r="J482" s="56" t="n">
        <x:v>1160.6315336021505</x:v>
      </x:c>
    </x:row>
    <x:row r="483" ht="65" customHeight="1">
      <x:c r="A483" s="61" t="n">
        <x:v>45566</x:v>
      </x:c>
      <x:c r="B483" s="32" t="str">
        <x:v>Químicas, caucho, plástico y otros minerales no metálicos</x:v>
      </x:c>
      <x:c r="C483" s="32" t="str">
        <x:v>Industrias sin Aluar</x:v>
      </x:c>
      <x:c r="D483" s="62" t="n">
        <x:v>31</x:v>
      </x:c>
      <x:c r="E483" s="2" t="str">
        <x:v>Completo</x:v>
      </x:c>
      <x:c r="F483" s="56" t="n">
        <x:v>298.94210887096773</x:v>
      </x:c>
      <x:c r="G483" s="56" t="n">
        <x:f>F315</x:f>
        <x:v>343.069125</x:v>
      </x:c>
      <x:c r="H483" s="57" t="n">
        <x:f>IF(ISNUMBER(G483),IF(G483=0,"n.a.",F483/G483-1),"n.a.")</x:f>
        <x:v>-0.12862427106791452</x:v>
      </x:c>
      <x:c r="I483" s="58" t="n">
        <x:f>F483/J483</x:f>
        <x:v>0.2575684876863265</x:v>
      </x:c>
      <x:c r="J483" s="56" t="n">
        <x:v>1160.6315336021505</x:v>
      </x:c>
    </x:row>
    <x:row r="484" ht="65" customHeight="1">
      <x:c r="A484" s="61" t="n">
        <x:v>45566</x:v>
      </x:c>
      <x:c r="B484" s="32" t="str">
        <x:v>Extracción de minerales</x:v>
      </x:c>
      <x:c r="C484" s="32" t="str">
        <x:v>Petróleos y minerales</x:v>
      </x:c>
      <x:c r="D484" s="62" t="n">
        <x:v>31</x:v>
      </x:c>
      <x:c r="E484" s="2" t="str">
        <x:v>Completo</x:v>
      </x:c>
      <x:c r="F484" s="56" t="n">
        <x:v>24.063864247311827</x:v>
      </x:c>
      <x:c r="G484" s="56" t="n">
        <x:f>F316</x:f>
        <x:v>22.651575268817204</x:v>
      </x:c>
      <x:c r="H484" s="57" t="n">
        <x:f>IF(ISNUMBER(G484),IF(G484=0,"n.a.",F484/G484-1),"n.a.")</x:f>
        <x:v>0.062348378059110976</x:v>
      </x:c>
      <x:c r="I484" s="58" t="n">
        <x:f>F484/J484</x:f>
        <x:v>0.13840380834764862</x:v>
      </x:c>
      <x:c r="J484" s="56" t="n">
        <x:v>173.86706720430107</x:v>
      </x:c>
    </x:row>
    <x:row r="485" ht="65" customHeight="1">
      <x:c r="A485" s="61" t="n">
        <x:v>45566</x:v>
      </x:c>
      <x:c r="B485" s="32" t="str">
        <x:v>Extracción de petróleo</x:v>
      </x:c>
      <x:c r="C485" s="32" t="str">
        <x:v>Petróleos y minerales</x:v>
      </x:c>
      <x:c r="D485" s="62" t="n">
        <x:v>31</x:v>
      </x:c>
      <x:c r="E485" s="2" t="str">
        <x:v>Completo</x:v>
      </x:c>
      <x:c r="F485" s="56" t="n">
        <x:v>149.80320295698925</x:v>
      </x:c>
      <x:c r="G485" s="56" t="n">
        <x:f>F317</x:f>
        <x:v>152.40779704301076</x:v>
      </x:c>
      <x:c r="H485" s="57" t="n">
        <x:f>IF(ISNUMBER(G485),IF(G485=0,"n.a.",F485/G485-1),"n.a.")</x:f>
        <x:v>-0.01708963804054242</x:v>
      </x:c>
      <x:c r="I485" s="58" t="n">
        <x:f>F485/J485</x:f>
        <x:v>0.8615961916523515</x:v>
      </x:c>
      <x:c r="J485" s="56" t="n">
        <x:v>173.86706720430107</x:v>
      </x:c>
    </x:row>
    <x:row r="486" ht="65" customHeight="1">
      <x:c r="A486" s="61" t="n">
        <x:v>45597</x:v>
      </x:c>
      <x:c r="B486" s="32" t="str">
        <x:v>Cargas y puertos</x:v>
      </x:c>
      <x:c r="C486" s="32" t="str">
        <x:v>Alimentación, comercios y servicios</x:v>
      </x:c>
      <x:c r="D486" s="62" t="n">
        <x:v>30</x:v>
      </x:c>
      <x:c r="E486" s="2" t="str">
        <x:v>Completo</x:v>
      </x:c>
      <x:c r="F486" s="56" t="n">
        <x:v>10.34502638888889</x:v>
      </x:c>
      <x:c r="G486" s="56" t="n">
        <x:f>F318</x:f>
        <x:v>10.10809861111111</x:v>
      </x:c>
      <x:c r="H486" s="57" t="n">
        <x:f>IF(ISNUMBER(G486),IF(G486=0,"n.a.",F486/G486-1),"n.a.")</x:f>
        <x:v>0.02343940110728071</x:v>
      </x:c>
      <x:c r="I486" s="58" t="n">
        <x:f>F486/J486</x:f>
        <x:v>0.024210387588451194</x:v>
      </x:c>
      <x:c r="J486" s="56" t="n">
        <x:v>427.29701666666665</x:v>
      </x:c>
    </x:row>
    <x:row r="487" ht="65" customHeight="1">
      <x:c r="A487" s="61" t="n">
        <x:v>45597</x:v>
      </x:c>
      <x:c r="B487" s="32" t="str">
        <x:v>Comercio y servicios: principalmente supermercados y centros comerciales</x:v>
      </x:c>
      <x:c r="C487" s="32" t="str">
        <x:v>Alimentación, comercios y servicios</x:v>
      </x:c>
      <x:c r="D487" s="62" t="n">
        <x:v>30</x:v>
      </x:c>
      <x:c r="E487" s="2" t="str">
        <x:v>Completo</x:v>
      </x:c>
      <x:c r="F487" s="56" t="n">
        <x:v>48.0542125</x:v>
      </x:c>
      <x:c r="G487" s="56" t="n">
        <x:f>F319</x:f>
        <x:v>36.82725</x:v>
      </x:c>
      <x:c r="H487" s="57" t="n">
        <x:f>IF(ISNUMBER(G487),IF(G487=0,"n.a.",F487/G487-1),"n.a.")</x:f>
        <x:v>0.30485476108044995</x:v>
      </x:c>
      <x:c r="I487" s="58" t="n">
        <x:f>F487/J487</x:f>
        <x:v>0.11246091272733358</x:v>
      </x:c>
      <x:c r="J487" s="56" t="n">
        <x:v>427.29701666666665</x:v>
      </x:c>
    </x:row>
    <x:row r="488" ht="65" customHeight="1">
      <x:c r="A488" s="61" t="n">
        <x:v>45597</x:v>
      </x:c>
      <x:c r="B488" s="32" t="str">
        <x:v>Alimentación y artículos de consumo masivo</x:v>
      </x:c>
      <x:c r="C488" s="32" t="str">
        <x:v>Alimentación, comercios y servicios</x:v>
      </x:c>
      <x:c r="D488" s="62" t="n">
        <x:v>30</x:v>
      </x:c>
      <x:c r="E488" s="2" t="str">
        <x:v>Completo</x:v>
      </x:c>
      <x:c r="F488" s="56" t="n">
        <x:v>294.1251888888889</x:v>
      </x:c>
      <x:c r="G488" s="56" t="n">
        <x:f>F320</x:f>
        <x:v>261.1768861111111</x:v>
      </x:c>
      <x:c r="H488" s="57" t="n">
        <x:f>IF(ISNUMBER(G488),IF(G488=0,"n.a.",F488/G488-1),"n.a.")</x:f>
        <x:v>0.12615321083107167</x:v>
      </x:c>
      <x:c r="I488" s="58" t="n">
        <x:f>F488/J488</x:f>
        <x:v>0.6883389712929712</x:v>
      </x:c>
      <x:c r="J488" s="56" t="n">
        <x:v>427.29701666666665</x:v>
      </x:c>
    </x:row>
    <x:row r="489" ht="65" customHeight="1">
      <x:c r="A489" s="61" t="n">
        <x:v>45597</x:v>
      </x:c>
      <x:c r="B489" s="32" t="str">
        <x:v>Servicios públicos y transporte: agua y transporte en GBA</x:v>
      </x:c>
      <x:c r="C489" s="32" t="str">
        <x:v>Alimentación, comercios y servicios</x:v>
      </x:c>
      <x:c r="D489" s="62" t="n">
        <x:v>30</x:v>
      </x:c>
      <x:c r="E489" s="2" t="str">
        <x:v>Completo</x:v>
      </x:c>
      <x:c r="F489" s="56" t="n">
        <x:v>74.77258888888888</x:v>
      </x:c>
      <x:c r="G489" s="56" t="n">
        <x:f>F321</x:f>
        <x:v>87.20690555555555</x:v>
      </x:c>
      <x:c r="H489" s="57" t="n">
        <x:f>IF(ISNUMBER(G489),IF(G489=0,"n.a.",F489/G489-1),"n.a.")</x:f>
        <x:v>-0.1425840830775189</x:v>
      </x:c>
      <x:c r="I489" s="58" t="n">
        <x:f>F489/J489</x:f>
        <x:v>0.17498972839124405</x:v>
      </x:c>
      <x:c r="J489" s="56" t="n">
        <x:v>427.29701666666665</x:v>
      </x:c>
    </x:row>
    <x:row r="490" ht="65" customHeight="1">
      <x:c r="A490" s="61" t="n">
        <x:v>45597</x:v>
      </x:c>
      <x:c r="B490" s="32" t="str">
        <x:v>Industria automotriz</x:v>
      </x:c>
      <x:c r="C490" s="32" t="str">
        <x:v>Industrias sin Aluar</x:v>
      </x:c>
      <x:c r="D490" s="62" t="n">
        <x:v>30</x:v>
      </x:c>
      <x:c r="E490" s="2" t="str">
        <x:v>Completo</x:v>
      </x:c>
      <x:c r="F490" s="56" t="n">
        <x:v>45.94604583333333</x:v>
      </x:c>
      <x:c r="G490" s="56" t="n">
        <x:f>F322</x:f>
        <x:v>46.246047222222224</x:v>
      </x:c>
      <x:c r="H490" s="57" t="n">
        <x:f>IF(ISNUMBER(G490),IF(G490=0,"n.a.",F490/G490-1),"n.a.")</x:f>
        <x:v>-0.006487070937053807</x:v>
      </x:c>
      <x:c r="I490" s="58" t="n">
        <x:f>F490/J490</x:f>
        <x:v>0.0383181627462201</x:v>
      </x:c>
      <x:c r="J490" s="56" t="n">
        <x:v>1199.067036111111</x:v>
      </x:c>
    </x:row>
    <x:row r="491" ht="65" customHeight="1">
      <x:c r="A491" s="61" t="n">
        <x:v>45597</x:v>
      </x:c>
      <x:c r="B491" s="32" t="str">
        <x:v>Derivados de petróleo</x:v>
      </x:c>
      <x:c r="C491" s="32" t="str">
        <x:v>Industrias sin Aluar</x:v>
      </x:c>
      <x:c r="D491" s="62" t="n">
        <x:v>30</x:v>
      </x:c>
      <x:c r="E491" s="2" t="str">
        <x:v>Completo</x:v>
      </x:c>
      <x:c r="F491" s="56" t="n">
        <x:v>165.5309777777778</x:v>
      </x:c>
      <x:c r="G491" s="56" t="n">
        <x:f>F323</x:f>
        <x:v>166.46679444444445</x:v>
      </x:c>
      <x:c r="H491" s="57" t="n">
        <x:f>IF(ISNUMBER(G491),IF(G491=0,"n.a.",F491/G491-1),"n.a.")</x:f>
        <x:v>-0.005621641660066734</x:v>
      </x:c>
      <x:c r="I491" s="58" t="n">
        <x:f>F491/J491</x:f>
        <x:v>0.1380498110553003</x:v>
      </x:c>
      <x:c r="J491" s="56" t="n">
        <x:v>1199.067036111111</x:v>
      </x:c>
    </x:row>
    <x:row r="492" ht="65" customHeight="1">
      <x:c r="A492" s="61" t="n">
        <x:v>45597</x:v>
      </x:c>
      <x:c r="B492" s="32" t="str">
        <x:v>Construcción: elaboración de cemento y canteras</x:v>
      </x:c>
      <x:c r="C492" s="32" t="str">
        <x:v>Industrias sin Aluar</x:v>
      </x:c>
      <x:c r="D492" s="62" t="n">
        <x:v>30</x:v>
      </x:c>
      <x:c r="E492" s="2" t="str">
        <x:v>Completo</x:v>
      </x:c>
      <x:c r="F492" s="56" t="n">
        <x:v>163.7979222222222</x:v>
      </x:c>
      <x:c r="G492" s="56" t="n">
        <x:f>F324</x:f>
        <x:v>181.767525</x:v>
      </x:c>
      <x:c r="H492" s="57" t="n">
        <x:f>IF(ISNUMBER(G492),IF(G492=0,"n.a.",F492/G492-1),"n.a.")</x:f>
        <x:v>-0.09886035900955237</x:v>
      </x:c>
      <x:c r="I492" s="58" t="n">
        <x:f>F492/J492</x:f>
        <x:v>0.13660447438657128</x:v>
      </x:c>
      <x:c r="J492" s="56" t="n">
        <x:v>1199.067036111111</x:v>
      </x:c>
    </x:row>
    <x:row r="493" ht="65" customHeight="1">
      <x:c r="A493" s="61" t="n">
        <x:v>45597</x:v>
      </x:c>
      <x:c r="B493" s="32" t="str">
        <x:v>Madera y papel</x:v>
      </x:c>
      <x:c r="C493" s="32" t="str">
        <x:v>Industrias sin Aluar</x:v>
      </x:c>
      <x:c r="D493" s="62" t="n">
        <x:v>30</x:v>
      </x:c>
      <x:c r="E493" s="2" t="str">
        <x:v>Completo</x:v>
      </x:c>
      <x:c r="F493" s="56" t="n">
        <x:v>108.59955416666666</x:v>
      </x:c>
      <x:c r="G493" s="56" t="n">
        <x:f>F325</x:f>
        <x:v>111.24213333333334</x:v>
      </x:c>
      <x:c r="H493" s="57" t="n">
        <x:f>IF(ISNUMBER(G493),IF(G493=0,"n.a.",F493/G493-1),"n.a.")</x:f>
        <x:v>-0.023755200367726492</x:v>
      </x:c>
      <x:c r="I493" s="58" t="n">
        <x:f>F493/J493</x:f>
        <x:v>0.0905700439559105</x:v>
      </x:c>
      <x:c r="J493" s="56" t="n">
        <x:v>1199.067036111111</x:v>
      </x:c>
    </x:row>
    <x:row r="494" ht="65" customHeight="1">
      <x:c r="A494" s="61" t="n">
        <x:v>45597</x:v>
      </x:c>
      <x:c r="B494" s="32" t="str">
        <x:v>Productos metálicos no automotores</x:v>
      </x:c>
      <x:c r="C494" s="32" t="str">
        <x:v>Industrias sin Aluar</x:v>
      </x:c>
      <x:c r="D494" s="62" t="n">
        <x:v>30</x:v>
      </x:c>
      <x:c r="E494" s="2" t="str">
        <x:v>Completo</x:v>
      </x:c>
      <x:c r="F494" s="56" t="n">
        <x:v>44.630475000000004</x:v>
      </x:c>
      <x:c r="G494" s="56" t="n">
        <x:f>F326</x:f>
        <x:v>49.571956944444445</x:v>
      </x:c>
      <x:c r="H494" s="57" t="n">
        <x:f>IF(ISNUMBER(G494),IF(G494=0,"n.a.",F494/G494-1),"n.a.")</x:f>
        <x:v>-0.09968301130379797</x:v>
      </x:c>
      <x:c r="I494" s="58" t="n">
        <x:f>F494/J494</x:f>
        <x:v>0.037221000707974045</x:v>
      </x:c>
      <x:c r="J494" s="56" t="n">
        <x:v>1199.067036111111</x:v>
      </x:c>
    </x:row>
    <x:row r="495" ht="65" customHeight="1">
      <x:c r="A495" s="61" t="n">
        <x:v>45597</x:v>
      </x:c>
      <x:c r="B495" s="32" t="str">
        <x:v>Gran siderurgia</x:v>
      </x:c>
      <x:c r="C495" s="32" t="str">
        <x:v>Industrias sin Aluar</x:v>
      </x:c>
      <x:c r="D495" s="62" t="n">
        <x:v>30</x:v>
      </x:c>
      <x:c r="E495" s="2" t="str">
        <x:v>Completo</x:v>
      </x:c>
      <x:c r="F495" s="56" t="n">
        <x:v>292.23266944444447</x:v>
      </x:c>
      <x:c r="G495" s="56" t="n">
        <x:f>F327</x:f>
        <x:v>351.0860930555555</x:v>
      </x:c>
      <x:c r="H495" s="57" t="n">
        <x:f>IF(ISNUMBER(G495),IF(G495=0,"n.a.",F495/G495-1),"n.a.")</x:f>
        <x:v>-0.16763245476031474</x:v>
      </x:c>
      <x:c r="I495" s="58" t="n">
        <x:f>F495/J495</x:f>
        <x:v>0.24371670694261738</x:v>
      </x:c>
      <x:c r="J495" s="56" t="n">
        <x:v>1199.067036111111</x:v>
      </x:c>
    </x:row>
    <x:row r="496" ht="65" customHeight="1">
      <x:c r="A496" s="61" t="n">
        <x:v>45597</x:v>
      </x:c>
      <x:c r="B496" s="32" t="str">
        <x:v>Industria textil</x:v>
      </x:c>
      <x:c r="C496" s="32" t="str">
        <x:v>Industrias sin Aluar</x:v>
      </x:c>
      <x:c r="D496" s="62" t="n">
        <x:v>30</x:v>
      </x:c>
      <x:c r="E496" s="2" t="str">
        <x:v>Completo</x:v>
      </x:c>
      <x:c r="F496" s="56" t="n">
        <x:v>60.52300138888889</x:v>
      </x:c>
      <x:c r="G496" s="56" t="n">
        <x:f>F328</x:f>
        <x:v>66.27253750000001</x:v>
      </x:c>
      <x:c r="H496" s="57" t="n">
        <x:f>IF(ISNUMBER(G496),IF(G496=0,"n.a.",F496/G496-1),"n.a.")</x:f>
        <x:v>-0.08675593734601028</x:v>
      </x:c>
      <x:c r="I496" s="58" t="n">
        <x:f>F496/J496</x:f>
        <x:v>0.050475077344450114</x:v>
      </x:c>
      <x:c r="J496" s="56" t="n">
        <x:v>1199.067036111111</x:v>
      </x:c>
    </x:row>
    <x:row r="497" ht="65" customHeight="1">
      <x:c r="A497" s="61" t="n">
        <x:v>45597</x:v>
      </x:c>
      <x:c r="B497" s="32" t="str">
        <x:v>Químicas, caucho, plástico y otros minerales no metálicos</x:v>
      </x:c>
      <x:c r="C497" s="32" t="str">
        <x:v>Industrias sin Aluar</x:v>
      </x:c>
      <x:c r="D497" s="62" t="n">
        <x:v>30</x:v>
      </x:c>
      <x:c r="E497" s="2" t="str">
        <x:v>Completo</x:v>
      </x:c>
      <x:c r="F497" s="56" t="n">
        <x:v>317.8063902777778</x:v>
      </x:c>
      <x:c r="G497" s="56" t="n">
        <x:f>F329</x:f>
        <x:v>332.10415555555556</x:v>
      </x:c>
      <x:c r="H497" s="57" t="n">
        <x:f>IF(ISNUMBER(G497),IF(G497=0,"n.a.",F497/G497-1),"n.a.")</x:f>
        <x:v>-0.043052051709079</x:v>
      </x:c>
      <x:c r="I497" s="58" t="n">
        <x:f>F497/J497</x:f>
        <x:v>0.26504472286095637</x:v>
      </x:c>
      <x:c r="J497" s="56" t="n">
        <x:v>1199.067036111111</x:v>
      </x:c>
    </x:row>
    <x:row r="498" ht="65" customHeight="1">
      <x:c r="A498" s="61" t="n">
        <x:v>45597</x:v>
      </x:c>
      <x:c r="B498" s="32" t="str">
        <x:v>Extracción de minerales</x:v>
      </x:c>
      <x:c r="C498" s="32" t="str">
        <x:v>Petróleos y minerales</x:v>
      </x:c>
      <x:c r="D498" s="62" t="n">
        <x:v>30</x:v>
      </x:c>
      <x:c r="E498" s="2" t="str">
        <x:v>Completo</x:v>
      </x:c>
      <x:c r="F498" s="56" t="n">
        <x:v>24.36278472222222</x:v>
      </x:c>
      <x:c r="G498" s="56" t="n">
        <x:f>F330</x:f>
        <x:v>22.9203875</x:v>
      </x:c>
      <x:c r="H498" s="57" t="n">
        <x:f>IF(ISNUMBER(G498),IF(G498=0,"n.a.",F498/G498-1),"n.a.")</x:f>
        <x:v>0.06293075203123077</x:v>
      </x:c>
      <x:c r="I498" s="58" t="n">
        <x:f>F498/J498</x:f>
        <x:v>0.1427708885608386</x:v>
      </x:c>
      <x:c r="J498" s="56" t="n">
        <x:v>170.64252361111113</x:v>
      </x:c>
    </x:row>
    <x:row r="499" ht="65" customHeight="1">
      <x:c r="A499" s="61" t="n">
        <x:v>45597</x:v>
      </x:c>
      <x:c r="B499" s="32" t="str">
        <x:v>Extracción de petróleo</x:v>
      </x:c>
      <x:c r="C499" s="32" t="str">
        <x:v>Petróleos y minerales</x:v>
      </x:c>
      <x:c r="D499" s="62" t="n">
        <x:v>30</x:v>
      </x:c>
      <x:c r="E499" s="2" t="str">
        <x:v>Completo</x:v>
      </x:c>
      <x:c r="F499" s="56" t="n">
        <x:v>146.2797388888889</x:v>
      </x:c>
      <x:c r="G499" s="56" t="n">
        <x:f>F331</x:f>
        <x:v>143.01479027777776</x:v>
      </x:c>
      <x:c r="H499" s="57" t="n">
        <x:f>IF(ISNUMBER(G499),IF(G499=0,"n.a.",F499/G499-1),"n.a.")</x:f>
        <x:v>0.02282944725345959</x:v>
      </x:c>
      <x:c r="I499" s="58" t="n">
        <x:f>F499/J499</x:f>
        <x:v>0.8572291114391613</x:v>
      </x:c>
      <x:c r="J499" s="56" t="n">
        <x:v>170.64252361111113</x:v>
      </x:c>
    </x:row>
    <x:row r="500" ht="65" customHeight="1">
      <x:c r="A500" s="61" t="n">
        <x:v>45627</x:v>
      </x:c>
      <x:c r="B500" s="32" t="str">
        <x:v>Cargas y puertos</x:v>
      </x:c>
      <x:c r="C500" s="32" t="str">
        <x:v>Alimentación, comercios y servicios</x:v>
      </x:c>
      <x:c r="D500" s="62" t="n">
        <x:v>31</x:v>
      </x:c>
      <x:c r="E500" s="2" t="str">
        <x:v>Completo</x:v>
      </x:c>
      <x:c r="F500" s="56" t="n">
        <x:v>10.494112903225806</x:v>
      </x:c>
      <x:c r="G500" s="56" t="n">
        <x:f>F332</x:f>
        <x:v>10.850903225806452</x:v>
      </x:c>
      <x:c r="H500" s="57" t="n">
        <x:f>IF(ISNUMBER(G500),IF(G500=0,"n.a.",F500/G500-1),"n.a.")</x:f>
        <x:v>-0.03288116345302006</x:v>
      </x:c>
      <x:c r="I500" s="58" t="n">
        <x:f>F500/J500</x:f>
        <x:v>0.026228023546789783</x:v>
      </x:c>
      <x:c r="J500" s="56" t="n">
        <x:v>400.1107016129032</x:v>
      </x:c>
    </x:row>
    <x:row r="501" ht="65" customHeight="1">
      <x:c r="A501" s="61" t="n">
        <x:v>45627</x:v>
      </x:c>
      <x:c r="B501" s="32" t="str">
        <x:v>Comercio y servicios: principalmente supermercados y centros comerciales</x:v>
      </x:c>
      <x:c r="C501" s="32" t="str">
        <x:v>Alimentación, comercios y servicios</x:v>
      </x:c>
      <x:c r="D501" s="62" t="n">
        <x:v>31</x:v>
      </x:c>
      <x:c r="E501" s="2" t="str">
        <x:v>Completo</x:v>
      </x:c>
      <x:c r="F501" s="56" t="n">
        <x:v>49.697990591397854</x:v>
      </x:c>
      <x:c r="G501" s="56" t="n">
        <x:f>F333</x:f>
        <x:v>39.50687903225806</x:v>
      </x:c>
      <x:c r="H501" s="57" t="n">
        <x:f>IF(ISNUMBER(G501),IF(G501=0,"n.a.",F501/G501-1),"n.a.")</x:f>
        <x:v>0.2579579002132406</x:v>
      </x:c>
      <x:c r="I501" s="58" t="n">
        <x:f>F501/J501</x:f>
        <x:v>0.12421060069390341</x:v>
      </x:c>
      <x:c r="J501" s="56" t="n">
        <x:v>400.1107016129032</x:v>
      </x:c>
    </x:row>
    <x:row r="502" ht="65" customHeight="1">
      <x:c r="A502" s="61" t="n">
        <x:v>45627</x:v>
      </x:c>
      <x:c r="B502" s="32" t="str">
        <x:v>Alimentación y artículos de consumo masivo</x:v>
      </x:c>
      <x:c r="C502" s="32" t="str">
        <x:v>Alimentación, comercios y servicios</x:v>
      </x:c>
      <x:c r="D502" s="62" t="n">
        <x:v>31</x:v>
      </x:c>
      <x:c r="E502" s="2" t="str">
        <x:v>Completo</x:v>
      </x:c>
      <x:c r="F502" s="56" t="n">
        <x:v>265.6165067204301</x:v>
      </x:c>
      <x:c r="G502" s="56" t="n">
        <x:f>F334</x:f>
        <x:v>253.93697983870965</x:v>
      </x:c>
      <x:c r="H502" s="57" t="n">
        <x:f>IF(ISNUMBER(G502),IF(G502=0,"n.a.",F502/G502-1),"n.a.")</x:f>
        <x:v>0.045993800860114176</x:v>
      </x:c>
      <x:c r="I502" s="58" t="n">
        <x:f>F502/J502</x:f>
        <x:v>0.6638575415496065</x:v>
      </x:c>
      <x:c r="J502" s="56" t="n">
        <x:v>400.1107016129032</x:v>
      </x:c>
    </x:row>
    <x:row r="503" ht="65" customHeight="1">
      <x:c r="A503" s="61" t="n">
        <x:v>45627</x:v>
      </x:c>
      <x:c r="B503" s="32" t="str">
        <x:v>Servicios públicos y transporte: agua y transporte en GBA</x:v>
      </x:c>
      <x:c r="C503" s="32" t="str">
        <x:v>Alimentación, comercios y servicios</x:v>
      </x:c>
      <x:c r="D503" s="62" t="n">
        <x:v>31</x:v>
      </x:c>
      <x:c r="E503" s="2" t="str">
        <x:v>Completo</x:v>
      </x:c>
      <x:c r="F503" s="56" t="n">
        <x:v>74.30209139784945</x:v>
      </x:c>
      <x:c r="G503" s="56" t="n">
        <x:f>F335</x:f>
        <x:v>87.48374059139785</x:v>
      </x:c>
      <x:c r="H503" s="57" t="n">
        <x:f>IF(ISNUMBER(G503),IF(G503=0,"n.a.",F503/G503-1),"n.a.")</x:f>
        <x:v>-0.1506754181341502</x:v>
      </x:c>
      <x:c r="I503" s="58" t="n">
        <x:f>F503/J503</x:f>
        <x:v>0.18570383420970032</x:v>
      </x:c>
      <x:c r="J503" s="56" t="n">
        <x:v>400.1107016129032</x:v>
      </x:c>
    </x:row>
    <x:row r="504" ht="65" customHeight="1">
      <x:c r="A504" s="61" t="n">
        <x:v>45627</x:v>
      </x:c>
      <x:c r="B504" s="32" t="str">
        <x:v>Industria automotriz</x:v>
      </x:c>
      <x:c r="C504" s="32" t="str">
        <x:v>Industrias sin Aluar</x:v>
      </x:c>
      <x:c r="D504" s="62" t="n">
        <x:v>31</x:v>
      </x:c>
      <x:c r="E504" s="2" t="str">
        <x:v>Completo</x:v>
      </x:c>
      <x:c r="F504" s="56" t="n">
        <x:v>38.89055107526882</x:v>
      </x:c>
      <x:c r="G504" s="56" t="n">
        <x:f>F336</x:f>
        <x:v>37.83376075268817</x:v>
      </x:c>
      <x:c r="H504" s="57" t="n">
        <x:f>IF(ISNUMBER(G504),IF(G504=0,"n.a.",F504/G504-1),"n.a.")</x:f>
        <x:v>0.027932468291711032</x:v>
      </x:c>
      <x:c r="I504" s="58" t="n">
        <x:f>F504/J504</x:f>
        <x:v>0.03922423756899217</x:v>
      </x:c>
      <x:c r="J504" s="56" t="n">
        <x:v>991.4928494623656</x:v>
      </x:c>
    </x:row>
    <x:row r="505" ht="65" customHeight="1">
      <x:c r="A505" s="61" t="n">
        <x:v>45627</x:v>
      </x:c>
      <x:c r="B505" s="32" t="str">
        <x:v>Derivados de petróleo</x:v>
      </x:c>
      <x:c r="C505" s="32" t="str">
        <x:v>Industrias sin Aluar</x:v>
      </x:c>
      <x:c r="D505" s="62" t="n">
        <x:v>31</x:v>
      </x:c>
      <x:c r="E505" s="2" t="str">
        <x:v>Completo</x:v>
      </x:c>
      <x:c r="F505" s="56" t="n">
        <x:v>155.36422177419357</x:v>
      </x:c>
      <x:c r="G505" s="56" t="n">
        <x:f>F337</x:f>
        <x:v>149.47365860215055</x:v>
      </x:c>
      <x:c r="H505" s="57" t="n">
        <x:f>IF(ISNUMBER(G505),IF(G505=0,"n.a.",F505/G505-1),"n.a.")</x:f>
        <x:v>0.039408704029395114</x:v>
      </x:c>
      <x:c r="I505" s="58" t="n">
        <x:f>F505/J505</x:f>
        <x:v>0.1566972690306737</x:v>
      </x:c>
      <x:c r="J505" s="56" t="n">
        <x:v>991.4928494623656</x:v>
      </x:c>
    </x:row>
    <x:row r="506" ht="65" customHeight="1">
      <x:c r="A506" s="61" t="n">
        <x:v>45627</x:v>
      </x:c>
      <x:c r="B506" s="32" t="str">
        <x:v>Construcción: elaboración de cemento y canteras</x:v>
      </x:c>
      <x:c r="C506" s="32" t="str">
        <x:v>Industrias sin Aluar</x:v>
      </x:c>
      <x:c r="D506" s="62" t="n">
        <x:v>31</x:v>
      </x:c>
      <x:c r="E506" s="2" t="str">
        <x:v>Completo</x:v>
      </x:c>
      <x:c r="F506" s="56" t="n">
        <x:v>145.2862392473118</x:v>
      </x:c>
      <x:c r="G506" s="56" t="n">
        <x:f>F338</x:f>
        <x:v>170.31919086021506</x:v>
      </x:c>
      <x:c r="H506" s="57" t="n">
        <x:f>IF(ISNUMBER(G506),IF(G506=0,"n.a.",F506/G506-1),"n.a.")</x:f>
        <x:v>-0.1469766940910867</x:v>
      </x:c>
      <x:c r="I506" s="58" t="n">
        <x:f>F506/J506</x:f>
        <x:v>0.1465328159714847</x:v>
      </x:c>
      <x:c r="J506" s="56" t="n">
        <x:v>991.4928494623656</x:v>
      </x:c>
    </x:row>
    <x:row r="507" ht="65" customHeight="1">
      <x:c r="A507" s="61" t="n">
        <x:v>45627</x:v>
      </x:c>
      <x:c r="B507" s="32" t="str">
        <x:v>Madera y papel</x:v>
      </x:c>
      <x:c r="C507" s="32" t="str">
        <x:v>Industrias sin Aluar</x:v>
      </x:c>
      <x:c r="D507" s="62" t="n">
        <x:v>31</x:v>
      </x:c>
      <x:c r="E507" s="2" t="str">
        <x:v>Completo</x:v>
      </x:c>
      <x:c r="F507" s="56" t="n">
        <x:v>102.41868951612904</x:v>
      </x:c>
      <x:c r="G507" s="56" t="n">
        <x:f>F339</x:f>
        <x:v>101.91472849462365</x:v>
      </x:c>
      <x:c r="H507" s="57" t="n">
        <x:f>IF(ISNUMBER(G507),IF(G507=0,"n.a.",F507/G507-1),"n.a.")</x:f>
        <x:v>0.0049449282645341874</x:v>
      </x:c>
      <x:c r="I507" s="58" t="n">
        <x:f>F507/J507</x:f>
        <x:v>0.10329745652897578</x:v>
      </x:c>
      <x:c r="J507" s="56" t="n">
        <x:v>991.4928494623656</x:v>
      </x:c>
    </x:row>
    <x:row r="508" ht="65" customHeight="1">
      <x:c r="A508" s="61" t="n">
        <x:v>45627</x:v>
      </x:c>
      <x:c r="B508" s="32" t="str">
        <x:v>Productos metálicos no automotores</x:v>
      </x:c>
      <x:c r="C508" s="32" t="str">
        <x:v>Industrias sin Aluar</x:v>
      </x:c>
      <x:c r="D508" s="62" t="n">
        <x:v>31</x:v>
      </x:c>
      <x:c r="E508" s="2" t="str">
        <x:v>Completo</x:v>
      </x:c>
      <x:c r="F508" s="56" t="n">
        <x:v>40.96575268817204</x:v>
      </x:c>
      <x:c r="G508" s="56" t="n">
        <x:f>F340</x:f>
        <x:v>40.546857526881716</x:v>
      </x:c>
      <x:c r="H508" s="57" t="n">
        <x:f>IF(ISNUMBER(G508),IF(G508=0,"n.a.",F508/G508-1),"n.a.")</x:f>
        <x:v>0.010331137524347112</x:v>
      </x:c>
      <x:c r="I508" s="58" t="n">
        <x:f>F508/J508</x:f>
        <x:v>0.04131724470870931</x:v>
      </x:c>
      <x:c r="J508" s="56" t="n">
        <x:v>991.4928494623656</x:v>
      </x:c>
    </x:row>
    <x:row r="509" ht="65" customHeight="1">
      <x:c r="A509" s="61" t="n">
        <x:v>45627</x:v>
      </x:c>
      <x:c r="B509" s="32" t="str">
        <x:v>Gran siderurgia</x:v>
      </x:c>
      <x:c r="C509" s="32" t="str">
        <x:v>Industrias sin Aluar</x:v>
      </x:c>
      <x:c r="D509" s="62" t="n">
        <x:v>31</x:v>
      </x:c>
      <x:c r="E509" s="2" t="str">
        <x:v>Completo</x:v>
      </x:c>
      <x:c r="F509" s="56" t="n">
        <x:v>156.9784879032258</x:v>
      </x:c>
      <x:c r="G509" s="56" t="n">
        <x:f>F341</x:f>
        <x:v>271.11159005376345</x:v>
      </x:c>
      <x:c r="H509" s="57" t="n">
        <x:f>IF(ISNUMBER(G509),IF(G509=0,"n.a.",F509/G509-1),"n.a.")</x:f>
        <x:v>-0.4209820101306041</x:v>
      </x:c>
      <x:c r="I509" s="58" t="n">
        <x:f>F509/J509</x:f>
        <x:v>0.15832538579410532</x:v>
      </x:c>
      <x:c r="J509" s="56" t="n">
        <x:v>991.4928494623656</x:v>
      </x:c>
    </x:row>
    <x:row r="510" ht="65" customHeight="1">
      <x:c r="A510" s="61" t="n">
        <x:v>45627</x:v>
      </x:c>
      <x:c r="B510" s="32" t="str">
        <x:v>Industria textil</x:v>
      </x:c>
      <x:c r="C510" s="32" t="str">
        <x:v>Industrias sin Aluar</x:v>
      </x:c>
      <x:c r="D510" s="62" t="n">
        <x:v>31</x:v>
      </x:c>
      <x:c r="E510" s="2" t="str">
        <x:v>Completo</x:v>
      </x:c>
      <x:c r="F510" s="56" t="n">
        <x:v>47.334602150537634</x:v>
      </x:c>
      <x:c r="G510" s="56" t="n">
        <x:f>F342</x:f>
        <x:v>50.00543951612903</x:v>
      </x:c>
      <x:c r="H510" s="57" t="n">
        <x:f>IF(ISNUMBER(G510),IF(G510=0,"n.a.",F510/G510-1),"n.a.")</x:f>
        <x:v>-0.053410936718792934</x:v>
      </x:c>
      <x:c r="I510" s="58" t="n">
        <x:f>F510/J510</x:f>
        <x:v>0.04774073981088688</x:v>
      </x:c>
      <x:c r="J510" s="56" t="n">
        <x:v>991.4928494623656</x:v>
      </x:c>
    </x:row>
    <x:row r="511" ht="65" customHeight="1">
      <x:c r="A511" s="61" t="n">
        <x:v>45627</x:v>
      </x:c>
      <x:c r="B511" s="32" t="str">
        <x:v>Químicas, caucho, plástico y otros minerales no metálicos</x:v>
      </x:c>
      <x:c r="C511" s="32" t="str">
        <x:v>Industrias sin Aluar</x:v>
      </x:c>
      <x:c r="D511" s="62" t="n">
        <x:v>31</x:v>
      </x:c>
      <x:c r="E511" s="2" t="str">
        <x:v>Completo</x:v>
      </x:c>
      <x:c r="F511" s="56" t="n">
        <x:v>304.2543051075269</x:v>
      </x:c>
      <x:c r="G511" s="56" t="n">
        <x:f>F343</x:f>
        <x:v>303.3661639784946</x:v>
      </x:c>
      <x:c r="H511" s="57" t="n">
        <x:f>IF(ISNUMBER(G511),IF(G511=0,"n.a.",F511/G511-1),"n.a.")</x:f>
        <x:v>0.002927620923127039</x:v>
      </x:c>
      <x:c r="I511" s="58" t="n">
        <x:f>F511/J511</x:f>
        <x:v>0.30686485058617213</x:v>
      </x:c>
      <x:c r="J511" s="56" t="n">
        <x:v>991.4928494623656</x:v>
      </x:c>
    </x:row>
    <x:row r="512" ht="65" customHeight="1">
      <x:c r="A512" s="61" t="n">
        <x:v>45627</x:v>
      </x:c>
      <x:c r="B512" s="32" t="str">
        <x:v>Extracción de minerales</x:v>
      </x:c>
      <x:c r="C512" s="32" t="str">
        <x:v>Petróleos y minerales</x:v>
      </x:c>
      <x:c r="D512" s="62" t="n">
        <x:v>31</x:v>
      </x:c>
      <x:c r="E512" s="2" t="str">
        <x:v>Completo</x:v>
      </x:c>
      <x:c r="F512" s="56" t="n">
        <x:v>24.296728494623654</x:v>
      </x:c>
      <x:c r="G512" s="56" t="n">
        <x:f>F344</x:f>
        <x:v>20.7108185483871</x:v>
      </x:c>
      <x:c r="H512" s="57" t="n">
        <x:f>IF(ISNUMBER(G512),IF(G512=0,"n.a.",F512/G512-1),"n.a.")</x:f>
        <x:v>0.17314187451638974</x:v>
      </x:c>
      <x:c r="I512" s="58" t="n">
        <x:f>F512/J512</x:f>
        <x:v>0.1411328690058831</x:v>
      </x:c>
      <x:c r="J512" s="56" t="n">
        <x:v>172.15499596774194</x:v>
      </x:c>
    </x:row>
    <x:row r="513" ht="65" customHeight="1">
      <x:c r="A513" s="61" t="n">
        <x:v>45627</x:v>
      </x:c>
      <x:c r="B513" s="32" t="str">
        <x:v>Extracción de petróleo</x:v>
      </x:c>
      <x:c r="C513" s="32" t="str">
        <x:v>Petróleos y minerales</x:v>
      </x:c>
      <x:c r="D513" s="62" t="n">
        <x:v>31</x:v>
      </x:c>
      <x:c r="E513" s="2" t="str">
        <x:v>Completo</x:v>
      </x:c>
      <x:c r="F513" s="56" t="n">
        <x:v>147.85826747311827</x:v>
      </x:c>
      <x:c r="G513" s="56" t="n">
        <x:f>F345</x:f>
        <x:v>138.14910215053766</x:v>
      </x:c>
      <x:c r="H513" s="57" t="n">
        <x:f>IF(ISNUMBER(G513),IF(G513=0,"n.a.",F513/G513-1),"n.a.")</x:f>
        <x:v>0.07028033603867212</x:v>
      </x:c>
      <x:c r="I513" s="58" t="n">
        <x:f>F513/J513</x:f>
        <x:v>0.8588671309941168</x:v>
      </x:c>
      <x:c r="J513" s="56" t="n">
        <x:v>172.15499596774194</x:v>
      </x:c>
    </x:row>
    <x:row r="514" ht="65" customHeight="1">
      <x:c r="A514" s="61" t="n">
        <x:v>45658</x:v>
      </x:c>
      <x:c r="B514" s="32" t="str">
        <x:v>Cargas y puertos</x:v>
      </x:c>
      <x:c r="C514" s="32" t="str">
        <x:v>Alimentación, comercios y servicios</x:v>
      </x:c>
      <x:c r="D514" s="62" t="n">
        <x:v>31</x:v>
      </x:c>
      <x:c r="E514" s="2" t="str">
        <x:v>Completo</x:v>
      </x:c>
      <x:c r="F514" s="56" t="n">
        <x:v>11.843099462365592</x:v>
      </x:c>
      <x:c r="G514" s="56" t="n">
        <x:f>F346</x:f>
        <x:v>12.258646505376344</x:v>
      </x:c>
      <x:c r="H514" s="57" t="n">
        <x:f>IF(ISNUMBER(G514),IF(G514=0,"n.a.",F514/G514-1),"n.a.")</x:f>
        <x:v>-0.03389828092591651</x:v>
      </x:c>
      <x:c r="I514" s="58" t="n">
        <x:f>F514/J514</x:f>
        <x:v>0.0287781124210605</x:v>
      </x:c>
      <x:c r="J514" s="56" t="n">
        <x:v>411.53148924731187</x:v>
      </x:c>
    </x:row>
    <x:row r="515" ht="65" customHeight="1">
      <x:c r="A515" s="61" t="n">
        <x:v>45658</x:v>
      </x:c>
      <x:c r="B515" s="32" t="str">
        <x:v>Comercio y servicios: principalmente supermercados y centros comerciales</x:v>
      </x:c>
      <x:c r="C515" s="32" t="str">
        <x:v>Alimentación, comercios y servicios</x:v>
      </x:c>
      <x:c r="D515" s="62" t="n">
        <x:v>31</x:v>
      </x:c>
      <x:c r="E515" s="2" t="str">
        <x:v>Completo</x:v>
      </x:c>
      <x:c r="F515" s="56" t="n">
        <x:v>55.509069892473114</x:v>
      </x:c>
      <x:c r="G515" s="56" t="n">
        <x:f>F347</x:f>
        <x:v>42.51775403225807</x:v>
      </x:c>
      <x:c r="H515" s="57" t="n">
        <x:f>IF(ISNUMBER(G515),IF(G515=0,"n.a.",F515/G515-1),"n.a.")</x:f>
        <x:v>0.3055503790336287</x:v>
      </x:c>
      <x:c r="I515" s="58" t="n">
        <x:f>F515/J515</x:f>
        <x:v>0.13488413728436383</x:v>
      </x:c>
      <x:c r="J515" s="56" t="n">
        <x:v>411.53148924731187</x:v>
      </x:c>
    </x:row>
    <x:row r="516" ht="65" customHeight="1">
      <x:c r="A516" s="61" t="n">
        <x:v>45658</x:v>
      </x:c>
      <x:c r="B516" s="32" t="str">
        <x:v>Alimentación y artículos de consumo masivo</x:v>
      </x:c>
      <x:c r="C516" s="32" t="str">
        <x:v>Alimentación, comercios y servicios</x:v>
      </x:c>
      <x:c r="D516" s="62" t="n">
        <x:v>31</x:v>
      </x:c>
      <x:c r="E516" s="2" t="str">
        <x:v>Completo</x:v>
      </x:c>
      <x:c r="F516" s="56" t="n">
        <x:v>268.5709946236559</x:v>
      </x:c>
      <x:c r="G516" s="56" t="n">
        <x:f>F348</x:f>
        <x:v>257.9740793010753</x:v>
      </x:c>
      <x:c r="H516" s="57" t="n">
        <x:f>IF(ISNUMBER(G516),IF(G516=0,"n.a.",F516/G516-1),"n.a.")</x:f>
        <x:v>0.04107744216508369</x:v>
      </x:c>
      <x:c r="I516" s="58" t="n">
        <x:f>F516/J516</x:f>
        <x:v>0.6526134734303572</x:v>
      </x:c>
      <x:c r="J516" s="56" t="n">
        <x:v>411.53148924731187</x:v>
      </x:c>
    </x:row>
    <x:row r="517" ht="65" customHeight="1">
      <x:c r="A517" s="61" t="n">
        <x:v>45658</x:v>
      </x:c>
      <x:c r="B517" s="32" t="str">
        <x:v>Servicios públicos y transporte: agua y transporte en GBA</x:v>
      </x:c>
      <x:c r="C517" s="32" t="str">
        <x:v>Alimentación, comercios y servicios</x:v>
      </x:c>
      <x:c r="D517" s="62" t="n">
        <x:v>31</x:v>
      </x:c>
      <x:c r="E517" s="2" t="str">
        <x:v>Completo</x:v>
      </x:c>
      <x:c r="F517" s="56" t="n">
        <x:v>75.60832526881721</x:v>
      </x:c>
      <x:c r="G517" s="56" t="n">
        <x:f>F349</x:f>
        <x:v>87.43953360215055</x:v>
      </x:c>
      <x:c r="H517" s="57" t="n">
        <x:f>IF(ISNUMBER(G517),IF(G517=0,"n.a.",F517/G517-1),"n.a.")</x:f>
        <x:v>-0.13530731290454123</x:v>
      </x:c>
      <x:c r="I517" s="58" t="n">
        <x:f>F517/J517</x:f>
        <x:v>0.18372427686421833</x:v>
      </x:c>
      <x:c r="J517" s="56" t="n">
        <x:v>411.53148924731187</x:v>
      </x:c>
    </x:row>
    <x:row r="518" ht="65" customHeight="1">
      <x:c r="A518" s="61" t="n">
        <x:v>45658</x:v>
      </x:c>
      <x:c r="B518" s="32" t="str">
        <x:v>Industria automotriz</x:v>
      </x:c>
      <x:c r="C518" s="32" t="str">
        <x:v>Industrias sin Aluar</x:v>
      </x:c>
      <x:c r="D518" s="62" t="n">
        <x:v>31</x:v>
      </x:c>
      <x:c r="E518" s="2" t="str">
        <x:v>Completo</x:v>
      </x:c>
      <x:c r="F518" s="56" t="n">
        <x:v>34.79801344086021</x:v>
      </x:c>
      <x:c r="G518" s="56" t="n">
        <x:f>F350</x:f>
        <x:v>31.595293010752687</x:v>
      </x:c>
      <x:c r="H518" s="57" t="n">
        <x:f>IF(ISNUMBER(G518),IF(G518=0,"n.a.",F518/G518-1),"n.a.")</x:f>
        <x:v>0.10136701150445271</x:v>
      </x:c>
      <x:c r="I518" s="58" t="n">
        <x:f>F518/J518</x:f>
        <x:v>0.03371606935238909</x:v>
      </x:c>
      <x:c r="J518" s="56" t="n">
        <x:v>1032.0898642473119</x:v>
      </x:c>
    </x:row>
    <x:row r="519" ht="65" customHeight="1">
      <x:c r="A519" s="61" t="n">
        <x:v>45658</x:v>
      </x:c>
      <x:c r="B519" s="32" t="str">
        <x:v>Derivados de petróleo</x:v>
      </x:c>
      <x:c r="C519" s="32" t="str">
        <x:v>Industrias sin Aluar</x:v>
      </x:c>
      <x:c r="D519" s="62" t="n">
        <x:v>31</x:v>
      </x:c>
      <x:c r="E519" s="2" t="str">
        <x:v>Completo</x:v>
      </x:c>
      <x:c r="F519" s="56" t="n">
        <x:v>158.24590456989247</x:v>
      </x:c>
      <x:c r="G519" s="56" t="n">
        <x:f>F351</x:f>
        <x:v>155.5409502688172</x:v>
      </x:c>
      <x:c r="H519" s="57" t="n">
        <x:f>IF(ISNUMBER(G519),IF(G519=0,"n.a.",F519/G519-1),"n.a.")</x:f>
        <x:v>0.01739062476087727</x:v>
      </x:c>
      <x:c r="I519" s="58" t="n">
        <x:f>F519/J519</x:f>
        <x:v>0.15332570355712088</x:v>
      </x:c>
      <x:c r="J519" s="56" t="n">
        <x:v>1032.0898642473119</x:v>
      </x:c>
    </x:row>
    <x:row r="520" ht="65" customHeight="1">
      <x:c r="A520" s="61" t="n">
        <x:v>45658</x:v>
      </x:c>
      <x:c r="B520" s="32" t="str">
        <x:v>Construcción: elaboración de cemento y canteras</x:v>
      </x:c>
      <x:c r="C520" s="32" t="str">
        <x:v>Industrias sin Aluar</x:v>
      </x:c>
      <x:c r="D520" s="62" t="n">
        <x:v>31</x:v>
      </x:c>
      <x:c r="E520" s="2" t="str">
        <x:v>Completo</x:v>
      </x:c>
      <x:c r="F520" s="56" t="n">
        <x:v>145.85207123655914</x:v>
      </x:c>
      <x:c r="G520" s="56" t="n">
        <x:f>F352</x:f>
        <x:v>133.46189112903227</x:v>
      </x:c>
      <x:c r="H520" s="57" t="n">
        <x:f>IF(ISNUMBER(G520),IF(G520=0,"n.a.",F520/G520-1),"n.a.")</x:f>
        <x:v>0.09283683906103146</x:v>
      </x:c>
      <x:c r="I520" s="58" t="n">
        <x:f>F520/J520</x:f>
        <x:v>0.14131722080511558</x:v>
      </x:c>
      <x:c r="J520" s="56" t="n">
        <x:v>1032.0898642473119</x:v>
      </x:c>
    </x:row>
    <x:row r="521" ht="65" customHeight="1">
      <x:c r="A521" s="61" t="n">
        <x:v>45658</x:v>
      </x:c>
      <x:c r="B521" s="32" t="str">
        <x:v>Madera y papel</x:v>
      </x:c>
      <x:c r="C521" s="32" t="str">
        <x:v>Industrias sin Aluar</x:v>
      </x:c>
      <x:c r="D521" s="62" t="n">
        <x:v>31</x:v>
      </x:c>
      <x:c r="E521" s="2" t="str">
        <x:v>Completo</x:v>
      </x:c>
      <x:c r="F521" s="56" t="n">
        <x:v>92.00697983870968</x:v>
      </x:c>
      <x:c r="G521" s="56" t="n">
        <x:f>F353</x:f>
        <x:v>105.33960752688172</x:v>
      </x:c>
      <x:c r="H521" s="57" t="n">
        <x:f>IF(ISNUMBER(G521),IF(G521=0,"n.a.",F521/G521-1),"n.a.")</x:f>
        <x:v>-0.12656804027649027</x:v>
      </x:c>
      <x:c r="I521" s="58" t="n">
        <x:f>F521/J521</x:f>
        <x:v>0.0891462875723608</x:v>
      </x:c>
      <x:c r="J521" s="56" t="n">
        <x:v>1032.0898642473119</x:v>
      </x:c>
    </x:row>
    <x:row r="522" ht="65" customHeight="1">
      <x:c r="A522" s="61" t="n">
        <x:v>45658</x:v>
      </x:c>
      <x:c r="B522" s="32" t="str">
        <x:v>Productos metálicos no automotores</x:v>
      </x:c>
      <x:c r="C522" s="32" t="str">
        <x:v>Industrias sin Aluar</x:v>
      </x:c>
      <x:c r="D522" s="62" t="n">
        <x:v>31</x:v>
      </x:c>
      <x:c r="E522" s="2" t="str">
        <x:v>Completo</x:v>
      </x:c>
      <x:c r="F522" s="56" t="n">
        <x:v>40.152334677419354</x:v>
      </x:c>
      <x:c r="G522" s="56" t="n">
        <x:f>F354</x:f>
        <x:v>39.070408602150536</x:v>
      </x:c>
      <x:c r="H522" s="57" t="n">
        <x:f>IF(ISNUMBER(G522),IF(G522=0,"n.a.",F522/G522-1),"n.a.")</x:f>
        <x:v>0.027691701059130214</x:v>
      </x:c>
      <x:c r="I522" s="58" t="n">
        <x:f>F522/J522</x:f>
        <x:v>0.03890391337841678</x:v>
      </x:c>
      <x:c r="J522" s="56" t="n">
        <x:v>1032.0898642473119</x:v>
      </x:c>
    </x:row>
    <x:row r="523" ht="65" customHeight="1">
      <x:c r="A523" s="61" t="n">
        <x:v>45658</x:v>
      </x:c>
      <x:c r="B523" s="32" t="str">
        <x:v>Gran siderurgia</x:v>
      </x:c>
      <x:c r="C523" s="32" t="str">
        <x:v>Industrias sin Aluar</x:v>
      </x:c>
      <x:c r="D523" s="62" t="n">
        <x:v>31</x:v>
      </x:c>
      <x:c r="E523" s="2" t="str">
        <x:v>Completo</x:v>
      </x:c>
      <x:c r="F523" s="56" t="n">
        <x:v>229.55411693548388</x:v>
      </x:c>
      <x:c r="G523" s="56" t="n">
        <x:f>F355</x:f>
        <x:v>327.53325403225807</x:v>
      </x:c>
      <x:c r="H523" s="57" t="n">
        <x:f>IF(ISNUMBER(G523),IF(G523=0,"n.a.",F523/G523-1),"n.a.")</x:f>
        <x:v>-0.29914256305445075</x:v>
      </x:c>
      <x:c r="I523" s="58" t="n">
        <x:f>F523/J523</x:f>
        <x:v>0.22241679226536573</x:v>
      </x:c>
      <x:c r="J523" s="56" t="n">
        <x:v>1032.0898642473119</x:v>
      </x:c>
    </x:row>
    <x:row r="524" ht="65" customHeight="1">
      <x:c r="A524" s="61" t="n">
        <x:v>45658</x:v>
      </x:c>
      <x:c r="B524" s="32" t="str">
        <x:v>Industria textil</x:v>
      </x:c>
      <x:c r="C524" s="32" t="str">
        <x:v>Industrias sin Aluar</x:v>
      </x:c>
      <x:c r="D524" s="62" t="n">
        <x:v>31</x:v>
      </x:c>
      <x:c r="E524" s="2" t="str">
        <x:v>Completo</x:v>
      </x:c>
      <x:c r="F524" s="56" t="n">
        <x:v>33.99053494623656</x:v>
      </x:c>
      <x:c r="G524" s="56" t="n">
        <x:f>F356</x:f>
        <x:v>36.94760752688172</x:v>
      </x:c>
      <x:c r="H524" s="57" t="n">
        <x:f>IF(ISNUMBER(G524),IF(G524=0,"n.a.",F524/G524-1),"n.a.")</x:f>
        <x:v>-0.08003421002276545</x:v>
      </x:c>
      <x:c r="I524" s="58" t="n">
        <x:f>F524/J524</x:f>
        <x:v>0.03293369707784637</x:v>
      </x:c>
      <x:c r="J524" s="56" t="n">
        <x:v>1032.0898642473119</x:v>
      </x:c>
    </x:row>
    <x:row r="525" ht="65" customHeight="1">
      <x:c r="A525" s="61" t="n">
        <x:v>45658</x:v>
      </x:c>
      <x:c r="B525" s="32" t="str">
        <x:v>Químicas, caucho, plástico y otros minerales no metálicos</x:v>
      </x:c>
      <x:c r="C525" s="32" t="str">
        <x:v>Industrias sin Aluar</x:v>
      </x:c>
      <x:c r="D525" s="62" t="n">
        <x:v>31</x:v>
      </x:c>
      <x:c r="E525" s="2" t="str">
        <x:v>Completo</x:v>
      </x:c>
      <x:c r="F525" s="56" t="n">
        <x:v>297.48990860215054</x:v>
      </x:c>
      <x:c r="G525" s="56" t="n">
        <x:f>F357</x:f>
        <x:v>291.01295161290324</x:v>
      </x:c>
      <x:c r="H525" s="57" t="n">
        <x:f>IF(ISNUMBER(G525),IF(G525=0,"n.a.",F525/G525-1),"n.a.")</x:f>
        <x:v>0.022256593575473493</x:v>
      </x:c>
      <x:c r="I525" s="58" t="n">
        <x:f>F525/J525</x:f>
        <x:v>0.2882403159913847</x:v>
      </x:c>
      <x:c r="J525" s="56" t="n">
        <x:v>1032.0898642473119</x:v>
      </x:c>
    </x:row>
    <x:row r="526" ht="65" customHeight="1">
      <x:c r="A526" s="61" t="n">
        <x:v>45658</x:v>
      </x:c>
      <x:c r="B526" s="32" t="str">
        <x:v>Extracción de minerales</x:v>
      </x:c>
      <x:c r="C526" s="32" t="str">
        <x:v>Petróleos y minerales</x:v>
      </x:c>
      <x:c r="D526" s="62" t="n">
        <x:v>31</x:v>
      </x:c>
      <x:c r="E526" s="2" t="str">
        <x:v>Completo</x:v>
      </x:c>
      <x:c r="F526" s="56" t="n">
        <x:v>23.10956451612903</x:v>
      </x:c>
      <x:c r="G526" s="56" t="n">
        <x:f>F358</x:f>
        <x:v>20.743166666666667</x:v>
      </x:c>
      <x:c r="H526" s="57" t="n">
        <x:f>IF(ISNUMBER(G526),IF(G526=0,"n.a.",F526/G526-1),"n.a.")</x:f>
        <x:v>0.11408083864384388</x:v>
      </x:c>
      <x:c r="I526" s="58" t="n">
        <x:f>F526/J526</x:f>
        <x:v>0.13890552389191368</x:v>
      </x:c>
      <x:c r="J526" s="56" t="n">
        <x:v>166.36893817204302</x:v>
      </x:c>
    </x:row>
    <x:row r="527" ht="65" customHeight="1">
      <x:c r="A527" s="61" t="n">
        <x:v>45658</x:v>
      </x:c>
      <x:c r="B527" s="32" t="str">
        <x:v>Extracción de petróleo</x:v>
      </x:c>
      <x:c r="C527" s="32" t="str">
        <x:v>Petróleos y minerales</x:v>
      </x:c>
      <x:c r="D527" s="62" t="n">
        <x:v>31</x:v>
      </x:c>
      <x:c r="E527" s="2" t="str">
        <x:v>Completo</x:v>
      </x:c>
      <x:c r="F527" s="56" t="n">
        <x:v>143.25937365591398</x:v>
      </x:c>
      <x:c r="G527" s="56" t="n">
        <x:f>F359</x:f>
        <x:v>140.07120833333335</x:v>
      </x:c>
      <x:c r="H527" s="57" t="n">
        <x:f>IF(ISNUMBER(G527),IF(G527=0,"n.a.",F527/G527-1),"n.a.")</x:f>
        <x:v>0.022761032481376287</x:v>
      </x:c>
      <x:c r="I527" s="58" t="n">
        <x:f>F527/J527</x:f>
        <x:v>0.8610944761080863</x:v>
      </x:c>
      <x:c r="J527" s="56" t="n">
        <x:v>166.36893817204302</x:v>
      </x:c>
    </x:row>
    <x:row r="528" ht="65" customHeight="1">
      <x:c r="A528" s="61" t="n">
        <x:v>45689</x:v>
      </x:c>
      <x:c r="B528" s="32" t="str">
        <x:v>Cargas y puertos</x:v>
      </x:c>
      <x:c r="C528" s="32" t="str">
        <x:v>Alimentación, comercios y servicios</x:v>
      </x:c>
      <x:c r="D528" s="62" t="n">
        <x:v>28</x:v>
      </x:c>
      <x:c r="E528" s="2" t="str">
        <x:v>Completo</x:v>
      </x:c>
      <x:c r="F528" s="56" t="n">
        <x:v>12.233723214285714</x:v>
      </x:c>
      <x:c r="G528" s="56" t="n">
        <x:f>F360</x:f>
        <x:v>12.43189511494253</x:v>
      </x:c>
      <x:c r="H528" s="57" t="n">
        <x:f>IF(ISNUMBER(G528),IF(G528=0,"n.a.",F528/G528-1),"n.a.")</x:f>
        <x:v>-0.01594060268563735</x:v>
      </x:c>
      <x:c r="I528" s="58" t="n">
        <x:f>F528/J528</x:f>
        <x:v>0.0275135593870396</x:v>
      </x:c>
      <x:c r="J528" s="56" t="n">
        <x:v>444.6434226190476</x:v>
      </x:c>
    </x:row>
    <x:row r="529" ht="65" customHeight="1">
      <x:c r="A529" s="61" t="n">
        <x:v>45689</x:v>
      </x:c>
      <x:c r="B529" s="32" t="str">
        <x:v>Comercio y servicios: principalmente supermercados y centros comerciales</x:v>
      </x:c>
      <x:c r="C529" s="32" t="str">
        <x:v>Alimentación, comercios y servicios</x:v>
      </x:c>
      <x:c r="D529" s="62" t="n">
        <x:v>28</x:v>
      </x:c>
      <x:c r="E529" s="2" t="str">
        <x:v>Completo</x:v>
      </x:c>
      <x:c r="F529" s="56" t="n">
        <x:v>56.55740029761905</x:v>
      </x:c>
      <x:c r="G529" s="56" t="n">
        <x:f>F361</x:f>
        <x:v>43.13083045977011</x:v>
      </x:c>
      <x:c r="H529" s="57" t="n">
        <x:f>IF(ISNUMBER(G529),IF(G529=0,"n.a.",F529/G529-1),"n.a.")</x:f>
        <x:v>0.3112986625743839</x:v>
      </x:c>
      <x:c r="I529" s="58" t="n">
        <x:f>F529/J529</x:f>
        <x:v>0.1271972043676785</x:v>
      </x:c>
      <x:c r="J529" s="56" t="n">
        <x:v>444.6434226190476</x:v>
      </x:c>
    </x:row>
    <x:row r="530" ht="65" customHeight="1">
      <x:c r="A530" s="61" t="n">
        <x:v>45689</x:v>
      </x:c>
      <x:c r="B530" s="32" t="str">
        <x:v>Alimentación y artículos de consumo masivo</x:v>
      </x:c>
      <x:c r="C530" s="32" t="str">
        <x:v>Alimentación, comercios y servicios</x:v>
      </x:c>
      <x:c r="D530" s="62" t="n">
        <x:v>28</x:v>
      </x:c>
      <x:c r="E530" s="2" t="str">
        <x:v>Completo</x:v>
      </x:c>
      <x:c r="F530" s="56" t="n">
        <x:v>298.95351488095235</x:v>
      </x:c>
      <x:c r="G530" s="56" t="n">
        <x:f>F362</x:f>
        <x:v>276.799716954023</x:v>
      </x:c>
      <x:c r="H530" s="57" t="n">
        <x:f>IF(ISNUMBER(G530),IF(G530=0,"n.a.",F530/G530-1),"n.a.")</x:f>
        <x:v>0.08003547897633578</x:v>
      </x:c>
      <x:c r="I530" s="58" t="n">
        <x:f>F530/J530</x:f>
        <x:v>0.6723443992942713</x:v>
      </x:c>
      <x:c r="J530" s="56" t="n">
        <x:v>444.6434226190476</x:v>
      </x:c>
    </x:row>
    <x:row r="531" ht="65" customHeight="1">
      <x:c r="A531" s="61" t="n">
        <x:v>45689</x:v>
      </x:c>
      <x:c r="B531" s="32" t="str">
        <x:v>Servicios públicos y transporte: agua y transporte en GBA</x:v>
      </x:c>
      <x:c r="C531" s="32" t="str">
        <x:v>Alimentación, comercios y servicios</x:v>
      </x:c>
      <x:c r="D531" s="62" t="n">
        <x:v>28</x:v>
      </x:c>
      <x:c r="E531" s="2" t="str">
        <x:v>Completo</x:v>
      </x:c>
      <x:c r="F531" s="56" t="n">
        <x:v>76.89878422619049</x:v>
      </x:c>
      <x:c r="G531" s="56" t="n">
        <x:f>F363</x:f>
        <x:v>87.10254310344828</x:v>
      </x:c>
      <x:c r="H531" s="57" t="n">
        <x:f>IF(ISNUMBER(G531),IF(G531=0,"n.a.",F531/G531-1),"n.a.")</x:f>
        <x:v>-0.11714650931763493</x:v>
      </x:c>
      <x:c r="I531" s="58" t="n">
        <x:f>F531/J531</x:f>
        <x:v>0.1729448369510106</x:v>
      </x:c>
      <x:c r="J531" s="56" t="n">
        <x:v>444.6434226190476</x:v>
      </x:c>
    </x:row>
    <x:row r="532" ht="65" customHeight="1">
      <x:c r="A532" s="61" t="n">
        <x:v>45689</x:v>
      </x:c>
      <x:c r="B532" s="32" t="str">
        <x:v>Industria automotriz</x:v>
      </x:c>
      <x:c r="C532" s="32" t="str">
        <x:v>Industrias sin Aluar</x:v>
      </x:c>
      <x:c r="D532" s="62" t="n">
        <x:v>28</x:v>
      </x:c>
      <x:c r="E532" s="2" t="str">
        <x:v>Completo</x:v>
      </x:c>
      <x:c r="F532" s="56" t="n">
        <x:v>47.1398556547619</x:v>
      </x:c>
      <x:c r="G532" s="56" t="n">
        <x:f>F364</x:f>
        <x:v>43.718198275862065</x:v>
      </x:c>
      <x:c r="H532" s="57" t="n">
        <x:f>IF(ISNUMBER(G532),IF(G532=0,"n.a.",F532/G532-1),"n.a.")</x:f>
        <x:v>0.07826620295075193</x:v>
      </x:c>
      <x:c r="I532" s="58" t="n">
        <x:f>F532/J532</x:f>
        <x:v>0.04063808821704709</x:v>
      </x:c>
      <x:c r="J532" s="56" t="n">
        <x:v>1159.9919613095237</x:v>
      </x:c>
    </x:row>
    <x:row r="533" ht="65" customHeight="1">
      <x:c r="A533" s="61" t="n">
        <x:v>45689</x:v>
      </x:c>
      <x:c r="B533" s="32" t="str">
        <x:v>Derivados de petróleo</x:v>
      </x:c>
      <x:c r="C533" s="32" t="str">
        <x:v>Industrias sin Aluar</x:v>
      </x:c>
      <x:c r="D533" s="62" t="n">
        <x:v>28</x:v>
      </x:c>
      <x:c r="E533" s="2" t="str">
        <x:v>Completo</x:v>
      </x:c>
      <x:c r="F533" s="56" t="n">
        <x:v>149.34415773809522</x:v>
      </x:c>
      <x:c r="G533" s="56" t="n">
        <x:f>F365</x:f>
        <x:v>151.13160344827585</x:v>
      </x:c>
      <x:c r="H533" s="57" t="n">
        <x:f>IF(ISNUMBER(G533),IF(G533=0,"n.a.",F533/G533-1),"n.a.")</x:f>
        <x:v>-0.011827080963859316</x:v>
      </x:c>
      <x:c r="I533" s="58" t="n">
        <x:f>F533/J533</x:f>
        <x:v>0.12874585576394812</x:v>
      </x:c>
      <x:c r="J533" s="56" t="n">
        <x:v>1159.9919613095237</x:v>
      </x:c>
    </x:row>
    <x:row r="534" ht="65" customHeight="1">
      <x:c r="A534" s="61" t="n">
        <x:v>45689</x:v>
      </x:c>
      <x:c r="B534" s="32" t="str">
        <x:v>Construcción: elaboración de cemento y canteras</x:v>
      </x:c>
      <x:c r="C534" s="32" t="str">
        <x:v>Industrias sin Aluar</x:v>
      </x:c>
      <x:c r="D534" s="62" t="n">
        <x:v>28</x:v>
      </x:c>
      <x:c r="E534" s="2" t="str">
        <x:v>Completo</x:v>
      </x:c>
      <x:c r="F534" s="56" t="n">
        <x:v>160.91916964285716</x:v>
      </x:c>
      <x:c r="G534" s="56" t="n">
        <x:f>F366</x:f>
        <x:v>151.32458333333335</x:v>
      </x:c>
      <x:c r="H534" s="57" t="n">
        <x:f>IF(ISNUMBER(G534),IF(G534=0,"n.a.",F534/G534-1),"n.a.")</x:f>
        <x:v>0.06340401604403656</x:v>
      </x:c>
      <x:c r="I534" s="58" t="n">
        <x:f>F534/J534</x:f>
        <x:v>0.13872438345279073</x:v>
      </x:c>
      <x:c r="J534" s="56" t="n">
        <x:v>1159.9919613095237</x:v>
      </x:c>
    </x:row>
    <x:row r="535" ht="65" customHeight="1">
      <x:c r="A535" s="61" t="n">
        <x:v>45689</x:v>
      </x:c>
      <x:c r="B535" s="32" t="str">
        <x:v>Madera y papel</x:v>
      </x:c>
      <x:c r="C535" s="32" t="str">
        <x:v>Industrias sin Aluar</x:v>
      </x:c>
      <x:c r="D535" s="62" t="n">
        <x:v>28</x:v>
      </x:c>
      <x:c r="E535" s="2" t="str">
        <x:v>Completo</x:v>
      </x:c>
      <x:c r="F535" s="56" t="n">
        <x:v>103.7036398809524</x:v>
      </x:c>
      <x:c r="G535" s="56" t="n">
        <x:f>F367</x:f>
        <x:v>105.27016522988505</x:v>
      </x:c>
      <x:c r="H535" s="57" t="n">
        <x:f>IF(ISNUMBER(G535),IF(G535=0,"n.a.",F535/G535-1),"n.a.")</x:f>
        <x:v>-0.014881000191381277</x:v>
      </x:c>
      <x:c r="I535" s="58" t="n">
        <x:f>F535/J535</x:f>
        <x:v>0.08940030908824624</x:v>
      </x:c>
      <x:c r="J535" s="56" t="n">
        <x:v>1159.9919613095237</x:v>
      </x:c>
    </x:row>
    <x:row r="536" ht="65" customHeight="1">
      <x:c r="A536" s="61" t="n">
        <x:v>45689</x:v>
      </x:c>
      <x:c r="B536" s="32" t="str">
        <x:v>Productos metálicos no automotores</x:v>
      </x:c>
      <x:c r="C536" s="32" t="str">
        <x:v>Industrias sin Aluar</x:v>
      </x:c>
      <x:c r="D536" s="62" t="n">
        <x:v>28</x:v>
      </x:c>
      <x:c r="E536" s="2" t="str">
        <x:v>Completo</x:v>
      </x:c>
      <x:c r="F536" s="56" t="n">
        <x:v>42.02423363095238</x:v>
      </x:c>
      <x:c r="G536" s="56" t="n">
        <x:f>F368</x:f>
        <x:v>41.61290373563218</x:v>
      </x:c>
      <x:c r="H536" s="57" t="n">
        <x:f>IF(ISNUMBER(G536),IF(G536=0,"n.a.",F536/G536-1),"n.a.")</x:f>
        <x:v>0.009884671781940302</x:v>
      </x:c>
      <x:c r="I536" s="58" t="n">
        <x:f>F536/J536</x:f>
        <x:v>0.036228038669777425</x:v>
      </x:c>
      <x:c r="J536" s="56" t="n">
        <x:v>1159.9919613095237</x:v>
      </x:c>
    </x:row>
    <x:row r="537" ht="65" customHeight="1">
      <x:c r="A537" s="61" t="n">
        <x:v>45689</x:v>
      </x:c>
      <x:c r="B537" s="32" t="str">
        <x:v>Gran siderurgia</x:v>
      </x:c>
      <x:c r="C537" s="32" t="str">
        <x:v>Industrias sin Aluar</x:v>
      </x:c>
      <x:c r="D537" s="62" t="n">
        <x:v>28</x:v>
      </x:c>
      <x:c r="E537" s="2" t="str">
        <x:v>Completo</x:v>
      </x:c>
      <x:c r="F537" s="56" t="n">
        <x:v>260.64379761904763</x:v>
      </x:c>
      <x:c r="G537" s="56" t="n">
        <x:f>F369</x:f>
        <x:v>244.07468390804598</x:v>
      </x:c>
      <x:c r="H537" s="57" t="n">
        <x:f>IF(ISNUMBER(G537),IF(G537=0,"n.a.",F537/G537-1),"n.a.")</x:f>
        <x:v>0.06788542525468966</x:v>
      </x:c>
      <x:c r="I537" s="58" t="n">
        <x:f>F537/J537</x:f>
        <x:v>0.22469448609351125</x:v>
      </x:c>
      <x:c r="J537" s="56" t="n">
        <x:v>1159.9919613095237</x:v>
      </x:c>
    </x:row>
    <x:row r="538" ht="65" customHeight="1">
      <x:c r="A538" s="61" t="n">
        <x:v>45689</x:v>
      </x:c>
      <x:c r="B538" s="32" t="str">
        <x:v>Industria textil</x:v>
      </x:c>
      <x:c r="C538" s="32" t="str">
        <x:v>Industrias sin Aluar</x:v>
      </x:c>
      <x:c r="D538" s="62" t="n">
        <x:v>28</x:v>
      </x:c>
      <x:c r="E538" s="2" t="str">
        <x:v>Completo</x:v>
      </x:c>
      <x:c r="F538" s="56" t="n">
        <x:v>59.01992857142857</x:v>
      </x:c>
      <x:c r="G538" s="56" t="n">
        <x:f>F370</x:f>
        <x:v>61.237347701149424</x:v>
      </x:c>
      <x:c r="H538" s="57" t="n">
        <x:f>IF(ISNUMBER(G538),IF(G538=0,"n.a.",F538/G538-1),"n.a.")</x:f>
        <x:v>-0.03621024118389815</x:v>
      </x:c>
      <x:c r="I538" s="58" t="n">
        <x:f>F538/J538</x:f>
        <x:v>0.05087960135930643</x:v>
      </x:c>
      <x:c r="J538" s="56" t="n">
        <x:v>1159.9919613095237</x:v>
      </x:c>
    </x:row>
    <x:row r="539" ht="65" customHeight="1">
      <x:c r="A539" s="61" t="n">
        <x:v>45689</x:v>
      </x:c>
      <x:c r="B539" s="32" t="str">
        <x:v>Químicas, caucho, plástico y otros minerales no metálicos</x:v>
      </x:c>
      <x:c r="C539" s="32" t="str">
        <x:v>Industrias sin Aluar</x:v>
      </x:c>
      <x:c r="D539" s="62" t="n">
        <x:v>28</x:v>
      </x:c>
      <x:c r="E539" s="2" t="str">
        <x:v>Completo</x:v>
      </x:c>
      <x:c r="F539" s="56" t="n">
        <x:v>337.19717857142854</x:v>
      </x:c>
      <x:c r="G539" s="56" t="n">
        <x:f>F371</x:f>
        <x:v>340.6984310344827</x:v>
      </x:c>
      <x:c r="H539" s="57" t="n">
        <x:f>IF(ISNUMBER(G539),IF(G539=0,"n.a.",F539/G539-1),"n.a.")</x:f>
        <x:v>-0.010276690891775297</x:v>
      </x:c>
      <x:c r="I539" s="58" t="n">
        <x:f>F539/J539</x:f>
        <x:v>0.2906892373553728</x:v>
      </x:c>
      <x:c r="J539" s="56" t="n">
        <x:v>1159.9919613095237</x:v>
      </x:c>
    </x:row>
    <x:row r="540" ht="65" customHeight="1">
      <x:c r="A540" s="61" t="n">
        <x:v>45689</x:v>
      </x:c>
      <x:c r="B540" s="32" t="str">
        <x:v>Extracción de minerales</x:v>
      </x:c>
      <x:c r="C540" s="32" t="str">
        <x:v>Petróleos y minerales</x:v>
      </x:c>
      <x:c r="D540" s="62" t="n">
        <x:v>28</x:v>
      </x:c>
      <x:c r="E540" s="2" t="str">
        <x:v>Completo</x:v>
      </x:c>
      <x:c r="F540" s="56" t="n">
        <x:v>21.88229910714286</x:v>
      </x:c>
      <x:c r="G540" s="56" t="n">
        <x:f>F372</x:f>
        <x:v>19.159854885057474</x:v>
      </x:c>
      <x:c r="H540" s="57" t="n">
        <x:f>IF(ISNUMBER(G540),IF(G540=0,"n.a.",F540/G540-1),"n.a.")</x:f>
        <x:v>0.14209106689052153</x:v>
      </x:c>
      <x:c r="I540" s="58" t="n">
        <x:f>F540/J540</x:f>
        <x:v>0.13606682824101599</x:v>
      </x:c>
      <x:c r="J540" s="56" t="n">
        <x:v>160.82023363095237</x:v>
      </x:c>
    </x:row>
    <x:row r="541" ht="65" customHeight="1">
      <x:c r="A541" s="61" t="n">
        <x:v>45689</x:v>
      </x:c>
      <x:c r="B541" s="32" t="str">
        <x:v>Extracción de petróleo</x:v>
      </x:c>
      <x:c r="C541" s="32" t="str">
        <x:v>Petróleos y minerales</x:v>
      </x:c>
      <x:c r="D541" s="62" t="n">
        <x:v>28</x:v>
      </x:c>
      <x:c r="E541" s="2" t="str">
        <x:v>Completo</x:v>
      </x:c>
      <x:c r="F541" s="56" t="n">
        <x:v>138.9379345238095</x:v>
      </x:c>
      <x:c r="G541" s="56" t="n">
        <x:f>F373</x:f>
        <x:v>139.10344540229886</x:v>
      </x:c>
      <x:c r="H541" s="57" t="n">
        <x:f>IF(ISNUMBER(G541),IF(G541=0,"n.a.",F541/G541-1),"n.a.")</x:f>
        <x:v>-0.001189840251696772</x:v>
      </x:c>
      <x:c r="I541" s="58" t="n">
        <x:f>F541/J541</x:f>
        <x:v>0.863933171758984</x:v>
      </x:c>
      <x:c r="J541" s="56" t="n">
        <x:v>160.82023363095237</x:v>
      </x:c>
    </x:row>
    <x:row r="542" ht="65" customHeight="1">
      <x:c r="A542" s="61" t="n">
        <x:v>45717</x:v>
      </x:c>
      <x:c r="B542" s="32" t="str">
        <x:v>Cargas y puertos</x:v>
      </x:c>
      <x:c r="C542" s="32" t="str">
        <x:v>Alimentación, comercios y servicios</x:v>
      </x:c>
      <x:c r="D542" s="62" t="n">
        <x:v>31</x:v>
      </x:c>
      <x:c r="E542" s="2" t="str">
        <x:v>Completo</x:v>
      </x:c>
      <x:c r="F542" s="56" t="n">
        <x:v>11.341123655913979</x:v>
      </x:c>
      <x:c r="G542" s="56" t="n">
        <x:f>F374</x:f>
        <x:v>11.240396505376344</x:v>
      </x:c>
      <x:c r="H542" s="57" t="n">
        <x:f>IF(ISNUMBER(G542),IF(G542=0,"n.a.",F542/G542-1),"n.a.")</x:f>
        <x:v>0.008961174144475725</x:v>
      </x:c>
      <x:c r="I542" s="58" t="n">
        <x:f>F542/J542</x:f>
        <x:v>0.02679966056669243</x:v>
      </x:c>
      <x:c r="J542" s="56" t="n">
        <x:v>423.1816155913979</x:v>
      </x:c>
    </x:row>
    <x:row r="543" ht="65" customHeight="1">
      <x:c r="A543" s="61" t="n">
        <x:v>45717</x:v>
      </x:c>
      <x:c r="B543" s="32" t="str">
        <x:v>Comercio y servicios: principalmente supermercados y centros comerciales</x:v>
      </x:c>
      <x:c r="C543" s="32" t="str">
        <x:v>Alimentación, comercios y servicios</x:v>
      </x:c>
      <x:c r="D543" s="62" t="n">
        <x:v>31</x:v>
      </x:c>
      <x:c r="E543" s="2" t="str">
        <x:v>Completo</x:v>
      </x:c>
      <x:c r="F543" s="56" t="n">
        <x:v>50.88724193548387</x:v>
      </x:c>
      <x:c r="G543" s="56" t="n">
        <x:f>F375</x:f>
        <x:v>39.4878938172043</x:v>
      </x:c>
      <x:c r="H543" s="57" t="n">
        <x:f>IF(ISNUMBER(G543),IF(G543=0,"n.a.",F543/G543-1),"n.a.")</x:f>
        <x:v>0.2886795677442042</x:v>
      </x:c>
      <x:c r="I543" s="58" t="n">
        <x:f>F543/J543</x:f>
        <x:v>0.1202491792191132</x:v>
      </x:c>
      <x:c r="J543" s="56" t="n">
        <x:v>423.1816155913979</x:v>
      </x:c>
    </x:row>
    <x:row r="544" ht="65" customHeight="1">
      <x:c r="A544" s="61" t="n">
        <x:v>45717</x:v>
      </x:c>
      <x:c r="B544" s="32" t="str">
        <x:v>Alimentación y artículos de consumo masivo</x:v>
      </x:c>
      <x:c r="C544" s="32" t="str">
        <x:v>Alimentación, comercios y servicios</x:v>
      </x:c>
      <x:c r="D544" s="62" t="n">
        <x:v>31</x:v>
      </x:c>
      <x:c r="E544" s="2" t="str">
        <x:v>Completo</x:v>
      </x:c>
      <x:c r="F544" s="56" t="n">
        <x:v>285.7554690860215</x:v>
      </x:c>
      <x:c r="G544" s="56" t="n">
        <x:f>F376</x:f>
        <x:v>285.97380510752686</x:v>
      </x:c>
      <x:c r="H544" s="57" t="n">
        <x:f>IF(ISNUMBER(G544),IF(G544=0,"n.a.",F544/G544-1),"n.a.")</x:f>
        <x:v>-0.0007634825903836129</x:v>
      </x:c>
      <x:c r="I544" s="58" t="n">
        <x:f>F544/J544</x:f>
        <x:v>0.6752549226097102</x:v>
      </x:c>
      <x:c r="J544" s="56" t="n">
        <x:v>423.1816155913979</x:v>
      </x:c>
    </x:row>
    <x:row r="545" ht="65" customHeight="1">
      <x:c r="A545" s="61" t="n">
        <x:v>45717</x:v>
      </x:c>
      <x:c r="B545" s="32" t="str">
        <x:v>Servicios públicos y transporte: agua y transporte en GBA</x:v>
      </x:c>
      <x:c r="C545" s="32" t="str">
        <x:v>Alimentación, comercios y servicios</x:v>
      </x:c>
      <x:c r="D545" s="62" t="n">
        <x:v>31</x:v>
      </x:c>
      <x:c r="E545" s="2" t="str">
        <x:v>Completo</x:v>
      </x:c>
      <x:c r="F545" s="56" t="n">
        <x:v>75.19778091397849</x:v>
      </x:c>
      <x:c r="G545" s="56" t="n">
        <x:f>F377</x:f>
        <x:v>85.4129744623656</x:v>
      </x:c>
      <x:c r="H545" s="57" t="n">
        <x:f>IF(ISNUMBER(G545),IF(G545=0,"n.a.",F545/G545-1),"n.a.")</x:f>
        <x:v>-0.11959767954092371</x:v>
      </x:c>
      <x:c r="I545" s="58" t="n">
        <x:f>F545/J545</x:f>
        <x:v>0.1776962376044841</x:v>
      </x:c>
      <x:c r="J545" s="56" t="n">
        <x:v>423.1816155913979</x:v>
      </x:c>
    </x:row>
    <x:row r="546" ht="65" customHeight="1">
      <x:c r="A546" s="61" t="n">
        <x:v>45717</x:v>
      </x:c>
      <x:c r="B546" s="32" t="str">
        <x:v>Industria automotriz</x:v>
      </x:c>
      <x:c r="C546" s="32" t="str">
        <x:v>Industrias sin Aluar</x:v>
      </x:c>
      <x:c r="D546" s="62" t="n">
        <x:v>31</x:v>
      </x:c>
      <x:c r="E546" s="2" t="str">
        <x:v>Completo</x:v>
      </x:c>
      <x:c r="F546" s="56" t="n">
        <x:v>42.55074596774193</x:v>
      </x:c>
      <x:c r="G546" s="56" t="n">
        <x:f>F378</x:f>
        <x:v>43.381592741935485</x:v>
      </x:c>
      <x:c r="H546" s="57" t="n">
        <x:f>IF(ISNUMBER(G546),IF(G546=0,"n.a.",F546/G546-1),"n.a.")</x:f>
        <x:v>-0.019152057858641047</x:v>
      </x:c>
      <x:c r="I546" s="58" t="n">
        <x:f>F546/J546</x:f>
        <x:v>0.039256856620882484</x:v>
      </x:c>
      <x:c r="J546" s="56" t="n">
        <x:v>1083.9060900537636</x:v>
      </x:c>
    </x:row>
    <x:row r="547" ht="65" customHeight="1">
      <x:c r="A547" s="61" t="n">
        <x:v>45717</x:v>
      </x:c>
      <x:c r="B547" s="32" t="str">
        <x:v>Derivados de petróleo</x:v>
      </x:c>
      <x:c r="C547" s="32" t="str">
        <x:v>Industrias sin Aluar</x:v>
      </x:c>
      <x:c r="D547" s="62" t="n">
        <x:v>31</x:v>
      </x:c>
      <x:c r="E547" s="2" t="str">
        <x:v>Completo</x:v>
      </x:c>
      <x:c r="F547" s="56" t="n">
        <x:v>149.64575806451614</x:v>
      </x:c>
      <x:c r="G547" s="56" t="n">
        <x:f>F379</x:f>
        <x:v>148.64953494623657</x:v>
      </x:c>
      <x:c r="H547" s="57" t="n">
        <x:f>IF(ISNUMBER(G547),IF(G547=0,"n.a.",F547/G547-1),"n.a.")</x:f>
        <x:v>0.006701824655152011</x:v>
      </x:c>
      <x:c r="I547" s="58" t="n">
        <x:f>F547/J547</x:f>
        <x:v>0.1380615529682036</x:v>
      </x:c>
      <x:c r="J547" s="56" t="n">
        <x:v>1083.9060900537636</x:v>
      </x:c>
    </x:row>
    <x:row r="548" ht="65" customHeight="1">
      <x:c r="A548" s="61" t="n">
        <x:v>45717</x:v>
      </x:c>
      <x:c r="B548" s="32" t="str">
        <x:v>Construcción: elaboración de cemento y canteras</x:v>
      </x:c>
      <x:c r="C548" s="32" t="str">
        <x:v>Industrias sin Aluar</x:v>
      </x:c>
      <x:c r="D548" s="62" t="n">
        <x:v>31</x:v>
      </x:c>
      <x:c r="E548" s="2" t="str">
        <x:v>Completo</x:v>
      </x:c>
      <x:c r="F548" s="56" t="n">
        <x:v>142.41225403225806</x:v>
      </x:c>
      <x:c r="G548" s="56" t="n">
        <x:f>F380</x:f>
        <x:v>131.9065887096774</x:v>
      </x:c>
      <x:c r="H548" s="57" t="n">
        <x:f>IF(ISNUMBER(G548),IF(G548=0,"n.a.",F548/G548-1),"n.a.")</x:f>
        <x:v>0.07964473515195913</x:v>
      </x:c>
      <x:c r="I548" s="58" t="n">
        <x:f>F548/J548</x:f>
        <x:v>0.13138800062023287</x:v>
      </x:c>
      <x:c r="J548" s="56" t="n">
        <x:v>1083.9060900537636</x:v>
      </x:c>
    </x:row>
    <x:row r="549" ht="65" customHeight="1">
      <x:c r="A549" s="61" t="n">
        <x:v>45717</x:v>
      </x:c>
      <x:c r="B549" s="32" t="str">
        <x:v>Madera y papel</x:v>
      </x:c>
      <x:c r="C549" s="32" t="str">
        <x:v>Industrias sin Aluar</x:v>
      </x:c>
      <x:c r="D549" s="62" t="n">
        <x:v>31</x:v>
      </x:c>
      <x:c r="E549" s="2" t="str">
        <x:v>Completo</x:v>
      </x:c>
      <x:c r="F549" s="56" t="n">
        <x:v>98.3025497311828</x:v>
      </x:c>
      <x:c r="G549" s="56" t="n">
        <x:f>F381</x:f>
        <x:v>101.02791263440861</x:v>
      </x:c>
      <x:c r="H549" s="57" t="n">
        <x:f>IF(ISNUMBER(G549),IF(G549=0,"n.a.",F549/G549-1),"n.a.")</x:f>
        <x:v>-0.026976335867574863</x:v>
      </x:c>
      <x:c r="I549" s="58" t="n">
        <x:f>F549/J549</x:f>
        <x:v>0.09069286595327351</x:v>
      </x:c>
      <x:c r="J549" s="56" t="n">
        <x:v>1083.9060900537636</x:v>
      </x:c>
    </x:row>
    <x:row r="550" ht="65" customHeight="1">
      <x:c r="A550" s="61" t="n">
        <x:v>45717</x:v>
      </x:c>
      <x:c r="B550" s="32" t="str">
        <x:v>Productos metálicos no automotores</x:v>
      </x:c>
      <x:c r="C550" s="32" t="str">
        <x:v>Industrias sin Aluar</x:v>
      </x:c>
      <x:c r="D550" s="62" t="n">
        <x:v>31</x:v>
      </x:c>
      <x:c r="E550" s="2" t="str">
        <x:v>Completo</x:v>
      </x:c>
      <x:c r="F550" s="56" t="n">
        <x:v>28.755403225806454</x:v>
      </x:c>
      <x:c r="G550" s="56" t="n">
        <x:f>F382</x:f>
        <x:v>43.05391666666667</x:v>
      </x:c>
      <x:c r="H550" s="57" t="n">
        <x:f>IF(ISNUMBER(G550),IF(G550=0,"n.a.",F550/G550-1),"n.a.")</x:f>
        <x:v>-0.33210714722106704</x:v>
      </x:c>
      <x:c r="I550" s="58" t="n">
        <x:f>F550/J550</x:f>
        <x:v>0.026529423065037062</x:v>
      </x:c>
      <x:c r="J550" s="56" t="n">
        <x:v>1083.9060900537636</x:v>
      </x:c>
    </x:row>
    <x:row r="551" ht="65" customHeight="1">
      <x:c r="A551" s="61" t="n">
        <x:v>45717</x:v>
      </x:c>
      <x:c r="B551" s="32" t="str">
        <x:v>Gran siderurgia</x:v>
      </x:c>
      <x:c r="C551" s="32" t="str">
        <x:v>Industrias sin Aluar</x:v>
      </x:c>
      <x:c r="D551" s="62" t="n">
        <x:v>31</x:v>
      </x:c>
      <x:c r="E551" s="2" t="str">
        <x:v>Completo</x:v>
      </x:c>
      <x:c r="F551" s="56" t="n">
        <x:v>247.3586586021505</x:v>
      </x:c>
      <x:c r="G551" s="56" t="n">
        <x:f>F383</x:f>
        <x:v>211.54222177419354</x:v>
      </x:c>
      <x:c r="H551" s="57" t="n">
        <x:f>IF(ISNUMBER(G551),IF(G551=0,"n.a.",F551/G551-1),"n.a.")</x:f>
        <x:v>0.16931105538916258</x:v>
      </x:c>
      <x:c r="I551" s="58" t="n">
        <x:f>F551/J551</x:f>
        <x:v>0.22821041497227965</x:v>
      </x:c>
      <x:c r="J551" s="56" t="n">
        <x:v>1083.9060900537636</x:v>
      </x:c>
    </x:row>
    <x:row r="552" ht="65" customHeight="1">
      <x:c r="A552" s="61" t="n">
        <x:v>45717</x:v>
      </x:c>
      <x:c r="B552" s="32" t="str">
        <x:v>Industria textil</x:v>
      </x:c>
      <x:c r="C552" s="32" t="str">
        <x:v>Industrias sin Aluar</x:v>
      </x:c>
      <x:c r="D552" s="62" t="n">
        <x:v>31</x:v>
      </x:c>
      <x:c r="E552" s="2" t="str">
        <x:v>Completo</x:v>
      </x:c>
      <x:c r="F552" s="56" t="n">
        <x:v>55.125762096774196</x:v>
      </x:c>
      <x:c r="G552" s="56" t="n">
        <x:f>F384</x:f>
        <x:v>55.346901881720434</x:v>
      </x:c>
      <x:c r="H552" s="57" t="n">
        <x:f>IF(ISNUMBER(G552),IF(G552=0,"n.a.",F552/G552-1),"n.a.")</x:f>
        <x:v>-0.0039955223766422465</x:v>
      </x:c>
      <x:c r="I552" s="58" t="n">
        <x:f>F552/J552</x:f>
        <x:v>0.05085843008229603</x:v>
      </x:c>
      <x:c r="J552" s="56" t="n">
        <x:v>1083.9060900537636</x:v>
      </x:c>
    </x:row>
    <x:row r="553" ht="65" customHeight="1">
      <x:c r="A553" s="61" t="n">
        <x:v>45717</x:v>
      </x:c>
      <x:c r="B553" s="32" t="str">
        <x:v>Químicas, caucho, plástico y otros minerales no metálicos</x:v>
      </x:c>
      <x:c r="C553" s="32" t="str">
        <x:v>Industrias sin Aluar</x:v>
      </x:c>
      <x:c r="D553" s="62" t="n">
        <x:v>31</x:v>
      </x:c>
      <x:c r="E553" s="2" t="str">
        <x:v>Completo</x:v>
      </x:c>
      <x:c r="F553" s="56" t="n">
        <x:v>319.7549583333333</x:v>
      </x:c>
      <x:c r="G553" s="56" t="n">
        <x:f>F385</x:f>
        <x:v>326.7653938172043</x:v>
      </x:c>
      <x:c r="H553" s="57" t="n">
        <x:f>IF(ISNUMBER(G553),IF(G553=0,"n.a.",F553/G553-1),"n.a.")</x:f>
        <x:v>-0.02145403282145808</x:v>
      </x:c>
      <x:c r="I553" s="58" t="n">
        <x:f>F553/J553</x:f>
        <x:v>0.29500245571779465</x:v>
      </x:c>
      <x:c r="J553" s="56" t="n">
        <x:v>1083.9060900537636</x:v>
      </x:c>
    </x:row>
    <x:row r="554" ht="65" customHeight="1">
      <x:c r="A554" s="61" t="n">
        <x:v>45717</x:v>
      </x:c>
      <x:c r="B554" s="32" t="str">
        <x:v>Extracción de minerales</x:v>
      </x:c>
      <x:c r="C554" s="32" t="str">
        <x:v>Petróleos y minerales</x:v>
      </x:c>
      <x:c r="D554" s="62" t="n">
        <x:v>31</x:v>
      </x:c>
      <x:c r="E554" s="2" t="str">
        <x:v>Completo</x:v>
      </x:c>
      <x:c r="F554" s="56" t="n">
        <x:v>22.25468548387097</x:v>
      </x:c>
      <x:c r="G554" s="56" t="n">
        <x:f>F386</x:f>
        <x:v>21.984283602150537</x:v>
      </x:c>
      <x:c r="H554" s="57" t="n">
        <x:f>IF(ISNUMBER(G554),IF(G554=0,"n.a.",F554/G554-1),"n.a.")</x:f>
        <x:v>0.01229978136262666</x:v>
      </x:c>
      <x:c r="I554" s="58" t="n">
        <x:f>F554/J554</x:f>
        <x:v>0.1326771898858476</x:v>
      </x:c>
      <x:c r="J554" s="56" t="n">
        <x:v>167.7355806451613</x:v>
      </x:c>
    </x:row>
    <x:row r="555" ht="65" customHeight="1">
      <x:c r="A555" s="61" t="n">
        <x:v>45717</x:v>
      </x:c>
      <x:c r="B555" s="32" t="str">
        <x:v>Extracción de petróleo</x:v>
      </x:c>
      <x:c r="C555" s="32" t="str">
        <x:v>Petróleos y minerales</x:v>
      </x:c>
      <x:c r="D555" s="62" t="n">
        <x:v>31</x:v>
      </x:c>
      <x:c r="E555" s="2" t="str">
        <x:v>Completo</x:v>
      </x:c>
      <x:c r="F555" s="56" t="n">
        <x:v>145.48089516129033</x:v>
      </x:c>
      <x:c r="G555" s="56" t="n">
        <x:f>F387</x:f>
        <x:v>153.65880241935486</x:v>
      </x:c>
      <x:c r="H555" s="57" t="n">
        <x:f>IF(ISNUMBER(G555),IF(G555=0,"n.a.",F555/G555-1),"n.a.")</x:f>
        <x:v>-0.05322120912895023</x:v>
      </x:c>
      <x:c r="I555" s="58" t="n">
        <x:f>F555/J555</x:f>
        <x:v>0.8673228101141525</x:v>
      </x:c>
      <x:c r="J555" s="56" t="n">
        <x:v>167.7355806451613</x:v>
      </x:c>
    </x:row>
    <x:row r="556" ht="65" customHeight="1">
      <x:c r="A556" s="61" t="n">
        <x:v>45748</x:v>
      </x:c>
      <x:c r="B556" s="32" t="str">
        <x:v>Cargas y puertos</x:v>
      </x:c>
      <x:c r="C556" s="32" t="str">
        <x:v>Alimentación, comercios y servicios</x:v>
      </x:c>
      <x:c r="D556" s="62" t="n">
        <x:v>30</x:v>
      </x:c>
      <x:c r="E556" s="2" t="str">
        <x:v>Completo</x:v>
      </x:c>
      <x:c r="F556" s="56" t="n">
        <x:v>9.5680125</x:v>
      </x:c>
      <x:c r="G556" s="56" t="n">
        <x:f>F388</x:f>
        <x:v>9.19405</x:v>
      </x:c>
      <x:c r="H556" s="57" t="n">
        <x:f>IF(ISNUMBER(G556),IF(G556=0,"n.a.",F556/G556-1),"n.a.")</x:f>
        <x:v>0.040674403554472605</x:v>
      </x:c>
      <x:c r="I556" s="58" t="n">
        <x:f>F556/J556</x:f>
        <x:v>0.023550143698229064</x:v>
      </x:c>
      <x:c r="J556" s="56" t="n">
        <x:v>406.28255277777777</x:v>
      </x:c>
    </x:row>
    <x:row r="557" ht="65" customHeight="1">
      <x:c r="A557" s="61" t="n">
        <x:v>45748</x:v>
      </x:c>
      <x:c r="B557" s="32" t="str">
        <x:v>Comercio y servicios: principalmente supermercados y centros comerciales</x:v>
      </x:c>
      <x:c r="C557" s="32" t="str">
        <x:v>Alimentación, comercios y servicios</x:v>
      </x:c>
      <x:c r="D557" s="62" t="n">
        <x:v>30</x:v>
      </x:c>
      <x:c r="E557" s="2" t="str">
        <x:v>Completo</x:v>
      </x:c>
      <x:c r="F557" s="56" t="n">
        <x:v>45.60965138888889</x:v>
      </x:c>
      <x:c r="G557" s="56" t="n">
        <x:f>F389</x:f>
        <x:v>35.878061111111116</x:v>
      </x:c>
      <x:c r="H557" s="57" t="n">
        <x:f>IF(ISNUMBER(G557),IF(G557=0,"n.a.",F557/G557-1),"n.a.")</x:f>
        <x:v>0.27124069630295566</x:v>
      </x:c>
      <x:c r="I557" s="58" t="n">
        <x:f>F557/J557</x:f>
        <x:v>0.11226091565353476</x:v>
      </x:c>
      <x:c r="J557" s="56" t="n">
        <x:v>406.28255277777777</x:v>
      </x:c>
    </x:row>
    <x:row r="558" ht="65" customHeight="1">
      <x:c r="A558" s="61" t="n">
        <x:v>45748</x:v>
      </x:c>
      <x:c r="B558" s="32" t="str">
        <x:v>Alimentación y artículos de consumo masivo</x:v>
      </x:c>
      <x:c r="C558" s="32" t="str">
        <x:v>Alimentación, comercios y servicios</x:v>
      </x:c>
      <x:c r="D558" s="62" t="n">
        <x:v>30</x:v>
      </x:c>
      <x:c r="E558" s="2" t="str">
        <x:v>Completo</x:v>
      </x:c>
      <x:c r="F558" s="56" t="n">
        <x:v>275.5870055555555</x:v>
      </x:c>
      <x:c r="G558" s="56" t="n">
        <x:f>F390</x:f>
        <x:v>288.5058208333333</x:v>
      </x:c>
      <x:c r="H558" s="57" t="n">
        <x:f>IF(ISNUMBER(G558),IF(G558=0,"n.a.",F558/G558-1),"n.a.")</x:f>
        <x:v>-0.04477835227193172</x:v>
      </x:c>
      <x:c r="I558" s="58" t="n">
        <x:f>F558/J558</x:f>
        <x:v>0.6783136604595764</x:v>
      </x:c>
      <x:c r="J558" s="56" t="n">
        <x:v>406.28255277777777</x:v>
      </x:c>
    </x:row>
    <x:row r="559" ht="65" customHeight="1">
      <x:c r="A559" s="61" t="n">
        <x:v>45748</x:v>
      </x:c>
      <x:c r="B559" s="32" t="str">
        <x:v>Servicios públicos y transporte: agua y transporte en GBA</x:v>
      </x:c>
      <x:c r="C559" s="32" t="str">
        <x:v>Alimentación, comercios y servicios</x:v>
      </x:c>
      <x:c r="D559" s="62" t="n">
        <x:v>30</x:v>
      </x:c>
      <x:c r="E559" s="2" t="str">
        <x:v>Completo</x:v>
      </x:c>
      <x:c r="F559" s="56" t="n">
        <x:v>75.51788333333334</x:v>
      </x:c>
      <x:c r="G559" s="56" t="n">
        <x:f>F391</x:f>
        <x:v>84.10488194444444</x:v>
      </x:c>
      <x:c r="H559" s="57" t="n">
        <x:f>IF(ISNUMBER(G559),IF(G559=0,"n.a.",F559/G559-1),"n.a.")</x:f>
        <x:v>-0.10209869406609773</x:v>
      </x:c>
      <x:c r="I559" s="58" t="n">
        <x:f>F559/J559</x:f>
        <x:v>0.18587528018865965</x:v>
      </x:c>
      <x:c r="J559" s="56" t="n">
        <x:v>406.28255277777777</x:v>
      </x:c>
    </x:row>
    <x:row r="560" ht="65" customHeight="1">
      <x:c r="A560" s="61" t="n">
        <x:v>45748</x:v>
      </x:c>
      <x:c r="B560" s="32" t="str">
        <x:v>Industria automotriz</x:v>
      </x:c>
      <x:c r="C560" s="32" t="str">
        <x:v>Industrias sin Aluar</x:v>
      </x:c>
      <x:c r="D560" s="62" t="n">
        <x:v>30</x:v>
      </x:c>
      <x:c r="E560" s="2" t="str">
        <x:v>Completo</x:v>
      </x:c>
      <x:c r="F560" s="56" t="n">
        <x:v>41.18686388888889</x:v>
      </x:c>
      <x:c r="G560" s="56" t="n">
        <x:f>F392</x:f>
        <x:v>40.914975000000005</x:v>
      </x:c>
      <x:c r="H560" s="57" t="n">
        <x:f>IF(ISNUMBER(G560),IF(G560=0,"n.a.",F560/G560-1),"n.a.")</x:f>
        <x:v>0.006645217035788908</x:v>
      </x:c>
      <x:c r="I560" s="58" t="n">
        <x:f>F560/J560</x:f>
        <x:v>0.0374173342677898</x:v>
      </x:c>
      <x:c r="J560" s="56" t="n">
        <x:v>1100.7428694444445</x:v>
      </x:c>
    </x:row>
    <x:row r="561" ht="65" customHeight="1">
      <x:c r="A561" s="61" t="n">
        <x:v>45748</x:v>
      </x:c>
      <x:c r="B561" s="32" t="str">
        <x:v>Derivados de petróleo</x:v>
      </x:c>
      <x:c r="C561" s="32" t="str">
        <x:v>Industrias sin Aluar</x:v>
      </x:c>
      <x:c r="D561" s="62" t="n">
        <x:v>30</x:v>
      </x:c>
      <x:c r="E561" s="2" t="str">
        <x:v>Completo</x:v>
      </x:c>
      <x:c r="F561" s="56" t="n">
        <x:v>153.31479305555555</x:v>
      </x:c>
      <x:c r="G561" s="56" t="n">
        <x:f>F393</x:f>
        <x:v>147.35657638888887</x:v>
      </x:c>
      <x:c r="H561" s="57" t="n">
        <x:f>IF(ISNUMBER(G561),IF(G561=0,"n.a.",F561/G561-1),"n.a.")</x:f>
        <x:v>0.04043400581554191</x:v>
      </x:c>
      <x:c r="I561" s="58" t="n">
        <x:f>F561/J561</x:f>
        <x:v>0.13928302177686147</x:v>
      </x:c>
      <x:c r="J561" s="56" t="n">
        <x:v>1100.7428694444445</x:v>
      </x:c>
    </x:row>
    <x:row r="562" ht="65" customHeight="1">
      <x:c r="A562" s="61" t="n">
        <x:v>45748</x:v>
      </x:c>
      <x:c r="B562" s="32" t="str">
        <x:v>Construcción: elaboración de cemento y canteras</x:v>
      </x:c>
      <x:c r="C562" s="32" t="str">
        <x:v>Industrias sin Aluar</x:v>
      </x:c>
      <x:c r="D562" s="62" t="n">
        <x:v>30</x:v>
      </x:c>
      <x:c r="E562" s="2" t="str">
        <x:v>Completo</x:v>
      </x:c>
      <x:c r="F562" s="56" t="n">
        <x:v>149.36918888888889</x:v>
      </x:c>
      <x:c r="G562" s="56" t="n">
        <x:f>F394</x:f>
        <x:v>141.21971805555555</x:v>
      </x:c>
      <x:c r="H562" s="57" t="n">
        <x:f>IF(ISNUMBER(G562),IF(G562=0,"n.a.",F562/G562-1),"n.a.")</x:f>
        <x:v>0.05770774043131399</x:v>
      </x:c>
      <x:c r="I562" s="58" t="n">
        <x:f>F562/J562</x:f>
        <x:v>0.13569852963415238</x:v>
      </x:c>
      <x:c r="J562" s="56" t="n">
        <x:v>1100.7428694444445</x:v>
      </x:c>
    </x:row>
    <x:row r="563" ht="65" customHeight="1">
      <x:c r="A563" s="61" t="n">
        <x:v>45748</x:v>
      </x:c>
      <x:c r="B563" s="32" t="str">
        <x:v>Madera y papel</x:v>
      </x:c>
      <x:c r="C563" s="32" t="str">
        <x:v>Industrias sin Aluar</x:v>
      </x:c>
      <x:c r="D563" s="62" t="n">
        <x:v>30</x:v>
      </x:c>
      <x:c r="E563" s="2" t="str">
        <x:v>Completo</x:v>
      </x:c>
      <x:c r="F563" s="56" t="n">
        <x:v>100.82068472222223</x:v>
      </x:c>
      <x:c r="G563" s="56" t="n">
        <x:f>F395</x:f>
        <x:v>103.92362638888888</x:v>
      </x:c>
      <x:c r="H563" s="57" t="n">
        <x:f>IF(ISNUMBER(G563),IF(G563=0,"n.a.",F563/G563-1),"n.a.")</x:f>
        <x:v>-0.02985790406365585</x:v>
      </x:c>
      <x:c r="I563" s="58" t="n">
        <x:f>F563/J563</x:f>
        <x:v>0.09159331168150778</x:v>
      </x:c>
      <x:c r="J563" s="56" t="n">
        <x:v>1100.7428694444445</x:v>
      </x:c>
    </x:row>
    <x:row r="564" ht="65" customHeight="1">
      <x:c r="A564" s="61" t="n">
        <x:v>45748</x:v>
      </x:c>
      <x:c r="B564" s="32" t="str">
        <x:v>Productos metálicos no automotores</x:v>
      </x:c>
      <x:c r="C564" s="32" t="str">
        <x:v>Industrias sin Aluar</x:v>
      </x:c>
      <x:c r="D564" s="62" t="n">
        <x:v>30</x:v>
      </x:c>
      <x:c r="E564" s="2" t="str">
        <x:v>Completo</x:v>
      </x:c>
      <x:c r="F564" s="56" t="n">
        <x:v>31.430494444444445</x:v>
      </x:c>
      <x:c r="G564" s="56" t="n">
        <x:f>F396</x:f>
        <x:v>41.50441111111111</x:v>
      </x:c>
      <x:c r="H564" s="57" t="n">
        <x:f>IF(ISNUMBER(G564),IF(G564=0,"n.a.",F564/G564-1),"n.a.")</x:f>
        <x:v>-0.2427191808527982</x:v>
      </x:c>
      <x:c r="I564" s="58" t="n">
        <x:f>F564/J564</x:f>
        <x:v>0.02855389329962929</x:v>
      </x:c>
      <x:c r="J564" s="56" t="n">
        <x:v>1100.7428694444445</x:v>
      </x:c>
    </x:row>
    <x:row r="565" ht="65" customHeight="1">
      <x:c r="A565" s="61" t="n">
        <x:v>45748</x:v>
      </x:c>
      <x:c r="B565" s="32" t="str">
        <x:v>Gran siderurgia</x:v>
      </x:c>
      <x:c r="C565" s="32" t="str">
        <x:v>Industrias sin Aluar</x:v>
      </x:c>
      <x:c r="D565" s="62" t="n">
        <x:v>30</x:v>
      </x:c>
      <x:c r="E565" s="2" t="str">
        <x:v>Completo</x:v>
      </x:c>
      <x:c r="F565" s="56" t="n">
        <x:v>247.63442222222224</x:v>
      </x:c>
      <x:c r="G565" s="56" t="n">
        <x:f>F397</x:f>
        <x:v>256.65835555555554</x:v>
      </x:c>
      <x:c r="H565" s="57" t="n">
        <x:f>IF(ISNUMBER(G565),IF(G565=0,"n.a.",F565/G565-1),"n.a.")</x:f>
        <x:v>-0.03515932031045843</x:v>
      </x:c>
      <x:c r="I565" s="58" t="n">
        <x:f>F565/J565</x:f>
        <x:v>0.22497027152872287</x:v>
      </x:c>
      <x:c r="J565" s="56" t="n">
        <x:v>1100.7428694444445</x:v>
      </x:c>
    </x:row>
    <x:row r="566" ht="65" customHeight="1">
      <x:c r="A566" s="61" t="n">
        <x:v>45748</x:v>
      </x:c>
      <x:c r="B566" s="32" t="str">
        <x:v>Industria textil</x:v>
      </x:c>
      <x:c r="C566" s="32" t="str">
        <x:v>Industrias sin Aluar</x:v>
      </x:c>
      <x:c r="D566" s="62" t="n">
        <x:v>30</x:v>
      </x:c>
      <x:c r="E566" s="2" t="str">
        <x:v>Completo</x:v>
      </x:c>
      <x:c r="F566" s="56" t="n">
        <x:v>50.211259722222216</x:v>
      </x:c>
      <x:c r="G566" s="56" t="n">
        <x:f>F398</x:f>
        <x:v>49.75077361111111</x:v>
      </x:c>
      <x:c r="H566" s="57" t="n">
        <x:f>IF(ISNUMBER(G566),IF(G566=0,"n.a.",F566/G566-1),"n.a.")</x:f>
        <x:v>0.009255858305050824</x:v>
      </x:c>
      <x:c r="I566" s="58" t="n">
        <x:f>F566/J566</x:f>
        <x:v>0.04561579376622655</x:v>
      </x:c>
      <x:c r="J566" s="56" t="n">
        <x:v>1100.7428694444445</x:v>
      </x:c>
    </x:row>
    <x:row r="567" ht="65" customHeight="1">
      <x:c r="A567" s="61" t="n">
        <x:v>45748</x:v>
      </x:c>
      <x:c r="B567" s="32" t="str">
        <x:v>Químicas, caucho, plástico y otros minerales no metálicos</x:v>
      </x:c>
      <x:c r="C567" s="32" t="str">
        <x:v>Industrias sin Aluar</x:v>
      </x:c>
      <x:c r="D567" s="62" t="n">
        <x:v>30</x:v>
      </x:c>
      <x:c r="E567" s="2" t="str">
        <x:v>Completo</x:v>
      </x:c>
      <x:c r="F567" s="56" t="n">
        <x:v>326.77516249999996</x:v>
      </x:c>
      <x:c r="G567" s="56" t="n">
        <x:f>F399</x:f>
        <x:v>322.79945416666664</x:v>
      </x:c>
      <x:c r="H567" s="57" t="n">
        <x:f>IF(ISNUMBER(G567),IF(G567=0,"n.a.",F567/G567-1),"n.a.")</x:f>
        <x:v>0.012316341561347866</x:v>
      </x:c>
      <x:c r="I567" s="58" t="n">
        <x:f>F567/J567</x:f>
        <x:v>0.29686784404510974</x:v>
      </x:c>
      <x:c r="J567" s="56" t="n">
        <x:v>1100.7428694444445</x:v>
      </x:c>
    </x:row>
    <x:row r="568" ht="65" customHeight="1">
      <x:c r="A568" s="61" t="n">
        <x:v>45748</x:v>
      </x:c>
      <x:c r="B568" s="32" t="str">
        <x:v>Extracción de minerales</x:v>
      </x:c>
      <x:c r="C568" s="32" t="str">
        <x:v>Petróleos y minerales</x:v>
      </x:c>
      <x:c r="D568" s="62" t="n">
        <x:v>30</x:v>
      </x:c>
      <x:c r="E568" s="2" t="str">
        <x:v>Completo</x:v>
      </x:c>
      <x:c r="F568" s="56" t="n">
        <x:v>24.467341666666666</x:v>
      </x:c>
      <x:c r="G568" s="56" t="n">
        <x:f>F400</x:f>
        <x:v>21.144481944444447</x:v>
      </x:c>
      <x:c r="H568" s="57" t="n">
        <x:f>IF(ISNUMBER(G568),IF(G568=0,"n.a.",F568/G568-1),"n.a.")</x:f>
        <x:v>0.15715020736629004</x:v>
      </x:c>
      <x:c r="I568" s="58" t="n">
        <x:f>F568/J568</x:f>
        <x:v>0.14704208663124152</x:v>
      </x:c>
      <x:c r="J568" s="56" t="n">
        <x:v>166.39686111111112</x:v>
      </x:c>
    </x:row>
    <x:row r="569" ht="65" customHeight="1">
      <x:c r="A569" s="61" t="n">
        <x:v>45748</x:v>
      </x:c>
      <x:c r="B569" s="32" t="str">
        <x:v>Extracción de petróleo</x:v>
      </x:c>
      <x:c r="C569" s="32" t="str">
        <x:v>Petróleos y minerales</x:v>
      </x:c>
      <x:c r="D569" s="62" t="n">
        <x:v>30</x:v>
      </x:c>
      <x:c r="E569" s="2" t="str">
        <x:v>Completo</x:v>
      </x:c>
      <x:c r="F569" s="56" t="n">
        <x:v>141.92951944444445</x:v>
      </x:c>
      <x:c r="G569" s="56" t="n">
        <x:f>F401</x:f>
        <x:v>152.8361875</x:v>
      </x:c>
      <x:c r="H569" s="57" t="n">
        <x:f>IF(ISNUMBER(G569),IF(G569=0,"n.a.",F569/G569-1),"n.a.")</x:f>
        <x:v>-0.07136181707984268</x:v>
      </x:c>
      <x:c r="I569" s="58" t="n">
        <x:f>F569/J569</x:f>
        <x:v>0.8529579133687585</x:v>
      </x:c>
      <x:c r="J569" s="56" t="n">
        <x:v>166.39686111111112</x:v>
      </x:c>
    </x:row>
    <x:row r="570" ht="65" customHeight="1">
      <x:c r="A570" s="61" t="n">
        <x:v>45778</x:v>
      </x:c>
      <x:c r="B570" s="32" t="str">
        <x:v>Cargas y puertos</x:v>
      </x:c>
      <x:c r="C570" s="32" t="str">
        <x:v>Alimentación, comercios y servicios</x:v>
      </x:c>
      <x:c r="D570" s="62" t="n">
        <x:v>31</x:v>
      </x:c>
      <x:c r="E570" s="2" t="str">
        <x:v>Completo</x:v>
      </x:c>
      <x:c r="F570" s="56" t="n">
        <x:v>9.245549731182795</x:v>
      </x:c>
      <x:c r="G570" s="56" t="n">
        <x:f>F402</x:f>
        <x:v>9.037594086021505</x:v>
      </x:c>
      <x:c r="H570" s="57" t="n">
        <x:f>IF(ISNUMBER(G570),IF(G570=0,"n.a.",F570/G570-1),"n.a.")</x:f>
        <x:v>0.023010066969364695</x:v>
      </x:c>
      <x:c r="I570" s="58" t="n">
        <x:f>F570/J570</x:f>
        <x:v>0.022983248924574044</x:v>
      </x:c>
      <x:c r="J570" s="56" t="n">
        <x:v>402.2734018817205</x:v>
      </x:c>
    </x:row>
    <x:row r="571" ht="65" customHeight="1">
      <x:c r="A571" s="61" t="n">
        <x:v>45778</x:v>
      </x:c>
      <x:c r="B571" s="32" t="str">
        <x:v>Comercio y servicios: principalmente supermercados y centros comerciales</x:v>
      </x:c>
      <x:c r="C571" s="32" t="str">
        <x:v>Alimentación, comercios y servicios</x:v>
      </x:c>
      <x:c r="D571" s="62" t="n">
        <x:v>31</x:v>
      </x:c>
      <x:c r="E571" s="2" t="str">
        <x:v>Completo</x:v>
      </x:c>
      <x:c r="F571" s="56" t="n">
        <x:v>44.32232123655914</x:v>
      </x:c>
      <x:c r="G571" s="56" t="n">
        <x:f>F403</x:f>
        <x:v>31.103408602150537</x:v>
      </x:c>
      <x:c r="H571" s="57" t="n">
        <x:f>IF(ISNUMBER(G571),IF(G571=0,"n.a.",F571/G571-1),"n.a.")</x:f>
        <x:v>0.42499884187917036</x:v>
      </x:c>
      <x:c r="I571" s="58" t="n">
        <x:f>F571/J571</x:f>
        <x:v>0.11017959683447112</x:v>
      </x:c>
      <x:c r="J571" s="56" t="n">
        <x:v>402.2734018817205</x:v>
      </x:c>
    </x:row>
    <x:row r="572" ht="65" customHeight="1">
      <x:c r="A572" s="61" t="n">
        <x:v>45778</x:v>
      </x:c>
      <x:c r="B572" s="32" t="str">
        <x:v>Alimentación y artículos de consumo masivo</x:v>
      </x:c>
      <x:c r="C572" s="32" t="str">
        <x:v>Alimentación, comercios y servicios</x:v>
      </x:c>
      <x:c r="D572" s="62" t="n">
        <x:v>31</x:v>
      </x:c>
      <x:c r="E572" s="2" t="str">
        <x:v>Completo</x:v>
      </x:c>
      <x:c r="F572" s="56" t="n">
        <x:v>277.0284045698925</x:v>
      </x:c>
      <x:c r="G572" s="56" t="n">
        <x:f>F404</x:f>
        <x:v>275.74411290322575</x:v>
      </x:c>
      <x:c r="H572" s="57" t="n">
        <x:f>IF(ISNUMBER(G572),IF(G572=0,"n.a.",F572/G572-1),"n.a.")</x:f>
        <x:v>0.004657548816345614</x:v>
      </x:c>
      <x:c r="I572" s="58" t="n">
        <x:f>F572/J572</x:f>
        <x:v>0.6886570259779355</x:v>
      </x:c>
      <x:c r="J572" s="56" t="n">
        <x:v>402.2734018817205</x:v>
      </x:c>
    </x:row>
    <x:row r="573" ht="65" customHeight="1">
      <x:c r="A573" s="61" t="n">
        <x:v>45778</x:v>
      </x:c>
      <x:c r="B573" s="32" t="str">
        <x:v>Servicios públicos y transporte: agua y transporte en GBA</x:v>
      </x:c>
      <x:c r="C573" s="32" t="str">
        <x:v>Alimentación, comercios y servicios</x:v>
      </x:c>
      <x:c r="D573" s="62" t="n">
        <x:v>31</x:v>
      </x:c>
      <x:c r="E573" s="2" t="str">
        <x:v>Completo</x:v>
      </x:c>
      <x:c r="F573" s="56" t="n">
        <x:v>71.67712634408602</x:v>
      </x:c>
      <x:c r="G573" s="56" t="n">
        <x:f>F405</x:f>
        <x:v>85.51842741935484</x:v>
      </x:c>
      <x:c r="H573" s="57" t="n">
        <x:f>IF(ISNUMBER(G573),IF(G573=0,"n.a.",F573/G573-1),"n.a.")</x:f>
        <x:v>-0.16185167914039778</x:v>
      </x:c>
      <x:c r="I573" s="58" t="n">
        <x:f>F573/J573</x:f>
        <x:v>0.17818012826301918</x:v>
      </x:c>
      <x:c r="J573" s="56" t="n">
        <x:v>402.2734018817205</x:v>
      </x:c>
    </x:row>
    <x:row r="574" ht="65" customHeight="1">
      <x:c r="A574" s="61" t="n">
        <x:v>45778</x:v>
      </x:c>
      <x:c r="B574" s="32" t="str">
        <x:v>Industria automotriz</x:v>
      </x:c>
      <x:c r="C574" s="32" t="str">
        <x:v>Industrias sin Aluar</x:v>
      </x:c>
      <x:c r="D574" s="62" t="n">
        <x:v>31</x:v>
      </x:c>
      <x:c r="E574" s="2" t="str">
        <x:v>Completo</x:v>
      </x:c>
      <x:c r="F574" s="56" t="n">
        <x:v>43.09435887096774</x:v>
      </x:c>
      <x:c r="G574" s="56" t="n">
        <x:f>F406</x:f>
        <x:v>38.929057795698924</x:v>
      </x:c>
      <x:c r="H574" s="57" t="n">
        <x:f>IF(ISNUMBER(G574),IF(G574=0,"n.a.",F574/G574-1),"n.a.")</x:f>
        <x:v>0.10699722292608427</x:v>
      </x:c>
      <x:c r="I574" s="58" t="n">
        <x:f>F574/J574</x:f>
        <x:v>0.038966740048863094</x:v>
      </x:c>
      <x:c r="J574" s="56" t="n">
        <x:v>1105.9267163978495</x:v>
      </x:c>
    </x:row>
    <x:row r="575" ht="65" customHeight="1">
      <x:c r="A575" s="61" t="n">
        <x:v>45778</x:v>
      </x:c>
      <x:c r="B575" s="32" t="str">
        <x:v>Derivados de petróleo</x:v>
      </x:c>
      <x:c r="C575" s="32" t="str">
        <x:v>Industrias sin Aluar</x:v>
      </x:c>
      <x:c r="D575" s="62" t="n">
        <x:v>31</x:v>
      </x:c>
      <x:c r="E575" s="2" t="str">
        <x:v>Completo</x:v>
      </x:c>
      <x:c r="F575" s="56" t="n">
        <x:v>144.58043548387099</x:v>
      </x:c>
      <x:c r="G575" s="56" t="n">
        <x:f>F407</x:f>
        <x:v>154.64159677419354</x:v>
      </x:c>
      <x:c r="H575" s="57" t="n">
        <x:f>IF(ISNUMBER(G575),IF(G575=0,"n.a.",F575/G575-1),"n.a.")</x:f>
        <x:v>-0.06506115754232533</x:v>
      </x:c>
      <x:c r="I575" s="58" t="n">
        <x:f>F575/J575</x:f>
        <x:v>0.13073238338503</x:v>
      </x:c>
      <x:c r="J575" s="56" t="n">
        <x:v>1105.9267163978495</x:v>
      </x:c>
    </x:row>
    <x:row r="576" ht="65" customHeight="1">
      <x:c r="A576" s="61" t="n">
        <x:v>45778</x:v>
      </x:c>
      <x:c r="B576" s="32" t="str">
        <x:v>Construcción: elaboración de cemento y canteras</x:v>
      </x:c>
      <x:c r="C576" s="32" t="str">
        <x:v>Industrias sin Aluar</x:v>
      </x:c>
      <x:c r="D576" s="62" t="n">
        <x:v>31</x:v>
      </x:c>
      <x:c r="E576" s="2" t="str">
        <x:v>Completo</x:v>
      </x:c>
      <x:c r="F576" s="56" t="n">
        <x:v>109.74640591397849</x:v>
      </x:c>
      <x:c r="G576" s="56" t="n">
        <x:f>F408</x:f>
        <x:v>105.73363978494623</x:v>
      </x:c>
      <x:c r="H576" s="57" t="n">
        <x:f>IF(ISNUMBER(G576),IF(G576=0,"n.a.",F576/G576-1),"n.a.")</x:f>
        <x:v>0.03795165036589965</x:v>
      </x:c>
      <x:c r="I576" s="58" t="n">
        <x:f>F576/J576</x:f>
        <x:v>0.09923479041309097</x:v>
      </x:c>
      <x:c r="J576" s="56" t="n">
        <x:v>1105.9267163978495</x:v>
      </x:c>
    </x:row>
    <x:row r="577" ht="65" customHeight="1">
      <x:c r="A577" s="61" t="n">
        <x:v>45778</x:v>
      </x:c>
      <x:c r="B577" s="32" t="str">
        <x:v>Madera y papel</x:v>
      </x:c>
      <x:c r="C577" s="32" t="str">
        <x:v>Industrias sin Aluar</x:v>
      </x:c>
      <x:c r="D577" s="62" t="n">
        <x:v>31</x:v>
      </x:c>
      <x:c r="E577" s="2" t="str">
        <x:v>Completo</x:v>
      </x:c>
      <x:c r="F577" s="56" t="n">
        <x:v>102.44226612903226</x:v>
      </x:c>
      <x:c r="G577" s="56" t="n">
        <x:f>F409</x:f>
        <x:v>92.04283064516129</x:v>
      </x:c>
      <x:c r="H577" s="57" t="n">
        <x:f>IF(ISNUMBER(G577),IF(G577=0,"n.a.",F577/G577-1),"n.a.")</x:f>
        <x:v>0.11298474211383547</x:v>
      </x:c>
      <x:c r="I577" s="58" t="n">
        <x:f>F577/J577</x:f>
        <x:v>0.09263024810784963</x:v>
      </x:c>
      <x:c r="J577" s="56" t="n">
        <x:v>1105.9267163978495</x:v>
      </x:c>
    </x:row>
    <x:row r="578" ht="65" customHeight="1">
      <x:c r="A578" s="61" t="n">
        <x:v>45778</x:v>
      </x:c>
      <x:c r="B578" s="32" t="str">
        <x:v>Productos metálicos no automotores</x:v>
      </x:c>
      <x:c r="C578" s="32" t="str">
        <x:v>Industrias sin Aluar</x:v>
      </x:c>
      <x:c r="D578" s="62" t="n">
        <x:v>31</x:v>
      </x:c>
      <x:c r="E578" s="2" t="str">
        <x:v>Completo</x:v>
      </x:c>
      <x:c r="F578" s="56" t="n">
        <x:v>30.53157258064516</x:v>
      </x:c>
      <x:c r="G578" s="56" t="n">
        <x:f>F410</x:f>
        <x:v>37.319522849462366</x:v>
      </x:c>
      <x:c r="H578" s="57" t="n">
        <x:f>IF(ISNUMBER(G578),IF(G578=0,"n.a.",F578/G578-1),"n.a.")</x:f>
        <x:v>-0.18188738093458756</x:v>
      </x:c>
      <x:c r="I578" s="58" t="n">
        <x:f>F578/J578</x:f>
        <x:v>0.027607229419405434</x:v>
      </x:c>
      <x:c r="J578" s="56" t="n">
        <x:v>1105.9267163978495</x:v>
      </x:c>
    </x:row>
    <x:row r="579" ht="65" customHeight="1">
      <x:c r="A579" s="61" t="n">
        <x:v>45778</x:v>
      </x:c>
      <x:c r="B579" s="32" t="str">
        <x:v>Gran siderurgia</x:v>
      </x:c>
      <x:c r="C579" s="32" t="str">
        <x:v>Industrias sin Aluar</x:v>
      </x:c>
      <x:c r="D579" s="62" t="n">
        <x:v>31</x:v>
      </x:c>
      <x:c r="E579" s="2" t="str">
        <x:v>Completo</x:v>
      </x:c>
      <x:c r="F579" s="56" t="n">
        <x:v>287.72241935483873</x:v>
      </x:c>
      <x:c r="G579" s="56" t="n">
        <x:f>F411</x:f>
        <x:v>273.3228051075269</x:v>
      </x:c>
      <x:c r="H579" s="57" t="n">
        <x:f>IF(ISNUMBER(G579),IF(G579=0,"n.a.",F579/G579-1),"n.a.")</x:f>
        <x:v>0.052683544798418636</x:v>
      </x:c>
      <x:c r="I579" s="58" t="n">
        <x:f>F579/J579</x:f>
        <x:v>0.26016409142550506</x:v>
      </x:c>
      <x:c r="J579" s="56" t="n">
        <x:v>1105.9267163978495</x:v>
      </x:c>
    </x:row>
    <x:row r="580" ht="65" customHeight="1">
      <x:c r="A580" s="61" t="n">
        <x:v>45778</x:v>
      </x:c>
      <x:c r="B580" s="32" t="str">
        <x:v>Industria textil</x:v>
      </x:c>
      <x:c r="C580" s="32" t="str">
        <x:v>Industrias sin Aluar</x:v>
      </x:c>
      <x:c r="D580" s="62" t="n">
        <x:v>31</x:v>
      </x:c>
      <x:c r="E580" s="2" t="str">
        <x:v>Completo</x:v>
      </x:c>
      <x:c r="F580" s="56" t="n">
        <x:v>55.273020161290326</x:v>
      </x:c>
      <x:c r="G580" s="56" t="n">
        <x:f>F412</x:f>
        <x:v>50.00282392473118</x:v>
      </x:c>
      <x:c r="H580" s="57" t="n">
        <x:f>IF(ISNUMBER(G580),IF(G580=0,"n.a.",F580/G580-1),"n.a.")</x:f>
        <x:v>0.10539797201238721</x:v>
      </x:c>
      <x:c r="I580" s="58" t="n">
        <x:f>F580/J580</x:f>
        <x:v>0.049978917537431326</x:v>
      </x:c>
      <x:c r="J580" s="56" t="n">
        <x:v>1105.9267163978495</x:v>
      </x:c>
    </x:row>
    <x:row r="581" ht="65" customHeight="1">
      <x:c r="A581" s="61" t="n">
        <x:v>45778</x:v>
      </x:c>
      <x:c r="B581" s="32" t="str">
        <x:v>Químicas, caucho, plástico y otros minerales no metálicos</x:v>
      </x:c>
      <x:c r="C581" s="32" t="str">
        <x:v>Industrias sin Aluar</x:v>
      </x:c>
      <x:c r="D581" s="62" t="n">
        <x:v>31</x:v>
      </x:c>
      <x:c r="E581" s="2" t="str">
        <x:v>Completo</x:v>
      </x:c>
      <x:c r="F581" s="56" t="n">
        <x:v>332.53623790322575</x:v>
      </x:c>
      <x:c r="G581" s="56" t="n">
        <x:f>F413</x:f>
        <x:v>345.5366155913979</x:v>
      </x:c>
      <x:c r="H581" s="57" t="n">
        <x:f>IF(ISNUMBER(G581),IF(G581=0,"n.a.",F581/G581-1),"n.a.")</x:f>
        <x:v>-0.03762373393025664</x:v>
      </x:c>
      <x:c r="I581" s="58" t="n">
        <x:f>F581/J581</x:f>
        <x:v>0.30068559966282443</x:v>
      </x:c>
      <x:c r="J581" s="56" t="n">
        <x:v>1105.9267163978495</x:v>
      </x:c>
    </x:row>
    <x:row r="582" ht="65" customHeight="1">
      <x:c r="A582" s="61" t="n">
        <x:v>45778</x:v>
      </x:c>
      <x:c r="B582" s="32" t="str">
        <x:v>Extracción de minerales</x:v>
      </x:c>
      <x:c r="C582" s="32" t="str">
        <x:v>Petróleos y minerales</x:v>
      </x:c>
      <x:c r="D582" s="62" t="n">
        <x:v>31</x:v>
      </x:c>
      <x:c r="E582" s="2" t="str">
        <x:v>Completo</x:v>
      </x:c>
      <x:c r="F582" s="56" t="n">
        <x:v>24.52288306451613</x:v>
      </x:c>
      <x:c r="G582" s="56" t="n">
        <x:f>F414</x:f>
        <x:v>23.108010752688173</x:v>
      </x:c>
      <x:c r="H582" s="57" t="n">
        <x:f>IF(ISNUMBER(G582),IF(G582=0,"n.a.",F582/G582-1),"n.a.")</x:f>
        <x:v>0.06122865040052661</x:v>
      </x:c>
      <x:c r="I582" s="58" t="n">
        <x:f>F582/J582</x:f>
        <x:v>0.13613193090303338</x:v>
      </x:c>
      <x:c r="J582" s="56" t="n">
        <x:v>180.14056586021505</x:v>
      </x:c>
    </x:row>
    <x:row r="583" ht="65" customHeight="1">
      <x:c r="A583" s="61" t="n">
        <x:v>45778</x:v>
      </x:c>
      <x:c r="B583" s="32" t="str">
        <x:v>Extracción de petróleo</x:v>
      </x:c>
      <x:c r="C583" s="32" t="str">
        <x:v>Petróleos y minerales</x:v>
      </x:c>
      <x:c r="D583" s="62" t="n">
        <x:v>31</x:v>
      </x:c>
      <x:c r="E583" s="2" t="str">
        <x:v>Completo</x:v>
      </x:c>
      <x:c r="F583" s="56" t="n">
        <x:v>155.61768279569893</x:v>
      </x:c>
      <x:c r="G583" s="56" t="n">
        <x:f>F415</x:f>
        <x:v>148.03862903225806</x:v>
      </x:c>
      <x:c r="H583" s="57" t="n">
        <x:f>IF(ISNUMBER(G583),IF(G583=0,"n.a.",F583/G583-1),"n.a.")</x:f>
        <x:v>0.05119646009278678</x:v>
      </x:c>
      <x:c r="I583" s="58" t="n">
        <x:f>F583/J583</x:f>
        <x:v>0.8638680690969667</x:v>
      </x:c>
      <x:c r="J583" s="56" t="n">
        <x:v>180.14056586021505</x:v>
      </x:c>
    </x:row>
    <x:row r="584" ht="65" customHeight="1">
      <x:c r="A584" s="61" t="n">
        <x:v>45809</x:v>
      </x:c>
      <x:c r="B584" s="32" t="str">
        <x:v>Cargas y puertos</x:v>
      </x:c>
      <x:c r="C584" s="32" t="str">
        <x:v>Alimentación, comercios y servicios</x:v>
      </x:c>
      <x:c r="D584" s="62" t="n">
        <x:v>30</x:v>
      </x:c>
      <x:c r="E584" s="2" t="str">
        <x:v>Completo</x:v>
      </x:c>
      <x:c r="F584" s="56" t="n">
        <x:v>9.643102777777779</x:v>
      </x:c>
      <x:c r="G584" s="56" t="n">
        <x:f>F416</x:f>
        <x:v>9.327354166666668</x:v>
      </x:c>
      <x:c r="H584" s="57" t="n">
        <x:f>IF(ISNUMBER(G584),IF(G584=0,"n.a.",F584/G584-1),"n.a.")</x:f>
        <x:v>0.03385189470337768</x:v>
      </x:c>
      <x:c r="I584" s="58" t="n">
        <x:f>F584/J584</x:f>
        <x:v>0.023705663051677168</x:v>
      </x:c>
      <x:c r="J584" s="56" t="n">
        <x:v>406.7847736111111</x:v>
      </x:c>
    </x:row>
    <x:row r="585" ht="65" customHeight="1">
      <x:c r="A585" s="61" t="n">
        <x:v>45809</x:v>
      </x:c>
      <x:c r="B585" s="32" t="str">
        <x:v>Comercio y servicios: principalmente supermercados y centros comerciales</x:v>
      </x:c>
      <x:c r="C585" s="32" t="str">
        <x:v>Alimentación, comercios y servicios</x:v>
      </x:c>
      <x:c r="D585" s="62" t="n">
        <x:v>30</x:v>
      </x:c>
      <x:c r="E585" s="2" t="str">
        <x:v>Completo</x:v>
      </x:c>
      <x:c r="F585" s="56" t="n">
        <x:v>44.043680555555554</x:v>
      </x:c>
      <x:c r="G585" s="56" t="n">
        <x:f>F417</x:f>
        <x:v>29.116030555555554</x:v>
      </x:c>
      <x:c r="H585" s="57" t="n">
        <x:f>IF(ISNUMBER(G585),IF(G585=0,"n.a.",F585/G585-1),"n.a.")</x:f>
        <x:v>0.5126952306055914</x:v>
      </x:c>
      <x:c r="I585" s="58" t="n">
        <x:f>F585/J585</x:f>
        <x:v>0.10827268721139892</x:v>
      </x:c>
      <x:c r="J585" s="56" t="n">
        <x:v>406.7847736111111</x:v>
      </x:c>
    </x:row>
    <x:row r="586" ht="65" customHeight="1">
      <x:c r="A586" s="61" t="n">
        <x:v>45809</x:v>
      </x:c>
      <x:c r="B586" s="32" t="str">
        <x:v>Alimentación y artículos de consumo masivo</x:v>
      </x:c>
      <x:c r="C586" s="32" t="str">
        <x:v>Alimentación, comercios y servicios</x:v>
      </x:c>
      <x:c r="D586" s="62" t="n">
        <x:v>30</x:v>
      </x:c>
      <x:c r="E586" s="2" t="str">
        <x:v>Completo</x:v>
      </x:c>
      <x:c r="F586" s="56" t="n">
        <x:v>279.086475</x:v>
      </x:c>
      <x:c r="G586" s="56" t="n">
        <x:f>F418</x:f>
        <x:v>265.35000694444443</x:v>
      </x:c>
      <x:c r="H586" s="57" t="n">
        <x:f>IF(ISNUMBER(G586),IF(G586=0,"n.a.",F586/G586-1),"n.a.")</x:f>
        <x:v>0.051767355176408625</x:v>
      </x:c>
      <x:c r="I586" s="58" t="n">
        <x:f>F586/J586</x:f>
        <x:v>0.6860789614185719</x:v>
      </x:c>
      <x:c r="J586" s="56" t="n">
        <x:v>406.7847736111111</x:v>
      </x:c>
    </x:row>
    <x:row r="587" ht="65" customHeight="1">
      <x:c r="A587" s="61" t="n">
        <x:v>45809</x:v>
      </x:c>
      <x:c r="B587" s="32" t="str">
        <x:v>Servicios públicos y transporte: agua y transporte en GBA</x:v>
      </x:c>
      <x:c r="C587" s="32" t="str">
        <x:v>Alimentación, comercios y servicios</x:v>
      </x:c>
      <x:c r="D587" s="62" t="n">
        <x:v>30</x:v>
      </x:c>
      <x:c r="E587" s="2" t="str">
        <x:v>Completo</x:v>
      </x:c>
      <x:c r="F587" s="56" t="n">
        <x:v>74.01151527777778</x:v>
      </x:c>
      <x:c r="G587" s="56" t="n">
        <x:f>F419</x:f>
        <x:v>85.11647500000001</x:v>
      </x:c>
      <x:c r="H587" s="57" t="n">
        <x:f>IF(ISNUMBER(G587),IF(G587=0,"n.a.",F587/G587-1),"n.a.")</x:f>
        <x:v>-0.13046780570062644</x:v>
      </x:c>
      <x:c r="I587" s="58" t="n">
        <x:f>F587/J587</x:f>
        <x:v>0.181942688318352</x:v>
      </x:c>
      <x:c r="J587" s="56" t="n">
        <x:v>406.7847736111111</x:v>
      </x:c>
    </x:row>
    <x:row r="588" ht="65" customHeight="1">
      <x:c r="A588" s="61" t="n">
        <x:v>45809</x:v>
      </x:c>
      <x:c r="B588" s="32" t="str">
        <x:v>Industria automotriz</x:v>
      </x:c>
      <x:c r="C588" s="32" t="str">
        <x:v>Industrias sin Aluar</x:v>
      </x:c>
      <x:c r="D588" s="62" t="n">
        <x:v>30</x:v>
      </x:c>
      <x:c r="E588" s="2" t="str">
        <x:v>Completo</x:v>
      </x:c>
      <x:c r="F588" s="56" t="n">
        <x:v>42.16368333333333</x:v>
      </x:c>
      <x:c r="G588" s="56" t="n">
        <x:f>F420</x:f>
        <x:v>36.91479861111111</x:v>
      </x:c>
      <x:c r="H588" s="57" t="n">
        <x:f>IF(ISNUMBER(G588),IF(G588=0,"n.a.",F588/G588-1),"n.a.")</x:f>
        <x:v>0.1421891739819039</x:v>
      </x:c>
      <x:c r="I588" s="58" t="n">
        <x:f>F588/J588</x:f>
        <x:v>0.038976097722856415</x:v>
      </x:c>
      <x:c r="J588" s="56" t="n">
        <x:v>1081.7830875</x:v>
      </x:c>
    </x:row>
    <x:row r="589" ht="65" customHeight="1">
      <x:c r="A589" s="61" t="n">
        <x:v>45809</x:v>
      </x:c>
      <x:c r="B589" s="32" t="str">
        <x:v>Derivados de petróleo</x:v>
      </x:c>
      <x:c r="C589" s="32" t="str">
        <x:v>Industrias sin Aluar</x:v>
      </x:c>
      <x:c r="D589" s="62" t="n">
        <x:v>30</x:v>
      </x:c>
      <x:c r="E589" s="2" t="str">
        <x:v>Completo</x:v>
      </x:c>
      <x:c r="F589" s="56" t="n">
        <x:v>151.43318055555557</x:v>
      </x:c>
      <x:c r="G589" s="56" t="n">
        <x:f>F421</x:f>
        <x:v>148.24127638888888</x:v>
      </x:c>
      <x:c r="H589" s="57" t="n">
        <x:f>IF(ISNUMBER(G589),IF(G589=0,"n.a.",F589/G589-1),"n.a.")</x:f>
        <x:v>0.021531817887841198</x:v>
      </x:c>
      <x:c r="I589" s="58" t="n">
        <x:f>F589/J589</x:f>
        <x:v>0.13998479205800635</x:v>
      </x:c>
      <x:c r="J589" s="56" t="n">
        <x:v>1081.7830875</x:v>
      </x:c>
    </x:row>
    <x:row r="590" ht="65" customHeight="1">
      <x:c r="A590" s="61" t="n">
        <x:v>45809</x:v>
      </x:c>
      <x:c r="B590" s="32" t="str">
        <x:v>Construcción: elaboración de cemento y canteras</x:v>
      </x:c>
      <x:c r="C590" s="32" t="str">
        <x:v>Industrias sin Aluar</x:v>
      </x:c>
      <x:c r="D590" s="62" t="n">
        <x:v>30</x:v>
      </x:c>
      <x:c r="E590" s="2" t="str">
        <x:v>Completo</x:v>
      </x:c>
      <x:c r="F590" s="56" t="n">
        <x:v>111.61258055555555</x:v>
      </x:c>
      <x:c r="G590" s="56" t="n">
        <x:f>F422</x:f>
        <x:v>98.02053055555555</x:v>
      </x:c>
      <x:c r="H590" s="57" t="n">
        <x:f>IF(ISNUMBER(G590),IF(G590=0,"n.a.",F590/G590-1),"n.a.")</x:f>
        <x:v>0.13866533799565972</x:v>
      </x:c>
      <x:c r="I590" s="58" t="n">
        <x:f>F590/J590</x:f>
        <x:v>0.10317463994883869</x:v>
      </x:c>
      <x:c r="J590" s="56" t="n">
        <x:v>1081.7830875</x:v>
      </x:c>
    </x:row>
    <x:row r="591" ht="65" customHeight="1">
      <x:c r="A591" s="61" t="n">
        <x:v>45809</x:v>
      </x:c>
      <x:c r="B591" s="32" t="str">
        <x:v>Madera y papel</x:v>
      </x:c>
      <x:c r="C591" s="32" t="str">
        <x:v>Industrias sin Aluar</x:v>
      </x:c>
      <x:c r="D591" s="62" t="n">
        <x:v>30</x:v>
      </x:c>
      <x:c r="E591" s="2" t="str">
        <x:v>Completo</x:v>
      </x:c>
      <x:c r="F591" s="56" t="n">
        <x:v>100.88241666666666</x:v>
      </x:c>
      <x:c r="G591" s="56" t="n">
        <x:f>F423</x:f>
        <x:v>86.17488333333334</x:v>
      </x:c>
      <x:c r="H591" s="57" t="n">
        <x:f>IF(ISNUMBER(G591),IF(G591=0,"n.a.",F591/G591-1),"n.a.")</x:f>
        <x:v>0.17067076582445795</x:v>
      </x:c>
      <x:c r="I591" s="58" t="n">
        <x:f>F591/J591</x:f>
        <x:v>0.09325567928761565</x:v>
      </x:c>
      <x:c r="J591" s="56" t="n">
        <x:v>1081.7830875</x:v>
      </x:c>
    </x:row>
    <x:row r="592" ht="65" customHeight="1">
      <x:c r="A592" s="61" t="n">
        <x:v>45809</x:v>
      </x:c>
      <x:c r="B592" s="32" t="str">
        <x:v>Productos metálicos no automotores</x:v>
      </x:c>
      <x:c r="C592" s="32" t="str">
        <x:v>Industrias sin Aluar</x:v>
      </x:c>
      <x:c r="D592" s="62" t="n">
        <x:v>30</x:v>
      </x:c>
      <x:c r="E592" s="2" t="str">
        <x:v>Completo</x:v>
      </x:c>
      <x:c r="F592" s="56" t="n">
        <x:v>38.19257777777777</x:v>
      </x:c>
      <x:c r="G592" s="56" t="n">
        <x:f>F424</x:f>
        <x:v>37.63717777777777</x:v>
      </x:c>
      <x:c r="H592" s="57" t="n">
        <x:f>IF(ISNUMBER(G592),IF(G592=0,"n.a.",F592/G592-1),"n.a.")</x:f>
        <x:v>0.014756685617589582</x:v>
      </x:c>
      <x:c r="I592" s="58" t="n">
        <x:f>F592/J592</x:f>
        <x:v>0.035305208797487116</x:v>
      </x:c>
      <x:c r="J592" s="56" t="n">
        <x:v>1081.7830875</x:v>
      </x:c>
    </x:row>
    <x:row r="593" ht="65" customHeight="1">
      <x:c r="A593" s="61" t="n">
        <x:v>45809</x:v>
      </x:c>
      <x:c r="B593" s="32" t="str">
        <x:v>Gran siderurgia</x:v>
      </x:c>
      <x:c r="C593" s="32" t="str">
        <x:v>Industrias sin Aluar</x:v>
      </x:c>
      <x:c r="D593" s="62" t="n">
        <x:v>30</x:v>
      </x:c>
      <x:c r="E593" s="2" t="str">
        <x:v>Completo</x:v>
      </x:c>
      <x:c r="F593" s="56" t="n">
        <x:v>266.9037902777778</x:v>
      </x:c>
      <x:c r="G593" s="56" t="n">
        <x:f>F425</x:f>
        <x:v>251.9359513888889</x:v>
      </x:c>
      <x:c r="H593" s="57" t="n">
        <x:f>IF(ISNUMBER(G593),IF(G593=0,"n.a.",F593/G593-1),"n.a.")</x:f>
        <x:v>0.059411286108128625</x:v>
      </x:c>
      <x:c r="I593" s="58" t="n">
        <x:f>F593/J593</x:f>
        <x:v>0.24672579314822926</x:v>
      </x:c>
      <x:c r="J593" s="56" t="n">
        <x:v>1081.7830875</x:v>
      </x:c>
    </x:row>
    <x:row r="594" ht="65" customHeight="1">
      <x:c r="A594" s="61" t="n">
        <x:v>45809</x:v>
      </x:c>
      <x:c r="B594" s="32" t="str">
        <x:v>Industria textil</x:v>
      </x:c>
      <x:c r="C594" s="32" t="str">
        <x:v>Industrias sin Aluar</x:v>
      </x:c>
      <x:c r="D594" s="62" t="n">
        <x:v>30</x:v>
      </x:c>
      <x:c r="E594" s="2" t="str">
        <x:v>Completo</x:v>
      </x:c>
      <x:c r="F594" s="56" t="n">
        <x:v>53.01022777777778</x:v>
      </x:c>
      <x:c r="G594" s="56" t="n">
        <x:f>F426</x:f>
        <x:v>45.67310416666667</x:v>
      </x:c>
      <x:c r="H594" s="57" t="n">
        <x:f>IF(ISNUMBER(G594),IF(G594=0,"n.a.",F594/G594-1),"n.a.")</x:f>
        <x:v>0.16064429482036213</x:v>
      </x:c>
      <x:c r="I594" s="58" t="n">
        <x:f>F594/J594</x:f>
        <x:v>0.04900264053885736</x:v>
      </x:c>
      <x:c r="J594" s="56" t="n">
        <x:v>1081.7830875</x:v>
      </x:c>
    </x:row>
    <x:row r="595" ht="65" customHeight="1">
      <x:c r="A595" s="61" t="n">
        <x:v>45809</x:v>
      </x:c>
      <x:c r="B595" s="32" t="str">
        <x:v>Químicas, caucho, plástico y otros minerales no metálicos</x:v>
      </x:c>
      <x:c r="C595" s="32" t="str">
        <x:v>Industrias sin Aluar</x:v>
      </x:c>
      <x:c r="D595" s="62" t="n">
        <x:v>30</x:v>
      </x:c>
      <x:c r="E595" s="2" t="str">
        <x:v>Completo</x:v>
      </x:c>
      <x:c r="F595" s="56" t="n">
        <x:v>317.5846305555555</x:v>
      </x:c>
      <x:c r="G595" s="56" t="n">
        <x:f>F427</x:f>
        <x:v>336.83566527777776</x:v>
      </x:c>
      <x:c r="H595" s="57" t="n">
        <x:f>IF(ISNUMBER(G595),IF(G595=0,"n.a.",F595/G595-1),"n.a.")</x:f>
        <x:v>-0.05715260201542649</x:v>
      </x:c>
      <x:c r="I595" s="58" t="n">
        <x:f>F595/J595</x:f>
        <x:v>0.2935751484981092</x:v>
      </x:c>
      <x:c r="J595" s="56" t="n">
        <x:v>1081.7830875</x:v>
      </x:c>
    </x:row>
    <x:row r="596" ht="65" customHeight="1">
      <x:c r="A596" s="61" t="n">
        <x:v>45809</x:v>
      </x:c>
      <x:c r="B596" s="32" t="str">
        <x:v>Extracción de minerales</x:v>
      </x:c>
      <x:c r="C596" s="32" t="str">
        <x:v>Petróleos y minerales</x:v>
      </x:c>
      <x:c r="D596" s="62" t="n">
        <x:v>30</x:v>
      </x:c>
      <x:c r="E596" s="2" t="str">
        <x:v>Completo</x:v>
      </x:c>
      <x:c r="F596" s="56" t="n">
        <x:v>25.42856388888889</x:v>
      </x:c>
      <x:c r="G596" s="56" t="n">
        <x:f>F428</x:f>
        <x:v>22.59985972222222</x:v>
      </x:c>
      <x:c r="H596" s="57" t="n">
        <x:f>IF(ISNUMBER(G596),IF(G596=0,"n.a.",F596/G596-1),"n.a.")</x:f>
        <x:v>0.1251646780747595</x:v>
      </x:c>
      <x:c r="I596" s="58" t="n">
        <x:f>F596/J596</x:f>
        <x:v>0.1434593454284388</x:v>
      </x:c>
      <x:c r="J596" s="56" t="n">
        <x:v>177.25275277777777</x:v>
      </x:c>
    </x:row>
    <x:row r="597" ht="65" customHeight="1">
      <x:c r="A597" s="61" t="n">
        <x:v>45809</x:v>
      </x:c>
      <x:c r="B597" s="32" t="str">
        <x:v>Extracción de petróleo</x:v>
      </x:c>
      <x:c r="C597" s="32" t="str">
        <x:v>Petróleos y minerales</x:v>
      </x:c>
      <x:c r="D597" s="62" t="n">
        <x:v>30</x:v>
      </x:c>
      <x:c r="E597" s="2" t="str">
        <x:v>Completo</x:v>
      </x:c>
      <x:c r="F597" s="56" t="n">
        <x:v>151.82418888888887</x:v>
      </x:c>
      <x:c r="G597" s="56" t="n">
        <x:f>F429</x:f>
        <x:v>146.11640138888887</x:v>
      </x:c>
      <x:c r="H597" s="57" t="n">
        <x:f>IF(ISNUMBER(G597),IF(G597=0,"n.a.",F597/G597-1),"n.a.")</x:f>
        <x:v>0.03906329094985517</x:v>
      </x:c>
      <x:c r="I597" s="58" t="n">
        <x:f>F597/J597</x:f>
        <x:v>0.8565406545715611</x:v>
      </x:c>
      <x:c r="J597" s="56" t="n">
        <x:v>177.25275277777777</x:v>
      </x:c>
    </x:row>
    <x:row r="598" ht="65" customHeight="1">
      <x:c r="A598" s="61" t="n">
        <x:v>45839</x:v>
      </x:c>
      <x:c r="B598" s="32" t="str">
        <x:v>Cargas y puertos</x:v>
      </x:c>
      <x:c r="C598" s="32" t="str">
        <x:v>Alimentación, comercios y servicios</x:v>
      </x:c>
      <x:c r="D598" s="62" t="n">
        <x:v>31</x:v>
      </x:c>
      <x:c r="E598" s="2" t="str">
        <x:v>Completo</x:v>
      </x:c>
      <x:c r="F598" s="56" t="n">
        <x:v>9.712587365591398</x:v>
      </x:c>
      <x:c r="G598" s="56" t="n">
        <x:f>F430</x:f>
        <x:v>10.083543010752688</x:v>
      </x:c>
      <x:c r="H598" s="57" t="n">
        <x:f>IF(ISNUMBER(G598),IF(G598=0,"n.a.",F598/G598-1),"n.a.")</x:f>
        <x:v>-0.036788224611698284</x:v>
      </x:c>
      <x:c r="I598" s="58" t="n">
        <x:f>F598/J598</x:f>
        <x:v>0.023388281799108682</x:v>
      </x:c>
      <x:c r="J598" s="56" t="n">
        <x:v>415.2757970430107</x:v>
      </x:c>
    </x:row>
    <x:row r="599" ht="65" customHeight="1">
      <x:c r="A599" s="61" t="n">
        <x:v>45839</x:v>
      </x:c>
      <x:c r="B599" s="32" t="str">
        <x:v>Comercio y servicios: principalmente supermercados y centros comerciales</x:v>
      </x:c>
      <x:c r="C599" s="32" t="str">
        <x:v>Alimentación, comercios y servicios</x:v>
      </x:c>
      <x:c r="D599" s="62" t="n">
        <x:v>31</x:v>
      </x:c>
      <x:c r="E599" s="2" t="str">
        <x:v>Completo</x:v>
      </x:c>
      <x:c r="F599" s="56" t="n">
        <x:v>43.9786935483871</x:v>
      </x:c>
      <x:c r="G599" s="56" t="n">
        <x:f>F431</x:f>
        <x:v>29.510850806451614</x:v>
      </x:c>
      <x:c r="H599" s="57" t="n">
        <x:f>IF(ISNUMBER(G599),IF(G599=0,"n.a.",F599/G599-1),"n.a.")</x:f>
        <x:v>0.4902550196476392</x:v>
      </x:c>
      <x:c r="I599" s="58" t="n">
        <x:f>F599/J599</x:f>
        <x:v>0.10590237587054023</x:v>
      </x:c>
      <x:c r="J599" s="56" t="n">
        <x:v>415.2757970430107</x:v>
      </x:c>
    </x:row>
    <x:row r="600" ht="65" customHeight="1">
      <x:c r="A600" s="61" t="n">
        <x:v>45839</x:v>
      </x:c>
      <x:c r="B600" s="32" t="str">
        <x:v>Alimentación y artículos de consumo masivo</x:v>
      </x:c>
      <x:c r="C600" s="32" t="str">
        <x:v>Alimentación, comercios y servicios</x:v>
      </x:c>
      <x:c r="D600" s="62" t="n">
        <x:v>31</x:v>
      </x:c>
      <x:c r="E600" s="2" t="str">
        <x:v>Completo</x:v>
      </x:c>
      <x:c r="F600" s="56" t="n">
        <x:v>288.0569758064516</x:v>
      </x:c>
      <x:c r="G600" s="56" t="n">
        <x:f>F432</x:f>
        <x:v>283.7487849462365</x:v>
      </x:c>
      <x:c r="H600" s="57" t="n">
        <x:f>IF(ISNUMBER(G600),IF(G600=0,"n.a.",F600/G600-1),"n.a.")</x:f>
        <x:v>0.015183116505790073</x:v>
      </x:c>
      <x:c r="I600" s="58" t="n">
        <x:f>F600/J600</x:f>
        <x:v>0.6936522134388129</x:v>
      </x:c>
      <x:c r="J600" s="56" t="n">
        <x:v>415.2757970430107</x:v>
      </x:c>
    </x:row>
    <x:row r="601" ht="65" customHeight="1">
      <x:c r="A601" s="61" t="n">
        <x:v>45839</x:v>
      </x:c>
      <x:c r="B601" s="32" t="str">
        <x:v>Servicios públicos y transporte: agua y transporte en GBA</x:v>
      </x:c>
      <x:c r="C601" s="32" t="str">
        <x:v>Alimentación, comercios y servicios</x:v>
      </x:c>
      <x:c r="D601" s="62" t="n">
        <x:v>31</x:v>
      </x:c>
      <x:c r="E601" s="2" t="str">
        <x:v>Completo</x:v>
      </x:c>
      <x:c r="F601" s="56" t="n">
        <x:v>73.52754032258065</x:v>
      </x:c>
      <x:c r="G601" s="56" t="n">
        <x:f>F433</x:f>
        <x:v>87.6144247311828</x:v>
      </x:c>
      <x:c r="H601" s="57" t="n">
        <x:f>IF(ISNUMBER(G601),IF(G601=0,"n.a.",F601/G601-1),"n.a.")</x:f>
        <x:v>-0.1607827073204361</x:v>
      </x:c>
      <x:c r="I601" s="58" t="n">
        <x:f>F601/J601</x:f>
        <x:v>0.1770571288915383</x:v>
      </x:c>
      <x:c r="J601" s="56" t="n">
        <x:v>415.2757970430107</x:v>
      </x:c>
    </x:row>
    <x:row r="602" ht="65" customHeight="1">
      <x:c r="A602" s="61" t="n">
        <x:v>45839</x:v>
      </x:c>
      <x:c r="B602" s="32" t="str">
        <x:v>Industria automotriz</x:v>
      </x:c>
      <x:c r="C602" s="32" t="str">
        <x:v>Industrias sin Aluar</x:v>
      </x:c>
      <x:c r="D602" s="62" t="n">
        <x:v>31</x:v>
      </x:c>
      <x:c r="E602" s="2" t="str">
        <x:v>Completo</x:v>
      </x:c>
      <x:c r="F602" s="56" t="n">
        <x:v>38.95674059139785</x:v>
      </x:c>
      <x:c r="G602" s="56" t="n">
        <x:f>F434</x:f>
        <x:v>42.255794354838706</x:v>
      </x:c>
      <x:c r="H602" s="57" t="n">
        <x:f>IF(ISNUMBER(G602),IF(G602=0,"n.a.",F602/G602-1),"n.a.")</x:f>
        <x:v>-0.0780734054065435</x:v>
      </x:c>
      <x:c r="I602" s="58" t="n">
        <x:f>F602/J602</x:f>
        <x:v>0.03524491639452764</x:v>
      </x:c>
      <x:c r="J602" s="56" t="n">
        <x:v>1105.3151653225807</x:v>
      </x:c>
    </x:row>
    <x:row r="603" ht="65" customHeight="1">
      <x:c r="A603" s="61" t="n">
        <x:v>45839</x:v>
      </x:c>
      <x:c r="B603" s="32" t="str">
        <x:v>Derivados de petróleo</x:v>
      </x:c>
      <x:c r="C603" s="32" t="str">
        <x:v>Industrias sin Aluar</x:v>
      </x:c>
      <x:c r="D603" s="62" t="n">
        <x:v>31</x:v>
      </x:c>
      <x:c r="E603" s="2" t="str">
        <x:v>Completo</x:v>
      </x:c>
      <x:c r="F603" s="56" t="n">
        <x:v>173.21219220430106</x:v>
      </x:c>
      <x:c r="G603" s="56" t="n">
        <x:f>F435</x:f>
        <x:v>144.62603494623656</x:v>
      </x:c>
      <x:c r="H603" s="57" t="n">
        <x:f>IF(ISNUMBER(G603),IF(G603=0,"n.a.",F603/G603-1),"n.a.")</x:f>
        <x:v>0.19765567982757148</x:v>
      </x:c>
      <x:c r="I603" s="58" t="n">
        <x:f>F603/J603</x:f>
        <x:v>0.15670841913559555</x:v>
      </x:c>
      <x:c r="J603" s="56" t="n">
        <x:v>1105.3151653225807</x:v>
      </x:c>
    </x:row>
    <x:row r="604" ht="65" customHeight="1">
      <x:c r="A604" s="61" t="n">
        <x:v>45839</x:v>
      </x:c>
      <x:c r="B604" s="32" t="str">
        <x:v>Construcción: elaboración de cemento y canteras</x:v>
      </x:c>
      <x:c r="C604" s="32" t="str">
        <x:v>Industrias sin Aluar</x:v>
      </x:c>
      <x:c r="D604" s="62" t="n">
        <x:v>31</x:v>
      </x:c>
      <x:c r="E604" s="2" t="str">
        <x:v>Completo</x:v>
      </x:c>
      <x:c r="F604" s="56" t="n">
        <x:v>122.29569086021505</x:v>
      </x:c>
      <x:c r="G604" s="56" t="n">
        <x:f>F436</x:f>
        <x:v>127.71007930107527</x:v>
      </x:c>
      <x:c r="H604" s="57" t="n">
        <x:f>IF(ISNUMBER(G604),IF(G604=0,"n.a.",F604/G604-1),"n.a.")</x:f>
        <x:v>-0.04239593672239328</x:v>
      </x:c>
      <x:c r="I604" s="58" t="n">
        <x:f>F604/J604</x:f>
        <x:v>0.11064327596059324</x:v>
      </x:c>
      <x:c r="J604" s="56" t="n">
        <x:v>1105.3151653225807</x:v>
      </x:c>
    </x:row>
    <x:row r="605" ht="65" customHeight="1">
      <x:c r="A605" s="61" t="n">
        <x:v>45839</x:v>
      </x:c>
      <x:c r="B605" s="32" t="str">
        <x:v>Madera y papel</x:v>
      </x:c>
      <x:c r="C605" s="32" t="str">
        <x:v>Industrias sin Aluar</x:v>
      </x:c>
      <x:c r="D605" s="62" t="n">
        <x:v>31</x:v>
      </x:c>
      <x:c r="E605" s="2" t="str">
        <x:v>Completo</x:v>
      </x:c>
      <x:c r="F605" s="56" t="n">
        <x:v>99.60840456989249</x:v>
      </x:c>
      <x:c r="G605" s="56" t="n">
        <x:f>F437</x:f>
        <x:v>92.99674865591398</x:v>
      </x:c>
      <x:c r="H605" s="57" t="n">
        <x:f>IF(ISNUMBER(G605),IF(G605=0,"n.a.",F605/G605-1),"n.a.")</x:f>
        <x:v>0.07109555989362049</x:v>
      </x:c>
      <x:c r="I605" s="58" t="n">
        <x:f>F605/J605</x:f>
        <x:v>0.09011764942248147</x:v>
      </x:c>
      <x:c r="J605" s="56" t="n">
        <x:v>1105.3151653225807</x:v>
      </x:c>
    </x:row>
    <x:row r="606" ht="65" customHeight="1">
      <x:c r="A606" s="61" t="n">
        <x:v>45839</x:v>
      </x:c>
      <x:c r="B606" s="32" t="str">
        <x:v>Productos metálicos no automotores</x:v>
      </x:c>
      <x:c r="C606" s="32" t="str">
        <x:v>Industrias sin Aluar</x:v>
      </x:c>
      <x:c r="D606" s="62" t="n">
        <x:v>31</x:v>
      </x:c>
      <x:c r="E606" s="2" t="str">
        <x:v>Completo</x:v>
      </x:c>
      <x:c r="F606" s="56" t="n">
        <x:v>43.541455645161285</x:v>
      </x:c>
      <x:c r="G606" s="56" t="n">
        <x:f>F438</x:f>
        <x:v>39.46702284946237</x:v>
      </x:c>
      <x:c r="H606" s="57" t="n">
        <x:f>IF(ISNUMBER(G606),IF(G606=0,"n.a.",F606/G606-1),"n.a.")</x:f>
        <x:v>0.10323638576033156</x:v>
      </x:c>
      <x:c r="I606" s="58" t="n">
        <x:f>F606/J606</x:f>
        <x:v>0.03939279674359116</x:v>
      </x:c>
      <x:c r="J606" s="56" t="n">
        <x:v>1105.3151653225807</x:v>
      </x:c>
    </x:row>
    <x:row r="607" ht="65" customHeight="1">
      <x:c r="A607" s="61" t="n">
        <x:v>45839</x:v>
      </x:c>
      <x:c r="B607" s="32" t="str">
        <x:v>Gran siderurgia</x:v>
      </x:c>
      <x:c r="C607" s="32" t="str">
        <x:v>Industrias sin Aluar</x:v>
      </x:c>
      <x:c r="D607" s="62" t="n">
        <x:v>31</x:v>
      </x:c>
      <x:c r="E607" s="2" t="str">
        <x:v>Completo</x:v>
      </x:c>
      <x:c r="F607" s="56" t="n">
        <x:v>261.25713440860216</x:v>
      </x:c>
      <x:c r="G607" s="56" t="n">
        <x:f>F439</x:f>
        <x:v>229.298561827957</x:v>
      </x:c>
      <x:c r="H607" s="57" t="n">
        <x:f>IF(ISNUMBER(G607),IF(G607=0,"n.a.",F607/G607-1),"n.a.")</x:f>
        <x:v>0.13937537298914116</x:v>
      </x:c>
      <x:c r="I607" s="58" t="n">
        <x:f>F607/J607</x:f>
        <x:v>0.2363643805903591</x:v>
      </x:c>
      <x:c r="J607" s="56" t="n">
        <x:v>1105.3151653225807</x:v>
      </x:c>
    </x:row>
    <x:row r="608" ht="65" customHeight="1">
      <x:c r="A608" s="61" t="n">
        <x:v>45839</x:v>
      </x:c>
      <x:c r="B608" s="32" t="str">
        <x:v>Industria textil</x:v>
      </x:c>
      <x:c r="C608" s="32" t="str">
        <x:v>Industrias sin Aluar</x:v>
      </x:c>
      <x:c r="D608" s="62" t="n">
        <x:v>31</x:v>
      </x:c>
      <x:c r="E608" s="2" t="str">
        <x:v>Completo</x:v>
      </x:c>
      <x:c r="F608" s="56" t="n">
        <x:v>49.99107795698925</x:v>
      </x:c>
      <x:c r="G608" s="56" t="n">
        <x:f>F440</x:f>
        <x:v>53.51257258064516</x:v>
      </x:c>
      <x:c r="H608" s="57" t="n">
        <x:f>IF(ISNUMBER(G608),IF(G608=0,"n.a.",F608/G608-1),"n.a.")</x:f>
        <x:v>-0.06580686470172792</x:v>
      </x:c>
      <x:c r="I608" s="58" t="n">
        <x:f>F608/J608</x:f>
        <x:v>0.04522789474475328</x:v>
      </x:c>
      <x:c r="J608" s="56" t="n">
        <x:v>1105.3151653225807</x:v>
      </x:c>
    </x:row>
    <x:row r="609" ht="65" customHeight="1">
      <x:c r="A609" s="61" t="n">
        <x:v>45839</x:v>
      </x:c>
      <x:c r="B609" s="32" t="str">
        <x:v>Químicas, caucho, plástico y otros minerales no metálicos</x:v>
      </x:c>
      <x:c r="C609" s="32" t="str">
        <x:v>Industrias sin Aluar</x:v>
      </x:c>
      <x:c r="D609" s="62" t="n">
        <x:v>31</x:v>
      </x:c>
      <x:c r="E609" s="2" t="str">
        <x:v>Completo</x:v>
      </x:c>
      <x:c r="F609" s="56" t="n">
        <x:v>316.4524690860215</x:v>
      </x:c>
      <x:c r="G609" s="56" t="n">
        <x:f>F441</x:f>
        <x:v>342.4649758064516</x:v>
      </x:c>
      <x:c r="H609" s="57" t="n">
        <x:f>IF(ISNUMBER(G609),IF(G609=0,"n.a.",F609/G609-1),"n.a.")</x:f>
        <x:v>-0.0759566920943513</x:v>
      </x:c>
      <x:c r="I609" s="58" t="n">
        <x:f>F609/J609</x:f>
        <x:v>0.2863006670080985</x:v>
      </x:c>
      <x:c r="J609" s="56" t="n">
        <x:v>1105.3151653225807</x:v>
      </x:c>
    </x:row>
    <x:row r="610" ht="65" customHeight="1">
      <x:c r="A610" s="61" t="n">
        <x:v>45839</x:v>
      </x:c>
      <x:c r="B610" s="32" t="str">
        <x:v>Extracción de minerales</x:v>
      </x:c>
      <x:c r="C610" s="32" t="str">
        <x:v>Petróleos y minerales</x:v>
      </x:c>
      <x:c r="D610" s="62" t="n">
        <x:v>31</x:v>
      </x:c>
      <x:c r="E610" s="2" t="str">
        <x:v>Completo</x:v>
      </x:c>
      <x:c r="F610" s="56" t="n">
        <x:v>25.554833333333335</x:v>
      </x:c>
      <x:c r="G610" s="56" t="n">
        <x:f>F442</x:f>
        <x:v>22.565686827956988</x:v>
      </x:c>
      <x:c r="H610" s="57" t="n">
        <x:f>IF(ISNUMBER(G610),IF(G610=0,"n.a.",F610/G610-1),"n.a.")</x:f>
        <x:v>0.13246423776798344</x:v>
      </x:c>
      <x:c r="I610" s="58" t="n">
        <x:f>F610/J610</x:f>
        <x:v>0.14908913933209028</x:v>
      </x:c>
      <x:c r="J610" s="56" t="n">
        <x:v>171.40640456989246</x:v>
      </x:c>
    </x:row>
    <x:row r="611" ht="65" customHeight="1">
      <x:c r="A611" s="61" t="n">
        <x:v>45839</x:v>
      </x:c>
      <x:c r="B611" s="32" t="str">
        <x:v>Extracción de petróleo</x:v>
      </x:c>
      <x:c r="C611" s="32" t="str">
        <x:v>Petróleos y minerales</x:v>
      </x:c>
      <x:c r="D611" s="62" t="n">
        <x:v>31</x:v>
      </x:c>
      <x:c r="E611" s="2" t="str">
        <x:v>Completo</x:v>
      </x:c>
      <x:c r="F611" s="56" t="n">
        <x:v>145.85157123655912</x:v>
      </x:c>
      <x:c r="G611" s="56" t="n">
        <x:f>F443</x:f>
        <x:v>145.65702688172044</x:v>
      </x:c>
      <x:c r="H611" s="57" t="n">
        <x:f>IF(ISNUMBER(G611),IF(G611=0,"n.a.",F611/G611-1),"n.a.")</x:f>
        <x:v>0.0013356331582730085</x:v>
      </x:c>
      <x:c r="I611" s="58" t="n">
        <x:f>F611/J611</x:f>
        <x:v>0.8509108606679097</x:v>
      </x:c>
      <x:c r="J611" s="56" t="n">
        <x:v>171.40640456989246</x:v>
      </x:c>
    </x:row>
    <x:row r="612" ht="65" customHeight="1">
      <x:c r="A612" s="61" t="n">
        <x:v>45870</x:v>
      </x:c>
      <x:c r="B612" s="32" t="str">
        <x:v>Cargas y puertos</x:v>
      </x:c>
      <x:c r="C612" s="32" t="str">
        <x:v>Alimentación, comercios y servicios</x:v>
      </x:c>
      <x:c r="D612" s="62" t="n">
        <x:v>31</x:v>
      </x:c>
      <x:c r="E612" s="2" t="str">
        <x:v>Completo</x:v>
      </x:c>
      <x:c r="F612" s="56" t="n">
        <x:v>9.285111559139786</x:v>
      </x:c>
      <x:c r="G612" s="56" t="n">
        <x:f>F444</x:f>
        <x:v>9.959030913978495</x:v>
      </x:c>
      <x:c r="H612" s="57" t="n">
        <x:f>IF(ISNUMBER(G612),IF(G612=0,"n.a.",F612/G612-1),"n.a.")</x:f>
        <x:v>-0.0676691698880858</x:v>
      </x:c>
      <x:c r="I612" s="58" t="n">
        <x:f>F612/J612</x:f>
        <x:v>0.02248897011020047</x:v>
      </x:c>
      <x:c r="J612" s="56" t="n">
        <x:v>412.8740228494624</x:v>
      </x:c>
    </x:row>
    <x:row r="613" ht="65" customHeight="1">
      <x:c r="A613" s="61" t="n">
        <x:v>45870</x:v>
      </x:c>
      <x:c r="B613" s="32" t="str">
        <x:v>Comercio y servicios: principalmente supermercados y centros comerciales</x:v>
      </x:c>
      <x:c r="C613" s="32" t="str">
        <x:v>Alimentación, comercios y servicios</x:v>
      </x:c>
      <x:c r="D613" s="62" t="n">
        <x:v>31</x:v>
      </x:c>
      <x:c r="E613" s="2" t="str">
        <x:v>Completo</x:v>
      </x:c>
      <x:c r="F613" s="56" t="n">
        <x:v>45.42779838709677</x:v>
      </x:c>
      <x:c r="G613" s="56" t="n">
        <x:f>F445</x:f>
        <x:v>32.436723118279566</x:v>
      </x:c>
      <x:c r="H613" s="57" t="n">
        <x:f>IF(ISNUMBER(G613),IF(G613=0,"n.a.",F613/G613-1),"n.a.")</x:f>
        <x:v>0.4005051688311927</x:v>
      </x:c>
      <x:c r="I613" s="58" t="n">
        <x:f>F613/J613</x:f>
        <x:v>0.11002823106567826</x:v>
      </x:c>
      <x:c r="J613" s="56" t="n">
        <x:v>412.8740228494624</x:v>
      </x:c>
    </x:row>
    <x:row r="614" ht="65" customHeight="1">
      <x:c r="A614" s="61" t="n">
        <x:v>45870</x:v>
      </x:c>
      <x:c r="B614" s="32" t="str">
        <x:v>Alimentación y artículos de consumo masivo</x:v>
      </x:c>
      <x:c r="C614" s="32" t="str">
        <x:v>Alimentación, comercios y servicios</x:v>
      </x:c>
      <x:c r="D614" s="62" t="n">
        <x:v>31</x:v>
      </x:c>
      <x:c r="E614" s="2" t="str">
        <x:v>Completo</x:v>
      </x:c>
      <x:c r="F614" s="56" t="n">
        <x:v>285.3702419354838</x:v>
      </x:c>
      <x:c r="G614" s="56" t="n">
        <x:f>F446</x:f>
        <x:v>270.41067607526884</x:v>
      </x:c>
      <x:c r="H614" s="57" t="n">
        <x:f>IF(ISNUMBER(G614),IF(G614=0,"n.a.",F614/G614-1),"n.a.")</x:f>
        <x:v>0.05532165400174871</x:v>
      </x:c>
      <x:c r="I614" s="58" t="n">
        <x:f>F614/J614</x:f>
        <x:v>0.6911799390186686</x:v>
      </x:c>
      <x:c r="J614" s="56" t="n">
        <x:v>412.8740228494624</x:v>
      </x:c>
    </x:row>
    <x:row r="615" ht="65" customHeight="1">
      <x:c r="A615" s="61" t="n">
        <x:v>45870</x:v>
      </x:c>
      <x:c r="B615" s="32" t="str">
        <x:v>Servicios públicos y transporte: agua y transporte en GBA</x:v>
      </x:c>
      <x:c r="C615" s="32" t="str">
        <x:v>Alimentación, comercios y servicios</x:v>
      </x:c>
      <x:c r="D615" s="62" t="n">
        <x:v>31</x:v>
      </x:c>
      <x:c r="E615" s="2" t="str">
        <x:v>Completo</x:v>
      </x:c>
      <x:c r="F615" s="56" t="n">
        <x:v>72.79087096774194</x:v>
      </x:c>
      <x:c r="G615" s="56" t="n">
        <x:f>F447</x:f>
        <x:v>85.22431989247312</x:v>
      </x:c>
      <x:c r="H615" s="57" t="n">
        <x:f>IF(ISNUMBER(G615),IF(G615=0,"n.a.",F615/G615-1),"n.a.")</x:f>
        <x:v>-0.14589085533822232</x:v>
      </x:c>
      <x:c r="I615" s="58" t="n">
        <x:f>F615/J615</x:f>
        <x:v>0.17630285980545243</x:v>
      </x:c>
      <x:c r="J615" s="56" t="n">
        <x:v>412.8740228494624</x:v>
      </x:c>
    </x:row>
    <x:row r="616" ht="65" customHeight="1">
      <x:c r="A616" s="61" t="n">
        <x:v>45870</x:v>
      </x:c>
      <x:c r="B616" s="32" t="str">
        <x:v>Industria automotriz</x:v>
      </x:c>
      <x:c r="C616" s="32" t="str">
        <x:v>Industrias sin Aluar</x:v>
      </x:c>
      <x:c r="D616" s="62" t="n">
        <x:v>31</x:v>
      </x:c>
      <x:c r="E616" s="2" t="str">
        <x:v>Completo</x:v>
      </x:c>
      <x:c r="F616" s="56" t="n">
        <x:v>40.71383198924732</x:v>
      </x:c>
      <x:c r="G616" s="56" t="n">
        <x:f>F448</x:f>
        <x:v>42.96219623655914</x:v>
      </x:c>
      <x:c r="H616" s="57" t="n">
        <x:f>IF(ISNUMBER(G616),IF(G616=0,"n.a.",F616/G616-1),"n.a.")</x:f>
        <x:v>-0.052333550057167444</x:v>
      </x:c>
      <x:c r="I616" s="58" t="n">
        <x:f>F616/J616</x:f>
        <x:v>0.03690975052823183</x:v>
      </x:c>
      <x:c r="J616" s="56" t="n">
        <x:v>1103.0644045698925</x:v>
      </x:c>
    </x:row>
    <x:row r="617" ht="65" customHeight="1">
      <x:c r="A617" s="61" t="n">
        <x:v>45870</x:v>
      </x:c>
      <x:c r="B617" s="32" t="str">
        <x:v>Derivados de petróleo</x:v>
      </x:c>
      <x:c r="C617" s="32" t="str">
        <x:v>Industrias sin Aluar</x:v>
      </x:c>
      <x:c r="D617" s="62" t="n">
        <x:v>31</x:v>
      </x:c>
      <x:c r="E617" s="2" t="str">
        <x:v>Completo</x:v>
      </x:c>
      <x:c r="F617" s="56" t="n">
        <x:v>144.79486559139784</x:v>
      </x:c>
      <x:c r="G617" s="56" t="n">
        <x:f>F449</x:f>
        <x:v>154.567001344086</x:v>
      </x:c>
      <x:c r="H617" s="57" t="n">
        <x:f>IF(ISNUMBER(G617),IF(G617=0,"n.a.",F617/G617-1),"n.a.")</x:f>
        <x:v>-0.06322265210369282</x:v>
      </x:c>
      <x:c r="I617" s="58" t="n">
        <x:f>F617/J617</x:f>
        <x:v>0.1312660122033911</x:v>
      </x:c>
      <x:c r="J617" s="56" t="n">
        <x:v>1103.0644045698925</x:v>
      </x:c>
    </x:row>
    <x:row r="618" ht="65" customHeight="1">
      <x:c r="A618" s="61" t="n">
        <x:v>45870</x:v>
      </x:c>
      <x:c r="B618" s="32" t="str">
        <x:v>Construcción: elaboración de cemento y canteras</x:v>
      </x:c>
      <x:c r="C618" s="32" t="str">
        <x:v>Industrias sin Aluar</x:v>
      </x:c>
      <x:c r="D618" s="62" t="n">
        <x:v>31</x:v>
      </x:c>
      <x:c r="E618" s="2" t="str">
        <x:v>Completo</x:v>
      </x:c>
      <x:c r="F618" s="56" t="n">
        <x:v>122.58155241935485</x:v>
      </x:c>
      <x:c r="G618" s="56" t="n">
        <x:f>F450</x:f>
        <x:v>133.24863978494622</x:v>
      </x:c>
      <x:c r="H618" s="57" t="n">
        <x:f>IF(ISNUMBER(G618),IF(G618=0,"n.a.",F618/G618-1),"n.a.")</x:f>
        <x:v>-0.08005400567545973</x:v>
      </x:c>
      <x:c r="I618" s="58" t="n">
        <x:f>F618/J618</x:f>
        <x:v>0.11112819152853719</x:v>
      </x:c>
      <x:c r="J618" s="56" t="n">
        <x:v>1103.0644045698925</x:v>
      </x:c>
    </x:row>
    <x:row r="619" ht="65" customHeight="1">
      <x:c r="A619" s="61" t="n">
        <x:v>45870</x:v>
      </x:c>
      <x:c r="B619" s="32" t="str">
        <x:v>Madera y papel</x:v>
      </x:c>
      <x:c r="C619" s="32" t="str">
        <x:v>Industrias sin Aluar</x:v>
      </x:c>
      <x:c r="D619" s="62" t="n">
        <x:v>31</x:v>
      </x:c>
      <x:c r="E619" s="2" t="str">
        <x:v>Completo</x:v>
      </x:c>
      <x:c r="F619" s="56" t="n">
        <x:v>104.69448521505376</x:v>
      </x:c>
      <x:c r="G619" s="56" t="n">
        <x:f>F451</x:f>
        <x:v>96.62161962365592</x:v>
      </x:c>
      <x:c r="H619" s="57" t="n">
        <x:f>IF(ISNUMBER(G619),IF(G619=0,"n.a.",F619/G619-1),"n.a.")</x:f>
        <x:v>0.08355133791838609</x:v>
      </x:c>
      <x:c r="I619" s="58" t="n">
        <x:f>F619/J619</x:f>
        <x:v>0.09491239566911444</x:v>
      </x:c>
      <x:c r="J619" s="56" t="n">
        <x:v>1103.0644045698925</x:v>
      </x:c>
    </x:row>
    <x:row r="620" ht="65" customHeight="1">
      <x:c r="A620" s="61" t="n">
        <x:v>45870</x:v>
      </x:c>
      <x:c r="B620" s="32" t="str">
        <x:v>Productos metálicos no automotores</x:v>
      </x:c>
      <x:c r="C620" s="32" t="str">
        <x:v>Industrias sin Aluar</x:v>
      </x:c>
      <x:c r="D620" s="62" t="n">
        <x:v>31</x:v>
      </x:c>
      <x:c r="E620" s="2" t="str">
        <x:v>Completo</x:v>
      </x:c>
      <x:c r="F620" s="56" t="n">
        <x:v>47.62105241935484</x:v>
      </x:c>
      <x:c r="G620" s="56" t="n">
        <x:f>F452</x:f>
        <x:v>41.913873655913974</x:v>
      </x:c>
      <x:c r="H620" s="57" t="n">
        <x:f>IF(ISNUMBER(G620),IF(G620=0,"n.a.",F620/G620-1),"n.a.")</x:f>
        <x:v>0.13616443114499854</x:v>
      </x:c>
      <x:c r="I620" s="58" t="n">
        <x:f>F620/J620</x:f>
        <x:v>0.04317159743534945</x:v>
      </x:c>
      <x:c r="J620" s="56" t="n">
        <x:v>1103.0644045698925</x:v>
      </x:c>
    </x:row>
    <x:row r="621" ht="65" customHeight="1">
      <x:c r="A621" s="61" t="n">
        <x:v>45870</x:v>
      </x:c>
      <x:c r="B621" s="32" t="str">
        <x:v>Gran siderurgia</x:v>
      </x:c>
      <x:c r="C621" s="32" t="str">
        <x:v>Industrias sin Aluar</x:v>
      </x:c>
      <x:c r="D621" s="62" t="n">
        <x:v>31</x:v>
      </x:c>
      <x:c r="E621" s="2" t="str">
        <x:v>Completo</x:v>
      </x:c>
      <x:c r="F621" s="56" t="n">
        <x:v>274.7639919354839</x:v>
      </x:c>
      <x:c r="G621" s="56" t="n">
        <x:f>F453</x:f>
        <x:v>254.93140725806452</x:v>
      </x:c>
      <x:c r="H621" s="57" t="n">
        <x:f>IF(ISNUMBER(G621),IF(G621=0,"n.a.",F621/G621-1),"n.a.")</x:f>
        <x:v>0.07779576824499701</x:v>
      </x:c>
      <x:c r="I621" s="58" t="n">
        <x:f>F621/J621</x:f>
        <x:v>0.2490915224869576</x:v>
      </x:c>
      <x:c r="J621" s="56" t="n">
        <x:v>1103.0644045698925</x:v>
      </x:c>
    </x:row>
    <x:row r="622" ht="65" customHeight="1">
      <x:c r="A622" s="61" t="n">
        <x:v>45870</x:v>
      </x:c>
      <x:c r="B622" s="32" t="str">
        <x:v>Industria textil</x:v>
      </x:c>
      <x:c r="C622" s="32" t="str">
        <x:v>Industrias sin Aluar</x:v>
      </x:c>
      <x:c r="D622" s="62" t="n">
        <x:v>31</x:v>
      </x:c>
      <x:c r="E622" s="2" t="str">
        <x:v>Completo</x:v>
      </x:c>
      <x:c r="F622" s="56" t="n">
        <x:v>50.04054166666667</x:v>
      </x:c>
      <x:c r="G622" s="56" t="n">
        <x:f>F454</x:f>
        <x:v>54.60349731182796</x:v>
      </x:c>
      <x:c r="H622" s="57" t="n">
        <x:f>IF(ISNUMBER(G622),IF(G622=0,"n.a.",F622/G622-1),"n.a.")</x:f>
        <x:v>-0.0835652635783255</x:v>
      </x:c>
      <x:c r="I622" s="58" t="n">
        <x:f>F622/J622</x:f>
        <x:v>0.04536502262184637</x:v>
      </x:c>
      <x:c r="J622" s="56" t="n">
        <x:v>1103.0644045698925</x:v>
      </x:c>
    </x:row>
    <x:row r="623" ht="65" customHeight="1">
      <x:c r="A623" s="61" t="n">
        <x:v>45870</x:v>
      </x:c>
      <x:c r="B623" s="32" t="str">
        <x:v>Químicas, caucho, plástico y otros minerales no metálicos</x:v>
      </x:c>
      <x:c r="C623" s="32" t="str">
        <x:v>Industrias sin Aluar</x:v>
      </x:c>
      <x:c r="D623" s="62" t="n">
        <x:v>31</x:v>
      </x:c>
      <x:c r="E623" s="2" t="str">
        <x:v>Completo</x:v>
      </x:c>
      <x:c r="F623" s="56" t="n">
        <x:v>317.85408333333334</x:v>
      </x:c>
      <x:c r="G623" s="56" t="n">
        <x:f>F455</x:f>
        <x:v>305.7559193548387</x:v>
      </x:c>
      <x:c r="H623" s="57" t="n">
        <x:f>IF(ISNUMBER(G623),IF(G623=0,"n.a.",F623/G623-1),"n.a.")</x:f>
        <x:v>0.03956804500799982</x:v>
      </x:c>
      <x:c r="I623" s="58" t="n">
        <x:f>F623/J623</x:f>
        <x:v>0.288155507526572</x:v>
      </x:c>
      <x:c r="J623" s="56" t="n">
        <x:v>1103.0644045698925</x:v>
      </x:c>
    </x:row>
    <x:row r="624" ht="65" customHeight="1">
      <x:c r="A624" s="61" t="n">
        <x:v>45870</x:v>
      </x:c>
      <x:c r="B624" s="32" t="str">
        <x:v>Extracción de minerales</x:v>
      </x:c>
      <x:c r="C624" s="32" t="str">
        <x:v>Petróleos y minerales</x:v>
      </x:c>
      <x:c r="D624" s="62" t="n">
        <x:v>31</x:v>
      </x:c>
      <x:c r="E624" s="2" t="str">
        <x:v>Completo</x:v>
      </x:c>
      <x:c r="F624" s="56" t="n">
        <x:v>25.329064516129034</x:v>
      </x:c>
      <x:c r="G624" s="56" t="n">
        <x:f>F456</x:f>
        <x:v>22.694216397849463</x:v>
      </x:c>
      <x:c r="H624" s="57" t="n">
        <x:f>IF(ISNUMBER(G624),IF(G624=0,"n.a.",F624/G624-1),"n.a.")</x:f>
        <x:v>0.11610218533605132</x:v>
      </x:c>
      <x:c r="I624" s="58" t="n">
        <x:f>F624/J624</x:f>
        <x:v>0.14867670187892973</x:v>
      </x:c>
      <x:c r="J624" s="56" t="n">
        <x:v>170.363373655914</x:v>
      </x:c>
    </x:row>
    <x:row r="625" ht="65" customHeight="1">
      <x:c r="A625" s="61" t="n">
        <x:v>45870</x:v>
      </x:c>
      <x:c r="B625" s="32" t="str">
        <x:v>Extracción de petróleo</x:v>
      </x:c>
      <x:c r="C625" s="32" t="str">
        <x:v>Petróleos y minerales</x:v>
      </x:c>
      <x:c r="D625" s="62" t="n">
        <x:v>31</x:v>
      </x:c>
      <x:c r="E625" s="2" t="str">
        <x:v>Completo</x:v>
      </x:c>
      <x:c r="F625" s="56" t="n">
        <x:v>145.03430913978497</x:v>
      </x:c>
      <x:c r="G625" s="56" t="n">
        <x:f>F457</x:f>
        <x:v>147.00640456989248</x:v>
      </x:c>
      <x:c r="H625" s="57" t="n">
        <x:f>IF(ISNUMBER(G625),IF(G625=0,"n.a.",F625/G625-1),"n.a.")</x:f>
        <x:v>-0.013415030697998653</x:v>
      </x:c>
      <x:c r="I625" s="58" t="n">
        <x:f>F625/J625</x:f>
        <x:v>0.8513232981210703</x:v>
      </x:c>
      <x:c r="J625" s="56" t="n">
        <x:v>170.363373655914</x:v>
      </x:c>
    </x:row>
    <x:row r="626" ht="65" customHeight="1">
      <x:c r="A626" s="61" t="n">
        <x:v>45901</x:v>
      </x:c>
      <x:c r="B626" s="32" t="str">
        <x:v>Cargas y puertos</x:v>
      </x:c>
      <x:c r="C626" s="32" t="str">
        <x:v>Alimentación, comercios y servicios</x:v>
      </x:c>
      <x:c r="D626" s="62" t="n">
        <x:v>30</x:v>
      </x:c>
      <x:c r="E626" s="2" t="str">
        <x:v>Completo</x:v>
      </x:c>
      <x:c r="F626" s="56" t="n">
        <x:v>9.291180555555554</x:v>
      </x:c>
      <x:c r="G626" s="56" t="n">
        <x:f>F458</x:f>
        <x:v>9.502590277777777</x:v>
      </x:c>
      <x:c r="H626" s="57" t="n">
        <x:f>IF(ISNUMBER(G626),IF(G626=0,"n.a.",F626/G626-1),"n.a.")</x:f>
        <x:v>-0.0222475889249496</x:v>
      </x:c>
      <x:c r="I626" s="58" t="n">
        <x:f>F626/J626</x:f>
        <x:v>0.022204350859844575</x:v>
      </x:c>
      <x:c r="J626" s="56" t="n">
        <x:v>418.4396388888889</x:v>
      </x:c>
    </x:row>
    <x:row r="627" ht="65" customHeight="1">
      <x:c r="A627" s="61" t="n">
        <x:v>45901</x:v>
      </x:c>
      <x:c r="B627" s="32" t="str">
        <x:v>Comercio y servicios: principalmente supermercados y centros comerciales</x:v>
      </x:c>
      <x:c r="C627" s="32" t="str">
        <x:v>Alimentación, comercios y servicios</x:v>
      </x:c>
      <x:c r="D627" s="62" t="n">
        <x:v>30</x:v>
      </x:c>
      <x:c r="E627" s="2" t="str">
        <x:v>Completo</x:v>
      </x:c>
      <x:c r="F627" s="56" t="n">
        <x:v>45.520700000000005</x:v>
      </x:c>
      <x:c r="G627" s="56" t="n">
        <x:f>F459</x:f>
        <x:v>31.98450972222222</x:v>
      </x:c>
      <x:c r="H627" s="57" t="n">
        <x:f>IF(ISNUMBER(G627),IF(G627=0,"n.a.",F627/G627-1),"n.a.")</x:f>
        <x:v>0.4232108103371395</x:v>
      </x:c>
      <x:c r="I627" s="58" t="n">
        <x:f>F627/J627</x:f>
        <x:v>0.1087867777557456</x:v>
      </x:c>
      <x:c r="J627" s="56" t="n">
        <x:v>418.4396388888889</x:v>
      </x:c>
    </x:row>
    <x:row r="628" ht="65" customHeight="1">
      <x:c r="A628" s="61" t="n">
        <x:v>45901</x:v>
      </x:c>
      <x:c r="B628" s="32" t="str">
        <x:v>Alimentación y artículos de consumo masivo</x:v>
      </x:c>
      <x:c r="C628" s="32" t="str">
        <x:v>Alimentación, comercios y servicios</x:v>
      </x:c>
      <x:c r="D628" s="62" t="n">
        <x:v>30</x:v>
      </x:c>
      <x:c r="E628" s="2" t="str">
        <x:v>Completo</x:v>
      </x:c>
      <x:c r="F628" s="56" t="n">
        <x:v>290.5302805555556</x:v>
      </x:c>
      <x:c r="G628" s="56" t="n">
        <x:f>F460</x:f>
        <x:v>291.8013208333333</x:v>
      </x:c>
      <x:c r="H628" s="57" t="n">
        <x:f>IF(ISNUMBER(G628),IF(G628=0,"n.a.",F628/G628-1),"n.a.")</x:f>
        <x:v>-0.004355841413424266</x:v>
      </x:c>
      <x:c r="I628" s="58" t="n">
        <x:f>F628/J628</x:f>
        <x:v>0.6943182565758357</x:v>
      </x:c>
      <x:c r="J628" s="56" t="n">
        <x:v>418.4396388888889</x:v>
      </x:c>
    </x:row>
    <x:row r="629" ht="65" customHeight="1">
      <x:c r="A629" s="61" t="n">
        <x:v>45901</x:v>
      </x:c>
      <x:c r="B629" s="32" t="str">
        <x:v>Servicios públicos y transporte: agua y transporte en GBA</x:v>
      </x:c>
      <x:c r="C629" s="32" t="str">
        <x:v>Alimentación, comercios y servicios</x:v>
      </x:c>
      <x:c r="D629" s="62" t="n">
        <x:v>30</x:v>
      </x:c>
      <x:c r="E629" s="2" t="str">
        <x:v>Completo</x:v>
      </x:c>
      <x:c r="F629" s="56" t="n">
        <x:v>73.09747777777778</x:v>
      </x:c>
      <x:c r="G629" s="56" t="n">
        <x:f>F461</x:f>
        <x:v>86.07814166666667</x:v>
      </x:c>
      <x:c r="H629" s="57" t="n">
        <x:f>IF(ISNUMBER(G629),IF(G629=0,"n.a.",F629/G629-1),"n.a.")</x:f>
        <x:v>-0.15080093084671675</x:v>
      </x:c>
      <x:c r="I629" s="58" t="n">
        <x:f>F629/J629</x:f>
        <x:v>0.1746906148085742</x:v>
      </x:c>
      <x:c r="J629" s="56" t="n">
        <x:v>418.4396388888889</x:v>
      </x:c>
    </x:row>
    <x:row r="630" ht="65" customHeight="1">
      <x:c r="A630" s="61" t="n">
        <x:v>45901</x:v>
      </x:c>
      <x:c r="B630" s="32" t="str">
        <x:v>Industria automotriz</x:v>
      </x:c>
      <x:c r="C630" s="32" t="str">
        <x:v>Industrias sin Aluar</x:v>
      </x:c>
      <x:c r="D630" s="62" t="n">
        <x:v>30</x:v>
      </x:c>
      <x:c r="E630" s="2" t="str">
        <x:v>Completo</x:v>
      </x:c>
      <x:c r="F630" s="56" t="n">
        <x:v>41.29134305555556</x:v>
      </x:c>
      <x:c r="G630" s="56" t="n">
        <x:f>F462</x:f>
        <x:v>41.262163888888885</x:v>
      </x:c>
      <x:c r="H630" s="57" t="n">
        <x:f>IF(ISNUMBER(G630),IF(G630=0,"n.a.",F630/G630-1),"n.a.")</x:f>
        <x:v>0.0007071652069738921</x:v>
      </x:c>
      <x:c r="I630" s="58" t="n">
        <x:f>F630/J630</x:f>
        <x:v>0.035578854208498274</x:v>
      </x:c>
      <x:c r="J630" s="56" t="n">
        <x:v>1160.558538888889</x:v>
      </x:c>
    </x:row>
    <x:row r="631" ht="65" customHeight="1">
      <x:c r="A631" s="61" t="n">
        <x:v>45901</x:v>
      </x:c>
      <x:c r="B631" s="32" t="str">
        <x:v>Derivados de petróleo</x:v>
      </x:c>
      <x:c r="C631" s="32" t="str">
        <x:v>Industrias sin Aluar</x:v>
      </x:c>
      <x:c r="D631" s="62" t="n">
        <x:v>30</x:v>
      </x:c>
      <x:c r="E631" s="2" t="str">
        <x:v>Completo</x:v>
      </x:c>
      <x:c r="F631" s="56" t="n">
        <x:v>153.63866666666667</x:v>
      </x:c>
      <x:c r="G631" s="56" t="n">
        <x:f>F463</x:f>
        <x:v>152.1239111111111</x:v>
      </x:c>
      <x:c r="H631" s="57" t="n">
        <x:f>IF(ISNUMBER(G631),IF(G631=0,"n.a.",F631/G631-1),"n.a.")</x:f>
        <x:v>0.009957379773447794</x:v>
      </x:c>
      <x:c r="I631" s="58" t="n">
        <x:f>F631/J631</x:f>
        <x:v>0.13238338396420685</x:v>
      </x:c>
      <x:c r="J631" s="56" t="n">
        <x:v>1160.558538888889</x:v>
      </x:c>
    </x:row>
    <x:row r="632" ht="65" customHeight="1">
      <x:c r="A632" s="61" t="n">
        <x:v>45901</x:v>
      </x:c>
      <x:c r="B632" s="32" t="str">
        <x:v>Construcción: elaboración de cemento y canteras</x:v>
      </x:c>
      <x:c r="C632" s="32" t="str">
        <x:v>Industrias sin Aluar</x:v>
      </x:c>
      <x:c r="D632" s="62" t="n">
        <x:v>30</x:v>
      </x:c>
      <x:c r="E632" s="2" t="str">
        <x:v>Completo</x:v>
      </x:c>
      <x:c r="F632" s="56" t="n">
        <x:v>147.98140833333335</x:v>
      </x:c>
      <x:c r="G632" s="56" t="n">
        <x:f>F464</x:f>
        <x:v>157.56987222222224</x:v>
      </x:c>
      <x:c r="H632" s="57" t="n">
        <x:f>IF(ISNUMBER(G632),IF(G632=0,"n.a.",F632/G632-1),"n.a.")</x:f>
        <x:v>-0.06085213977559234</x:v>
      </x:c>
      <x:c r="I632" s="58" t="n">
        <x:f>F632/J632</x:f>
        <x:v>0.12750878424022433</x:v>
      </x:c>
      <x:c r="J632" s="56" t="n">
        <x:v>1160.558538888889</x:v>
      </x:c>
    </x:row>
    <x:row r="633" ht="65" customHeight="1">
      <x:c r="A633" s="61" t="n">
        <x:v>45901</x:v>
      </x:c>
      <x:c r="B633" s="32" t="str">
        <x:v>Madera y papel</x:v>
      </x:c>
      <x:c r="C633" s="32" t="str">
        <x:v>Industrias sin Aluar</x:v>
      </x:c>
      <x:c r="D633" s="62" t="n">
        <x:v>30</x:v>
      </x:c>
      <x:c r="E633" s="2" t="str">
        <x:v>Completo</x:v>
      </x:c>
      <x:c r="F633" s="56" t="n">
        <x:v>106.09065000000001</x:v>
      </x:c>
      <x:c r="G633" s="56" t="n">
        <x:f>F465</x:f>
        <x:v>98.49534999999999</x:v>
      </x:c>
      <x:c r="H633" s="57" t="n">
        <x:f>IF(ISNUMBER(G633),IF(G633=0,"n.a.",F633/G633-1),"n.a.")</x:f>
        <x:v>0.07711328504340575</x:v>
      </x:c>
      <x:c r="I633" s="58" t="n">
        <x:f>F633/J633</x:f>
        <x:v>0.09141344141207258</x:v>
      </x:c>
      <x:c r="J633" s="56" t="n">
        <x:v>1160.558538888889</x:v>
      </x:c>
    </x:row>
    <x:row r="634" ht="65" customHeight="1">
      <x:c r="A634" s="61" t="n">
        <x:v>45901</x:v>
      </x:c>
      <x:c r="B634" s="32" t="str">
        <x:v>Productos metálicos no automotores</x:v>
      </x:c>
      <x:c r="C634" s="32" t="str">
        <x:v>Industrias sin Aluar</x:v>
      </x:c>
      <x:c r="D634" s="62" t="n">
        <x:v>30</x:v>
      </x:c>
      <x:c r="E634" s="2" t="str">
        <x:v>Completo</x:v>
      </x:c>
      <x:c r="F634" s="56" t="n">
        <x:v>48.4106111111111</x:v>
      </x:c>
      <x:c r="G634" s="56" t="n">
        <x:f>F466</x:f>
        <x:v>42.796524999999995</x:v>
      </x:c>
      <x:c r="H634" s="57" t="n">
        <x:f>IF(ISNUMBER(G634),IF(G634=0,"n.a.",F634/G634-1),"n.a.")</x:f>
        <x:v>0.13118088702554953</x:v>
      </x:c>
      <x:c r="I634" s="58" t="n">
        <x:f>F634/J634</x:f>
        <x:v>0.04171320057449157</x:v>
      </x:c>
      <x:c r="J634" s="56" t="n">
        <x:v>1160.558538888889</x:v>
      </x:c>
    </x:row>
    <x:row r="635" ht="65" customHeight="1">
      <x:c r="A635" s="61" t="n">
        <x:v>45901</x:v>
      </x:c>
      <x:c r="B635" s="32" t="str">
        <x:v>Gran siderurgia</x:v>
      </x:c>
      <x:c r="C635" s="32" t="str">
        <x:v>Industrias sin Aluar</x:v>
      </x:c>
      <x:c r="D635" s="62" t="n">
        <x:v>30</x:v>
      </x:c>
      <x:c r="E635" s="2" t="str">
        <x:v>Completo</x:v>
      </x:c>
      <x:c r="F635" s="56" t="n">
        <x:v>283.8709013888889</x:v>
      </x:c>
      <x:c r="G635" s="56" t="n">
        <x:f>F467</x:f>
        <x:v>277.0638638888889</x:v>
      </x:c>
      <x:c r="H635" s="57" t="n">
        <x:f>IF(ISNUMBER(G635),IF(G635=0,"n.a.",F635/G635-1),"n.a.")</x:f>
        <x:v>0.02456847820013741</x:v>
      </x:c>
      <x:c r="I635" s="58" t="n">
        <x:f>F635/J635</x:f>
        <x:v>0.24459852034750873</x:v>
      </x:c>
      <x:c r="J635" s="56" t="n">
        <x:v>1160.558538888889</x:v>
      </x:c>
    </x:row>
    <x:row r="636" ht="65" customHeight="1">
      <x:c r="A636" s="61" t="n">
        <x:v>45901</x:v>
      </x:c>
      <x:c r="B636" s="32" t="str">
        <x:v>Industria textil</x:v>
      </x:c>
      <x:c r="C636" s="32" t="str">
        <x:v>Industrias sin Aluar</x:v>
      </x:c>
      <x:c r="D636" s="62" t="n">
        <x:v>30</x:v>
      </x:c>
      <x:c r="E636" s="2" t="str">
        <x:v>Completo</x:v>
      </x:c>
      <x:c r="F636" s="56" t="n">
        <x:v>48.661901388888886</x:v>
      </x:c>
      <x:c r="G636" s="56" t="n">
        <x:f>F468</x:f>
        <x:v>55.916716666666666</x:v>
      </x:c>
      <x:c r="H636" s="57" t="n">
        <x:f>IF(ISNUMBER(G636),IF(G636=0,"n.a.",F636/G636-1),"n.a.")</x:f>
        <x:v>-0.12974322725394483</x:v>
      </x:c>
      <x:c r="I636" s="58" t="n">
        <x:f>F636/J636</x:f>
        <x:v>0.04192972586757879</x:v>
      </x:c>
      <x:c r="J636" s="56" t="n">
        <x:v>1160.558538888889</x:v>
      </x:c>
    </x:row>
    <x:row r="637" ht="65" customHeight="1">
      <x:c r="A637" s="61" t="n">
        <x:v>45901</x:v>
      </x:c>
      <x:c r="B637" s="32" t="str">
        <x:v>Químicas, caucho, plástico y otros minerales no metálicos</x:v>
      </x:c>
      <x:c r="C637" s="32" t="str">
        <x:v>Industrias sin Aluar</x:v>
      </x:c>
      <x:c r="D637" s="62" t="n">
        <x:v>30</x:v>
      </x:c>
      <x:c r="E637" s="2" t="str">
        <x:v>Completo</x:v>
      </x:c>
      <x:c r="F637" s="56" t="n">
        <x:v>330.6130569444445</x:v>
      </x:c>
      <x:c r="G637" s="56" t="n">
        <x:f>F469</x:f>
        <x:v>330.2625458333333</x:v>
      </x:c>
      <x:c r="H637" s="57" t="n">
        <x:f>IF(ISNUMBER(G637),IF(G637=0,"n.a.",F637/G637-1),"n.a.")</x:f>
        <x:v>0.0010613105104810838</x:v>
      </x:c>
      <x:c r="I637" s="58" t="n">
        <x:f>F637/J637</x:f>
        <x:v>0.2848740893854189</x:v>
      </x:c>
      <x:c r="J637" s="56" t="n">
        <x:v>1160.558538888889</x:v>
      </x:c>
    </x:row>
    <x:row r="638" ht="65" customHeight="1">
      <x:c r="A638" s="61" t="n">
        <x:v>45901</x:v>
      </x:c>
      <x:c r="B638" s="32" t="str">
        <x:v>Extracción de minerales</x:v>
      </x:c>
      <x:c r="C638" s="32" t="str">
        <x:v>Petróleos y minerales</x:v>
      </x:c>
      <x:c r="D638" s="62" t="n">
        <x:v>30</x:v>
      </x:c>
      <x:c r="E638" s="2" t="str">
        <x:v>Completo</x:v>
      </x:c>
      <x:c r="F638" s="56" t="n">
        <x:v>23.35125277777778</x:v>
      </x:c>
      <x:c r="G638" s="56" t="n">
        <x:f>F470</x:f>
        <x:v>23.909290277777778</x:v>
      </x:c>
      <x:c r="H638" s="57" t="n">
        <x:f>IF(ISNUMBER(G638),IF(G638=0,"n.a.",F638/G638-1),"n.a.")</x:f>
        <x:v>-0.023339776861493022</x:v>
      </x:c>
      <x:c r="I638" s="58" t="n">
        <x:f>F638/J638</x:f>
        <x:v>0.1303979576053627</x:v>
      </x:c>
      <x:c r="J638" s="56" t="n">
        <x:v>179.07682916666667</x:v>
      </x:c>
    </x:row>
    <x:row r="639" ht="65" customHeight="1">
      <x:c r="A639" s="61" t="n">
        <x:v>45901</x:v>
      </x:c>
      <x:c r="B639" s="32" t="str">
        <x:v>Extracción de petróleo</x:v>
      </x:c>
      <x:c r="C639" s="32" t="str">
        <x:v>Petróleos y minerales</x:v>
      </x:c>
      <x:c r="D639" s="62" t="n">
        <x:v>30</x:v>
      </x:c>
      <x:c r="E639" s="2" t="str">
        <x:v>Completo</x:v>
      </x:c>
      <x:c r="F639" s="56" t="n">
        <x:v>155.7255763888889</x:v>
      </x:c>
      <x:c r="G639" s="56" t="n">
        <x:f>F471</x:f>
        <x:v>144.58456527777778</x:v>
      </x:c>
      <x:c r="H639" s="57" t="n">
        <x:f>IF(ISNUMBER(G639),IF(G639=0,"n.a.",F639/G639-1),"n.a.")</x:f>
        <x:v>0.07705532806843429</x:v>
      </x:c>
      <x:c r="I639" s="58" t="n">
        <x:f>F639/J639</x:f>
        <x:v>0.8696020423946373</x:v>
      </x:c>
      <x:c r="J639" s="56" t="n">
        <x:v>179.07682916666667</x:v>
      </x:c>
    </x:row>
    <x:row r="640" ht="65" customHeight="1">
      <x:c r="A640" s="61" t="n">
        <x:v>45931</x:v>
      </x:c>
      <x:c r="B640" s="32" t="str">
        <x:v>Cargas y puertos</x:v>
      </x:c>
      <x:c r="C640" s="32" t="str">
        <x:v>Alimentación, comercios y servicios</x:v>
      </x:c>
      <x:c r="D640" s="62" t="n">
        <x:v>31</x:v>
      </x:c>
      <x:c r="E640" s="2" t="str">
        <x:v>Completo</x:v>
      </x:c>
      <x:c r="F640" s="56" t="n">
        <x:v>9.690801075268817</x:v>
      </x:c>
      <x:c r="G640" s="56" t="n">
        <x:f>F472</x:f>
        <x:v>9.916600806451614</x:v>
      </x:c>
      <x:c r="H640" s="57" t="n">
        <x:f>IF(ISNUMBER(G640),IF(G640=0,"n.a.",F640/G640-1),"n.a.")</x:f>
        <x:v>-0.022769872014601455</x:v>
      </x:c>
      <x:c r="I640" s="58" t="n">
        <x:f>F640/J640</x:f>
        <x:v>0.02353419866183077</x:v>
      </x:c>
      <x:c r="J640" s="56" t="n">
        <x:v>411.77527284946234</x:v>
      </x:c>
    </x:row>
    <x:row r="641" ht="65" customHeight="1">
      <x:c r="A641" s="61" t="n">
        <x:v>45931</x:v>
      </x:c>
      <x:c r="B641" s="32" t="str">
        <x:v>Comercio y servicios: principalmente supermercados y centros comerciales</x:v>
      </x:c>
      <x:c r="C641" s="32" t="str">
        <x:v>Alimentación, comercios y servicios</x:v>
      </x:c>
      <x:c r="D641" s="62" t="n">
        <x:v>31</x:v>
      </x:c>
      <x:c r="E641" s="2" t="str">
        <x:v>Completo</x:v>
      </x:c>
      <x:c r="F641" s="56" t="n">
        <x:v>48.259151881720435</x:v>
      </x:c>
      <x:c r="G641" s="56" t="n">
        <x:f>F473</x:f>
        <x:v>43.676810483870966</x:v>
      </x:c>
      <x:c r="H641" s="57" t="n">
        <x:f>IF(ISNUMBER(G641),IF(G641=0,"n.a.",F641/G641-1),"n.a.")</x:f>
        <x:v>0.10491474416479285</x:v>
      </x:c>
      <x:c r="I641" s="58" t="n">
        <x:f>F641/J641</x:f>
        <x:v>0.11719778982300162</x:v>
      </x:c>
      <x:c r="J641" s="56" t="n">
        <x:v>411.77527284946234</x:v>
      </x:c>
    </x:row>
    <x:row r="642" ht="65" customHeight="1">
      <x:c r="A642" s="61" t="n">
        <x:v>45931</x:v>
      </x:c>
      <x:c r="B642" s="32" t="str">
        <x:v>Alimentación y artículos de consumo masivo</x:v>
      </x:c>
      <x:c r="C642" s="32" t="str">
        <x:v>Alimentación, comercios y servicios</x:v>
      </x:c>
      <x:c r="D642" s="62" t="n">
        <x:v>31</x:v>
      </x:c>
      <x:c r="E642" s="2" t="str">
        <x:v>Completo</x:v>
      </x:c>
      <x:c r="F642" s="56" t="n">
        <x:v>281.7715766129033</x:v>
      </x:c>
      <x:c r="G642" s="56" t="n">
        <x:f>F474</x:f>
        <x:v>287.3545564516129</x:v>
      </x:c>
      <x:c r="H642" s="57" t="n">
        <x:f>IF(ISNUMBER(G642),IF(G642=0,"n.a.",F642/G642-1),"n.a.")</x:f>
        <x:v>-0.019428889201030364</x:v>
      </x:c>
      <x:c r="I642" s="58" t="n">
        <x:f>F642/J642</x:f>
        <x:v>0.6842848397939474</x:v>
      </x:c>
      <x:c r="J642" s="56" t="n">
        <x:v>411.77527284946234</x:v>
      </x:c>
    </x:row>
    <x:row r="643" ht="65" customHeight="1">
      <x:c r="A643" s="61" t="n">
        <x:v>45931</x:v>
      </x:c>
      <x:c r="B643" s="32" t="str">
        <x:v>Servicios públicos y transporte: agua y transporte en GBA</x:v>
      </x:c>
      <x:c r="C643" s="32" t="str">
        <x:v>Alimentación, comercios y servicios</x:v>
      </x:c>
      <x:c r="D643" s="62" t="n">
        <x:v>31</x:v>
      </x:c>
      <x:c r="E643" s="2" t="str">
        <x:v>Completo</x:v>
      </x:c>
      <x:c r="F643" s="56" t="n">
        <x:v>72.0537432795699</x:v>
      </x:c>
      <x:c r="G643" s="56" t="n">
        <x:f>F475</x:f>
        <x:v>73.76425537634408</x:v>
      </x:c>
      <x:c r="H643" s="57" t="n">
        <x:f>IF(ISNUMBER(G643),IF(G643=0,"n.a.",F643/G643-1),"n.a.")</x:f>
        <x:v>-0.02318890210505309</x:v>
      </x:c>
      <x:c r="I643" s="58" t="n">
        <x:f>F643/J643</x:f>
        <x:v>0.17498317172122052</x:v>
      </x:c>
      <x:c r="J643" s="56" t="n">
        <x:v>411.77527284946234</x:v>
      </x:c>
    </x:row>
    <x:row r="644" ht="65" customHeight="1">
      <x:c r="A644" s="61" t="n">
        <x:v>45931</x:v>
      </x:c>
      <x:c r="B644" s="32" t="str">
        <x:v>Industria automotriz</x:v>
      </x:c>
      <x:c r="C644" s="32" t="str">
        <x:v>Industrias sin Aluar</x:v>
      </x:c>
      <x:c r="D644" s="62" t="n">
        <x:v>31</x:v>
      </x:c>
      <x:c r="E644" s="2" t="str">
        <x:v>Completo</x:v>
      </x:c>
      <x:c r="F644" s="56" t="n">
        <x:v>41.631485215053765</x:v>
      </x:c>
      <x:c r="G644" s="56" t="n">
        <x:f>F476</x:f>
        <x:v>42.818172043010755</x:v>
      </x:c>
      <x:c r="H644" s="57" t="n">
        <x:f>IF(ISNUMBER(G644),IF(G644=0,"n.a.",F644/G644-1),"n.a.")</x:f>
        <x:v>-0.027714560695514145</x:v>
      </x:c>
      <x:c r="I644" s="58" t="n">
        <x:f>F644/J644</x:f>
        <x:v>0.034979408148435594</x:v>
      </x:c>
      <x:c r="J644" s="56" t="n">
        <x:v>1190.1712298387095</x:v>
      </x:c>
    </x:row>
    <x:row r="645" ht="65" customHeight="1">
      <x:c r="A645" s="61" t="n">
        <x:v>45931</x:v>
      </x:c>
      <x:c r="B645" s="32" t="str">
        <x:v>Derivados de petróleo</x:v>
      </x:c>
      <x:c r="C645" s="32" t="str">
        <x:v>Industrias sin Aluar</x:v>
      </x:c>
      <x:c r="D645" s="62" t="n">
        <x:v>31</x:v>
      </x:c>
      <x:c r="E645" s="2" t="str">
        <x:v>Completo</x:v>
      </x:c>
      <x:c r="F645" s="56" t="n">
        <x:v>193.04855107526882</x:v>
      </x:c>
      <x:c r="G645" s="56" t="n">
        <x:f>F477</x:f>
        <x:v>149.40455913978496</x:v>
      </x:c>
      <x:c r="H645" s="57" t="n">
        <x:f>IF(ISNUMBER(G645),IF(G645=0,"n.a.",F645/G645-1),"n.a.")</x:f>
        <x:v>0.29211954566024945</x:v>
      </x:c>
      <x:c r="I645" s="58" t="n">
        <x:f>F645/J645</x:f>
        <x:v>0.1622023337779981</x:v>
      </x:c>
      <x:c r="J645" s="56" t="n">
        <x:v>1190.1712298387095</x:v>
      </x:c>
    </x:row>
    <x:row r="646" ht="65" customHeight="1">
      <x:c r="A646" s="61" t="n">
        <x:v>45931</x:v>
      </x:c>
      <x:c r="B646" s="32" t="str">
        <x:v>Construcción: elaboración de cemento y canteras</x:v>
      </x:c>
      <x:c r="C646" s="32" t="str">
        <x:v>Industrias sin Aluar</x:v>
      </x:c>
      <x:c r="D646" s="62" t="n">
        <x:v>31</x:v>
      </x:c>
      <x:c r="E646" s="2" t="str">
        <x:v>Completo</x:v>
      </x:c>
      <x:c r="F646" s="56" t="n">
        <x:v>148.12838978494622</x:v>
      </x:c>
      <x:c r="G646" s="56" t="n">
        <x:f>F478</x:f>
        <x:v>172.92159543010752</x:v>
      </x:c>
      <x:c r="H646" s="57" t="n">
        <x:f>IF(ISNUMBER(G646),IF(G646=0,"n.a.",F646/G646-1),"n.a.")</x:f>
        <x:v>-0.1433783072813618</x:v>
      </x:c>
      <x:c r="I646" s="58" t="n">
        <x:f>F646/J646</x:f>
        <x:v>0.12445972988695114</x:v>
      </x:c>
      <x:c r="J646" s="56" t="n">
        <x:v>1190.1712298387095</x:v>
      </x:c>
    </x:row>
    <x:row r="647" ht="65" customHeight="1">
      <x:c r="A647" s="61" t="n">
        <x:v>45931</x:v>
      </x:c>
      <x:c r="B647" s="32" t="str">
        <x:v>Madera y papel</x:v>
      </x:c>
      <x:c r="C647" s="32" t="str">
        <x:v>Industrias sin Aluar</x:v>
      </x:c>
      <x:c r="D647" s="62" t="n">
        <x:v>31</x:v>
      </x:c>
      <x:c r="E647" s="2" t="str">
        <x:v>Completo</x:v>
      </x:c>
      <x:c r="F647" s="56" t="n">
        <x:v>101.0890241935484</x:v>
      </x:c>
      <x:c r="G647" s="56" t="n">
        <x:f>F479</x:f>
        <x:v>98.67534005376345</x:v>
      </x:c>
      <x:c r="H647" s="57" t="n">
        <x:f>IF(ISNUMBER(G647),IF(G647=0,"n.a.",F647/G647-1),"n.a.")</x:f>
        <x:v>0.024460864674698435</x:v>
      </x:c>
      <x:c r="I647" s="58" t="n">
        <x:f>F647/J647</x:f>
        <x:v>0.08493653825529614</x:v>
      </x:c>
      <x:c r="J647" s="56" t="n">
        <x:v>1190.1712298387095</x:v>
      </x:c>
    </x:row>
    <x:row r="648" ht="65" customHeight="1">
      <x:c r="A648" s="61" t="n">
        <x:v>45931</x:v>
      </x:c>
      <x:c r="B648" s="32" t="str">
        <x:v>Productos metálicos no automotores</x:v>
      </x:c>
      <x:c r="C648" s="32" t="str">
        <x:v>Industrias sin Aluar</x:v>
      </x:c>
      <x:c r="D648" s="62" t="n">
        <x:v>31</x:v>
      </x:c>
      <x:c r="E648" s="2" t="str">
        <x:v>Completo</x:v>
      </x:c>
      <x:c r="F648" s="56" t="n">
        <x:v>44.82654301075269</x:v>
      </x:c>
      <x:c r="G648" s="56" t="n">
        <x:f>F480</x:f>
        <x:v>43.676311827956994</x:v>
      </x:c>
      <x:c r="H648" s="57" t="n">
        <x:f>IF(ISNUMBER(G648),IF(G648=0,"n.a.",F648/G648-1),"n.a.")</x:f>
        <x:v>0.026335355130866045</x:v>
      </x:c>
      <x:c r="I648" s="58" t="n">
        <x:f>F648/J648</x:f>
        <x:v>0.037663944386243924</x:v>
      </x:c>
      <x:c r="J648" s="56" t="n">
        <x:v>1190.1712298387095</x:v>
      </x:c>
    </x:row>
    <x:row r="649" ht="65" customHeight="1">
      <x:c r="A649" s="61" t="n">
        <x:v>45931</x:v>
      </x:c>
      <x:c r="B649" s="32" t="str">
        <x:v>Gran siderurgia</x:v>
      </x:c>
      <x:c r="C649" s="32" t="str">
        <x:v>Industrias sin Aluar</x:v>
      </x:c>
      <x:c r="D649" s="62" t="n">
        <x:v>31</x:v>
      </x:c>
      <x:c r="E649" s="2" t="str">
        <x:v>Completo</x:v>
      </x:c>
      <x:c r="F649" s="56" t="n">
        <x:v>287.5612244623656</x:v>
      </x:c>
      <x:c r="G649" s="56" t="n">
        <x:f>F481</x:f>
        <x:v>295.38708467741935</x:v>
      </x:c>
      <x:c r="H649" s="57" t="n">
        <x:f>IF(ISNUMBER(G649),IF(G649=0,"n.a.",F649/G649-1),"n.a.")</x:f>
        <x:v>-0.02649357612774461</x:v>
      </x:c>
      <x:c r="I649" s="58" t="n">
        <x:f>F649/J649</x:f>
        <x:v>0.24161332189262846</x:v>
      </x:c>
      <x:c r="J649" s="56" t="n">
        <x:v>1190.1712298387095</x:v>
      </x:c>
    </x:row>
    <x:row r="650" ht="65" customHeight="1">
      <x:c r="A650" s="61" t="n">
        <x:v>45931</x:v>
      </x:c>
      <x:c r="B650" s="32" t="str">
        <x:v>Industria textil</x:v>
      </x:c>
      <x:c r="C650" s="32" t="str">
        <x:v>Industrias sin Aluar</x:v>
      </x:c>
      <x:c r="D650" s="62" t="n">
        <x:v>31</x:v>
      </x:c>
      <x:c r="E650" s="2" t="str">
        <x:v>Completo</x:v>
      </x:c>
      <x:c r="F650" s="56" t="n">
        <x:v>43.08152419354839</x:v>
      </x:c>
      <x:c r="G650" s="56" t="n">
        <x:f>F482</x:f>
        <x:v>58.80636155913979</x:v>
      </x:c>
      <x:c r="H650" s="57" t="n">
        <x:f>IF(ISNUMBER(G650),IF(G650=0,"n.a.",F650/G650-1),"n.a.")</x:f>
        <x:v>-0.2674002769203363</x:v>
      </x:c>
      <x:c r="I650" s="58" t="n">
        <x:f>F650/J650</x:f>
        <x:v>0.03619775299003551</x:v>
      </x:c>
      <x:c r="J650" s="56" t="n">
        <x:v>1190.1712298387095</x:v>
      </x:c>
    </x:row>
    <x:row r="651" ht="65" customHeight="1">
      <x:c r="A651" s="61" t="n">
        <x:v>45931</x:v>
      </x:c>
      <x:c r="B651" s="32" t="str">
        <x:v>Químicas, caucho, plástico y otros minerales no metálicos</x:v>
      </x:c>
      <x:c r="C651" s="32" t="str">
        <x:v>Industrias sin Aluar</x:v>
      </x:c>
      <x:c r="D651" s="62" t="n">
        <x:v>31</x:v>
      </x:c>
      <x:c r="E651" s="2" t="str">
        <x:v>Completo</x:v>
      </x:c>
      <x:c r="F651" s="56" t="n">
        <x:v>330.8044879032258</x:v>
      </x:c>
      <x:c r="G651" s="56" t="n">
        <x:f>F483</x:f>
        <x:v>298.94210887096773</x:v>
      </x:c>
      <x:c r="H651" s="57" t="n">
        <x:f>IF(ISNUMBER(G651),IF(G651=0,"n.a.",F651/G651-1),"n.a.")</x:f>
        <x:v>0.10658377688106424</x:v>
      </x:c>
      <x:c r="I651" s="58" t="n">
        <x:f>F651/J651</x:f>
        <x:v>0.2779469706624113</x:v>
      </x:c>
      <x:c r="J651" s="56" t="n">
        <x:v>1190.1712298387095</x:v>
      </x:c>
    </x:row>
    <x:row r="652" ht="65" customHeight="1">
      <x:c r="A652" s="61" t="n">
        <x:v>45931</x:v>
      </x:c>
      <x:c r="B652" s="32" t="str">
        <x:v>Extracción de minerales</x:v>
      </x:c>
      <x:c r="C652" s="32" t="str">
        <x:v>Petróleos y minerales</x:v>
      </x:c>
      <x:c r="D652" s="62" t="n">
        <x:v>31</x:v>
      </x:c>
      <x:c r="E652" s="2" t="str">
        <x:v>Completo</x:v>
      </x:c>
      <x:c r="F652" s="56" t="n">
        <x:v>25.597166666666666</x:v>
      </x:c>
      <x:c r="G652" s="56" t="n">
        <x:f>F484</x:f>
        <x:v>24.063864247311827</x:v>
      </x:c>
      <x:c r="H652" s="57" t="n">
        <x:f>IF(ISNUMBER(G652),IF(G652=0,"n.a.",F652/G652-1),"n.a.")</x:f>
        <x:v>0.06371804642831314</x:v>
      </x:c>
      <x:c r="I652" s="58" t="n">
        <x:f>F652/J652</x:f>
        <x:v>0.1412201464935599</x:v>
      </x:c>
      <x:c r="J652" s="56" t="n">
        <x:v>181.25718817204302</x:v>
      </x:c>
    </x:row>
    <x:row r="653" ht="65" customHeight="1">
      <x:c r="A653" s="61" t="n">
        <x:v>45931</x:v>
      </x:c>
      <x:c r="B653" s="32" t="str">
        <x:v>Extracción de petróleo</x:v>
      </x:c>
      <x:c r="C653" s="32" t="str">
        <x:v>Petróleos y minerales</x:v>
      </x:c>
      <x:c r="D653" s="62" t="n">
        <x:v>31</x:v>
      </x:c>
      <x:c r="E653" s="2" t="str">
        <x:v>Completo</x:v>
      </x:c>
      <x:c r="F653" s="56" t="n">
        <x:v>155.66002150537636</x:v>
      </x:c>
      <x:c r="G653" s="56" t="n">
        <x:f>F485</x:f>
        <x:v>149.80320295698925</x:v>
      </x:c>
      <x:c r="H653" s="57" t="n">
        <x:f>IF(ISNUMBER(G653),IF(G653=0,"n.a.",F653/G653-1),"n.a.")</x:f>
        <x:v>0.03909675115603961</x:v>
      </x:c>
      <x:c r="I653" s="58" t="n">
        <x:f>F653/J653</x:f>
        <x:v>0.8587798535064401</x:v>
      </x:c>
      <x:c r="J653" s="56" t="n">
        <x:v>181.25718817204302</x:v>
      </x:c>
    </x:row>
    <x:row r="654" ht="65" customHeight="1">
      <x:c r="A654" s="61" t="n">
        <x:v>45962</x:v>
      </x:c>
      <x:c r="B654" s="32" t="str">
        <x:v>Cargas y puertos</x:v>
      </x:c>
      <x:c r="C654" s="32" t="str">
        <x:v>Alimentación, comercios y servicios</x:v>
      </x:c>
      <x:c r="D654" s="62" t="n">
        <x:v>30</x:v>
      </x:c>
      <x:c r="E654" s="2" t="str">
        <x:v>Completo</x:v>
      </x:c>
      <x:c r="F654" s="56" t="n">
        <x:v>10.149722222222222</x:v>
      </x:c>
      <x:c r="G654" s="56" t="n">
        <x:f>F486</x:f>
        <x:v>10.34502638888889</x:v>
      </x:c>
      <x:c r="H654" s="57" t="n">
        <x:f>IF(ISNUMBER(G654),IF(G654=0,"n.a.",F654/G654-1),"n.a.")</x:f>
        <x:v>-0.01887903996807927</x:v>
      </x:c>
      <x:c r="I654" s="58" t="n">
        <x:f>F654/J654</x:f>
        <x:v>0.02460563616140291</x:v>
      </x:c>
      <x:c r="J654" s="56" t="n">
        <x:v>412.49582638888893</x:v>
      </x:c>
    </x:row>
    <x:row r="655" ht="65" customHeight="1">
      <x:c r="A655" s="61" t="n">
        <x:v>45962</x:v>
      </x:c>
      <x:c r="B655" s="32" t="str">
        <x:v>Comercio y servicios: principalmente supermercados y centros comerciales</x:v>
      </x:c>
      <x:c r="C655" s="32" t="str">
        <x:v>Alimentación, comercios y servicios</x:v>
      </x:c>
      <x:c r="D655" s="62" t="n">
        <x:v>30</x:v>
      </x:c>
      <x:c r="E655" s="2" t="str">
        <x:v>Completo</x:v>
      </x:c>
      <x:c r="F655" s="56" t="n">
        <x:v>49.93407777777778</x:v>
      </x:c>
      <x:c r="G655" s="56" t="n">
        <x:f>F487</x:f>
        <x:v>48.0542125</x:v>
      </x:c>
      <x:c r="H655" s="57" t="n">
        <x:f>IF(ISNUMBER(G655),IF(G655=0,"n.a.",F655/G655-1),"n.a.")</x:f>
        <x:v>0.03911967713086084</x:v>
      </x:c>
      <x:c r="I655" s="58" t="n">
        <x:f>F655/J655</x:f>
        <x:v>0.12105353456522346</x:v>
      </x:c>
      <x:c r="J655" s="56" t="n">
        <x:v>412.49582638888893</x:v>
      </x:c>
    </x:row>
    <x:row r="656" ht="65" customHeight="1">
      <x:c r="A656" s="61" t="n">
        <x:v>45962</x:v>
      </x:c>
      <x:c r="B656" s="32" t="str">
        <x:v>Alimentación y artículos de consumo masivo</x:v>
      </x:c>
      <x:c r="C656" s="32" t="str">
        <x:v>Alimentación, comercios y servicios</x:v>
      </x:c>
      <x:c r="D656" s="62" t="n">
        <x:v>30</x:v>
      </x:c>
      <x:c r="E656" s="2" t="str">
        <x:v>Completo</x:v>
      </x:c>
      <x:c r="F656" s="56" t="n">
        <x:v>280.7010791666667</x:v>
      </x:c>
      <x:c r="G656" s="56" t="n">
        <x:f>F488</x:f>
        <x:v>294.1251888888889</x:v>
      </x:c>
      <x:c r="H656" s="57" t="n">
        <x:f>IF(ISNUMBER(G656),IF(G656=0,"n.a.",F656/G656-1),"n.a.")</x:f>
        <x:v>-0.04564080272394955</x:v>
      </x:c>
      <x:c r="I656" s="58" t="n">
        <x:f>F656/J656</x:f>
        <x:v>0.6804943497828994</x:v>
      </x:c>
      <x:c r="J656" s="56" t="n">
        <x:v>412.49582638888893</x:v>
      </x:c>
    </x:row>
    <x:row r="657" ht="65" customHeight="1">
      <x:c r="A657" s="61" t="n">
        <x:v>45962</x:v>
      </x:c>
      <x:c r="B657" s="32" t="str">
        <x:v>Servicios públicos y transporte: agua y transporte en GBA</x:v>
      </x:c>
      <x:c r="C657" s="32" t="str">
        <x:v>Alimentación, comercios y servicios</x:v>
      </x:c>
      <x:c r="D657" s="62" t="n">
        <x:v>30</x:v>
      </x:c>
      <x:c r="E657" s="2" t="str">
        <x:v>Completo</x:v>
      </x:c>
      <x:c r="F657" s="56" t="n">
        <x:v>71.71094722222223</x:v>
      </x:c>
      <x:c r="G657" s="56" t="n">
        <x:f>F489</x:f>
        <x:v>74.77258888888888</x:v>
      </x:c>
      <x:c r="H657" s="57" t="n">
        <x:f>IF(ISNUMBER(G657),IF(G657=0,"n.a.",F657/G657-1),"n.a.")</x:f>
        <x:v>-0.04094604335843188</x:v>
      </x:c>
      <x:c r="I657" s="58" t="n">
        <x:f>F657/J657</x:f>
        <x:v>0.1738464794904743</x:v>
      </x:c>
      <x:c r="J657" s="56" t="n">
        <x:v>412.49582638888893</x:v>
      </x:c>
    </x:row>
    <x:row r="658" ht="65" customHeight="1">
      <x:c r="A658" s="61" t="n">
        <x:v>45962</x:v>
      </x:c>
      <x:c r="B658" s="32" t="str">
        <x:v>Industria automotriz</x:v>
      </x:c>
      <x:c r="C658" s="32" t="str">
        <x:v>Industrias sin Aluar</x:v>
      </x:c>
      <x:c r="D658" s="62" t="n">
        <x:v>30</x:v>
      </x:c>
      <x:c r="E658" s="2" t="str">
        <x:v>Completo</x:v>
      </x:c>
      <x:c r="F658" s="56" t="n">
        <x:v>41.784724999999995</x:v>
      </x:c>
      <x:c r="G658" s="56" t="n">
        <x:f>F490</x:f>
        <x:v>45.94604583333333</x:v>
      </x:c>
      <x:c r="H658" s="57" t="n">
        <x:f>IF(ISNUMBER(G658),IF(G658=0,"n.a.",F658/G658-1),"n.a.")</x:f>
        <x:v>-0.09056972711924527</x:v>
      </x:c>
      <x:c r="I658" s="58" t="n">
        <x:f>F658/J658</x:f>
        <x:v>0.036853764053459546</x:v>
      </x:c>
      <x:c r="J658" s="56" t="n">
        <x:v>1133.7980277777779</x:v>
      </x:c>
    </x:row>
    <x:row r="659" ht="65" customHeight="1">
      <x:c r="A659" s="61" t="n">
        <x:v>45962</x:v>
      </x:c>
      <x:c r="B659" s="32" t="str">
        <x:v>Derivados de petróleo</x:v>
      </x:c>
      <x:c r="C659" s="32" t="str">
        <x:v>Industrias sin Aluar</x:v>
      </x:c>
      <x:c r="D659" s="62" t="n">
        <x:v>30</x:v>
      </x:c>
      <x:c r="E659" s="2" t="str">
        <x:v>Completo</x:v>
      </x:c>
      <x:c r="F659" s="56" t="n">
        <x:v>157.05166527777777</x:v>
      </x:c>
      <x:c r="G659" s="56" t="n">
        <x:f>F491</x:f>
        <x:v>165.5309777777778</x:v>
      </x:c>
      <x:c r="H659" s="57" t="n">
        <x:f>IF(ISNUMBER(G659),IF(G659=0,"n.a.",F659/G659-1),"n.a.")</x:f>
        <x:v>-0.051224928492740074</x:v>
      </x:c>
      <x:c r="I659" s="58" t="n">
        <x:f>F659/J659</x:f>
        <x:v>0.13851820291626013</x:v>
      </x:c>
      <x:c r="J659" s="56" t="n">
        <x:v>1133.7980277777779</x:v>
      </x:c>
    </x:row>
    <x:row r="660" ht="65" customHeight="1">
      <x:c r="A660" s="61" t="n">
        <x:v>45962</x:v>
      </x:c>
      <x:c r="B660" s="32" t="str">
        <x:v>Construcción: elaboración de cemento y canteras</x:v>
      </x:c>
      <x:c r="C660" s="32" t="str">
        <x:v>Industrias sin Aluar</x:v>
      </x:c>
      <x:c r="D660" s="62" t="n">
        <x:v>30</x:v>
      </x:c>
      <x:c r="E660" s="2" t="str">
        <x:v>Completo</x:v>
      </x:c>
      <x:c r="F660" s="56" t="n">
        <x:v>157.78632083333335</x:v>
      </x:c>
      <x:c r="G660" s="56" t="n">
        <x:f>F492</x:f>
        <x:v>163.7979222222222</x:v>
      </x:c>
      <x:c r="H660" s="57" t="n">
        <x:f>IF(ISNUMBER(G660),IF(G660=0,"n.a.",F660/G660-1),"n.a.")</x:f>
        <x:v>-0.036701328730733285</x:v>
      </x:c>
      <x:c r="I660" s="58" t="n">
        <x:f>F660/J660</x:f>
        <x:v>0.13916616272705243</x:v>
      </x:c>
      <x:c r="J660" s="56" t="n">
        <x:v>1133.7980277777779</x:v>
      </x:c>
    </x:row>
    <x:row r="661" ht="65" customHeight="1">
      <x:c r="A661" s="61" t="n">
        <x:v>45962</x:v>
      </x:c>
      <x:c r="B661" s="32" t="str">
        <x:v>Madera y papel</x:v>
      </x:c>
      <x:c r="C661" s="32" t="str">
        <x:v>Industrias sin Aluar</x:v>
      </x:c>
      <x:c r="D661" s="62" t="n">
        <x:v>30</x:v>
      </x:c>
      <x:c r="E661" s="2" t="str">
        <x:v>Completo</x:v>
      </x:c>
      <x:c r="F661" s="56" t="n">
        <x:v>102.12523055555556</x:v>
      </x:c>
      <x:c r="G661" s="56" t="n">
        <x:f>F493</x:f>
        <x:v>108.59955416666666</x:v>
      </x:c>
      <x:c r="H661" s="57" t="n">
        <x:f>IF(ISNUMBER(G661),IF(G661=0,"n.a.",F661/G661-1),"n.a.")</x:f>
        <x:v>-0.059616484255313074</x:v>
      </x:c>
      <x:c r="I661" s="58" t="n">
        <x:f>F661/J661</x:f>
        <x:v>0.09007356517961054</x:v>
      </x:c>
      <x:c r="J661" s="56" t="n">
        <x:v>1133.7980277777779</x:v>
      </x:c>
    </x:row>
    <x:row r="662" ht="65" customHeight="1">
      <x:c r="A662" s="61" t="n">
        <x:v>45962</x:v>
      </x:c>
      <x:c r="B662" s="32" t="str">
        <x:v>Productos metálicos no automotores</x:v>
      </x:c>
      <x:c r="C662" s="32" t="str">
        <x:v>Industrias sin Aluar</x:v>
      </x:c>
      <x:c r="D662" s="62" t="n">
        <x:v>30</x:v>
      </x:c>
      <x:c r="E662" s="2" t="str">
        <x:v>Completo</x:v>
      </x:c>
      <x:c r="F662" s="56" t="n">
        <x:v>41.39710138888889</x:v>
      </x:c>
      <x:c r="G662" s="56" t="n">
        <x:f>F494</x:f>
        <x:v>44.630475000000004</x:v>
      </x:c>
      <x:c r="H662" s="57" t="n">
        <x:f>IF(ISNUMBER(G662),IF(G662=0,"n.a.",F662/G662-1),"n.a.")</x:f>
        <x:v>-0.07244766297269101</x:v>
      </x:c>
      <x:c r="I662" s="58" t="n">
        <x:f>F662/J662</x:f>
        <x:v>0.03651188339957374</x:v>
      </x:c>
      <x:c r="J662" s="56" t="n">
        <x:v>1133.7980277777779</x:v>
      </x:c>
    </x:row>
    <x:row r="663" ht="65" customHeight="1">
      <x:c r="A663" s="61" t="n">
        <x:v>45962</x:v>
      </x:c>
      <x:c r="B663" s="32" t="str">
        <x:v>Gran siderurgia</x:v>
      </x:c>
      <x:c r="C663" s="32" t="str">
        <x:v>Industrias sin Aluar</x:v>
      </x:c>
      <x:c r="D663" s="62" t="n">
        <x:v>30</x:v>
      </x:c>
      <x:c r="E663" s="2" t="str">
        <x:v>Completo</x:v>
      </x:c>
      <x:c r="F663" s="56" t="n">
        <x:v>280.3812277777778</x:v>
      </x:c>
      <x:c r="G663" s="56" t="n">
        <x:f>F495</x:f>
        <x:v>292.23266944444447</x:v>
      </x:c>
      <x:c r="H663" s="57" t="n">
        <x:f>IF(ISNUMBER(G663),IF(G663=0,"n.a.",F663/G663-1),"n.a.")</x:f>
        <x:v>-0.04055481438539077</x:v>
      </x:c>
      <x:c r="I663" s="58" t="n">
        <x:f>F663/J663</x:f>
        <x:v>0.2472938044594411</x:v>
      </x:c>
      <x:c r="J663" s="56" t="n">
        <x:v>1133.7980277777779</x:v>
      </x:c>
    </x:row>
    <x:row r="664" ht="65" customHeight="1">
      <x:c r="A664" s="61" t="n">
        <x:v>45962</x:v>
      </x:c>
      <x:c r="B664" s="32" t="str">
        <x:v>Industria textil</x:v>
      </x:c>
      <x:c r="C664" s="32" t="str">
        <x:v>Industrias sin Aluar</x:v>
      </x:c>
      <x:c r="D664" s="62" t="n">
        <x:v>30</x:v>
      </x:c>
      <x:c r="E664" s="2" t="str">
        <x:v>Completo</x:v>
      </x:c>
      <x:c r="F664" s="56" t="n">
        <x:v>43.06385416666667</x:v>
      </x:c>
      <x:c r="G664" s="56" t="n">
        <x:f>F496</x:f>
        <x:v>60.52300138888889</x:v>
      </x:c>
      <x:c r="H664" s="57" t="n">
        <x:f>IF(ISNUMBER(G664),IF(G664=0,"n.a.",F664/G664-1),"n.a.")</x:f>
        <x:v>-0.28847127243473847</x:v>
      </x:c>
      <x:c r="I664" s="58" t="n">
        <x:f>F664/J664</x:f>
        <x:v>0.03798194485403277</x:v>
      </x:c>
      <x:c r="J664" s="56" t="n">
        <x:v>1133.7980277777779</x:v>
      </x:c>
    </x:row>
    <x:row r="665" ht="65" customHeight="1">
      <x:c r="A665" s="61" t="n">
        <x:v>45962</x:v>
      </x:c>
      <x:c r="B665" s="32" t="str">
        <x:v>Químicas, caucho, plástico y otros minerales no metálicos</x:v>
      </x:c>
      <x:c r="C665" s="32" t="str">
        <x:v>Industrias sin Aluar</x:v>
      </x:c>
      <x:c r="D665" s="62" t="n">
        <x:v>30</x:v>
      </x:c>
      <x:c r="E665" s="2" t="str">
        <x:v>Completo</x:v>
      </x:c>
      <x:c r="F665" s="56" t="n">
        <x:v>310.2079027777778</x:v>
      </x:c>
      <x:c r="G665" s="56" t="n">
        <x:f>F497</x:f>
        <x:v>317.8063902777778</x:v>
      </x:c>
      <x:c r="H665" s="57" t="n">
        <x:f>IF(ISNUMBER(G665),IF(G665=0,"n.a.",F665/G665-1),"n.a.")</x:f>
        <x:v>-0.023909171534777895</x:v>
      </x:c>
      <x:c r="I665" s="58" t="n">
        <x:f>F665/J665</x:f>
        <x:v>0.2736006724105697</x:v>
      </x:c>
      <x:c r="J665" s="56" t="n">
        <x:v>1133.7980277777779</x:v>
      </x:c>
    </x:row>
    <x:row r="666" ht="65" customHeight="1">
      <x:c r="A666" s="61" t="n">
        <x:v>45962</x:v>
      </x:c>
      <x:c r="B666" s="32" t="str">
        <x:v>Extracción de minerales</x:v>
      </x:c>
      <x:c r="C666" s="32" t="str">
        <x:v>Petróleos y minerales</x:v>
      </x:c>
      <x:c r="D666" s="62" t="n">
        <x:v>30</x:v>
      </x:c>
      <x:c r="E666" s="2" t="str">
        <x:v>Completo</x:v>
      </x:c>
      <x:c r="F666" s="56" t="n">
        <x:v>25.129833333333334</x:v>
      </x:c>
      <x:c r="G666" s="56" t="n">
        <x:f>F498</x:f>
        <x:v>24.36278472222222</x:v>
      </x:c>
      <x:c r="H666" s="57" t="n">
        <x:f>IF(ISNUMBER(G666),IF(G666=0,"n.a.",F666/G666-1),"n.a.")</x:f>
        <x:v>0.03148443906789766</x:v>
      </x:c>
      <x:c r="I666" s="58" t="n">
        <x:f>F666/J666</x:f>
        <x:v>0.1307204662469355</x:v>
      </x:c>
      <x:c r="J666" s="56" t="n">
        <x:v>192.2410013888889</x:v>
      </x:c>
    </x:row>
    <x:row r="667" ht="65" customHeight="1">
      <x:c r="A667" s="61" t="n">
        <x:v>45962</x:v>
      </x:c>
      <x:c r="B667" s="32" t="str">
        <x:v>Extracción de petróleo</x:v>
      </x:c>
      <x:c r="C667" s="32" t="str">
        <x:v>Petróleos y minerales</x:v>
      </x:c>
      <x:c r="D667" s="62" t="n">
        <x:v>30</x:v>
      </x:c>
      <x:c r="E667" s="2" t="str">
        <x:v>Completo</x:v>
      </x:c>
      <x:c r="F667" s="56" t="n">
        <x:v>167.11116805555557</x:v>
      </x:c>
      <x:c r="G667" s="56" t="n">
        <x:f>F499</x:f>
        <x:v>146.2797388888889</x:v>
      </x:c>
      <x:c r="H667" s="57" t="n">
        <x:f>IF(ISNUMBER(G667),IF(G667=0,"n.a.",F667/G667-1),"n.a.")</x:f>
        <x:v>0.1424081648278701</x:v>
      </x:c>
      <x:c r="I667" s="58" t="n">
        <x:f>F667/J667</x:f>
        <x:v>0.8692795337530645</x:v>
      </x:c>
      <x:c r="J667" s="56" t="n">
        <x:v>192.2410013888889</x:v>
      </x:c>
    </x:row>
    <x:row r="668" ht="65" customHeight="1">
      <x:c r="A668" s="61" t="n">
        <x:v>45992</x:v>
      </x:c>
      <x:c r="B668" s="32" t="str">
        <x:v>Cargas y puertos</x:v>
      </x:c>
      <x:c r="C668" s="32" t="str">
        <x:v>Alimentación, comercios y servicios</x:v>
      </x:c>
      <x:c r="D668" s="62" t="n">
        <x:v>31</x:v>
      </x:c>
      <x:c r="E668" s="2" t="str">
        <x:v>Completo</x:v>
      </x:c>
      <x:c r="F668" s="56" t="n">
        <x:v>12.022153225806452</x:v>
      </x:c>
      <x:c r="G668" s="56" t="n">
        <x:f>F500</x:f>
        <x:v>10.494112903225806</x:v>
      </x:c>
      <x:c r="H668" s="57" t="n">
        <x:f>IF(ISNUMBER(G668),IF(G668=0,"n.a.",F668/G668-1),"n.a.")</x:f>
        <x:v>0.1456092893865224</x:v>
      </x:c>
      <x:c r="I668" s="58" t="n">
        <x:f>F668/J668</x:f>
        <x:v>0.028734354892115285</x:v>
      </x:c>
      <x:c r="J668" s="56" t="n">
        <x:v>418.3895295698925</x:v>
      </x:c>
    </x:row>
    <x:row r="669" ht="65" customHeight="1">
      <x:c r="A669" s="61" t="n">
        <x:v>45992</x:v>
      </x:c>
      <x:c r="B669" s="32" t="str">
        <x:v>Comercio y servicios: principalmente supermercados y centros comerciales</x:v>
      </x:c>
      <x:c r="C669" s="32" t="str">
        <x:v>Alimentación, comercios y servicios</x:v>
      </x:c>
      <x:c r="D669" s="62" t="n">
        <x:v>31</x:v>
      </x:c>
      <x:c r="E669" s="2" t="str">
        <x:v>Completo</x:v>
      </x:c>
      <x:c r="F669" s="56" t="n">
        <x:v>57.798616935483864</x:v>
      </x:c>
      <x:c r="G669" s="56" t="n">
        <x:f>F501</x:f>
        <x:v>49.697990591397854</x:v>
      </x:c>
      <x:c r="H669" s="57" t="n">
        <x:f>IF(ISNUMBER(G669),IF(G669=0,"n.a.",F669/G669-1),"n.a.")</x:f>
        <x:v>0.16299705979436796</x:v>
      </x:c>
      <x:c r="I669" s="58" t="n">
        <x:f>F669/J669</x:f>
        <x:v>0.13814546696448468</x:v>
      </x:c>
      <x:c r="J669" s="56" t="n">
        <x:v>418.3895295698925</x:v>
      </x:c>
    </x:row>
    <x:row r="670" ht="65" customHeight="1">
      <x:c r="A670" s="61" t="n">
        <x:v>45992</x:v>
      </x:c>
      <x:c r="B670" s="32" t="str">
        <x:v>Alimentación y artículos de consumo masivo</x:v>
      </x:c>
      <x:c r="C670" s="32" t="str">
        <x:v>Alimentación, comercios y servicios</x:v>
      </x:c>
      <x:c r="D670" s="62" t="n">
        <x:v>31</x:v>
      </x:c>
      <x:c r="E670" s="2" t="str">
        <x:v>Completo</x:v>
      </x:c>
      <x:c r="F670" s="56" t="n">
        <x:v>275.7989247311828</x:v>
      </x:c>
      <x:c r="G670" s="56" t="n">
        <x:f>F502</x:f>
        <x:v>265.6165067204301</x:v>
      </x:c>
      <x:c r="H670" s="57" t="n">
        <x:f>IF(ISNUMBER(G670),IF(G670=0,"n.a.",F670/G670-1),"n.a.")</x:f>
        <x:v>0.03833503473287547</x:v>
      </x:c>
      <x:c r="I670" s="58" t="n">
        <x:f>F670/J670</x:f>
        <x:v>0.6591917465398958</x:v>
      </x:c>
      <x:c r="J670" s="56" t="n">
        <x:v>418.3895295698925</x:v>
      </x:c>
    </x:row>
    <x:row r="671" ht="65" customHeight="1">
      <x:c r="A671" s="61" t="n">
        <x:v>45992</x:v>
      </x:c>
      <x:c r="B671" s="32" t="str">
        <x:v>Servicios públicos y transporte: agua y transporte en GBA</x:v>
      </x:c>
      <x:c r="C671" s="32" t="str">
        <x:v>Alimentación, comercios y servicios</x:v>
      </x:c>
      <x:c r="D671" s="62" t="n">
        <x:v>31</x:v>
      </x:c>
      <x:c r="E671" s="2" t="str">
        <x:v>Completo</x:v>
      </x:c>
      <x:c r="F671" s="56" t="n">
        <x:v>72.76983467741937</x:v>
      </x:c>
      <x:c r="G671" s="56" t="n">
        <x:f>F503</x:f>
        <x:v>74.30209139784945</x:v>
      </x:c>
      <x:c r="H671" s="57" t="n">
        <x:f>IF(ISNUMBER(G671),IF(G671=0,"n.a.",F671/G671-1),"n.a.")</x:f>
        <x:v>-0.020621986428694727</x:v>
      </x:c>
      <x:c r="I671" s="58" t="n">
        <x:f>F671/J671</x:f>
        <x:v>0.17392843160350427</x:v>
      </x:c>
      <x:c r="J671" s="56" t="n">
        <x:v>418.3895295698925</x:v>
      </x:c>
    </x:row>
    <x:row r="672" ht="65" customHeight="1">
      <x:c r="A672" s="61" t="n">
        <x:v>45992</x:v>
      </x:c>
      <x:c r="B672" s="32" t="str">
        <x:v>Industria automotriz</x:v>
      </x:c>
      <x:c r="C672" s="32" t="str">
        <x:v>Industrias sin Aluar</x:v>
      </x:c>
      <x:c r="D672" s="62" t="n">
        <x:v>31</x:v>
      </x:c>
      <x:c r="E672" s="2" t="str">
        <x:v>Completo</x:v>
      </x:c>
      <x:c r="F672" s="56" t="n">
        <x:v>37.71857795698925</x:v>
      </x:c>
      <x:c r="G672" s="56" t="n">
        <x:f>F504</x:f>
        <x:v>38.89055107526882</x:v>
      </x:c>
      <x:c r="H672" s="57" t="n">
        <x:f>IF(ISNUMBER(G672),IF(G672=0,"n.a.",F672/G672-1),"n.a.")</x:f>
        <x:v>-0.030135163577685753</x:v>
      </x:c>
      <x:c r="I672" s="58" t="n">
        <x:f>F672/J672</x:f>
        <x:v>0.03693546711939054</x:v>
      </x:c>
      <x:c r="J672" s="56" t="n">
        <x:v>1021.2021370967742</x:v>
      </x:c>
    </x:row>
    <x:row r="673" ht="65" customHeight="1">
      <x:c r="A673" s="61" t="n">
        <x:v>45992</x:v>
      </x:c>
      <x:c r="B673" s="32" t="str">
        <x:v>Derivados de petróleo</x:v>
      </x:c>
      <x:c r="C673" s="32" t="str">
        <x:v>Industrias sin Aluar</x:v>
      </x:c>
      <x:c r="D673" s="62" t="n">
        <x:v>31</x:v>
      </x:c>
      <x:c r="E673" s="2" t="str">
        <x:v>Completo</x:v>
      </x:c>
      <x:c r="F673" s="56" t="n">
        <x:v>146.027688172043</x:v>
      </x:c>
      <x:c r="G673" s="56" t="n">
        <x:f>F505</x:f>
        <x:v>155.36422177419357</x:v>
      </x:c>
      <x:c r="H673" s="57" t="n">
        <x:f>IF(ISNUMBER(G673),IF(G673=0,"n.a.",F673/G673-1),"n.a.")</x:f>
        <x:v>-0.06009448955191421</x:v>
      </x:c>
      <x:c r="I673" s="58" t="n">
        <x:f>F673/J673</x:f>
        <x:v>0.1429958701292893</x:v>
      </x:c>
      <x:c r="J673" s="56" t="n">
        <x:v>1021.2021370967742</x:v>
      </x:c>
    </x:row>
    <x:row r="674" ht="65" customHeight="1">
      <x:c r="A674" s="61" t="n">
        <x:v>45992</x:v>
      </x:c>
      <x:c r="B674" s="32" t="str">
        <x:v>Construcción: elaboración de cemento y canteras</x:v>
      </x:c>
      <x:c r="C674" s="32" t="str">
        <x:v>Industrias sin Aluar</x:v>
      </x:c>
      <x:c r="D674" s="62" t="n">
        <x:v>31</x:v>
      </x:c>
      <x:c r="E674" s="2" t="str">
        <x:v>Completo</x:v>
      </x:c>
      <x:c r="F674" s="56" t="n">
        <x:v>142.4472244623656</x:v>
      </x:c>
      <x:c r="G674" s="56" t="n">
        <x:f>F506</x:f>
        <x:v>145.2862392473118</x:v>
      </x:c>
      <x:c r="H674" s="57" t="n">
        <x:f>IF(ISNUMBER(G674),IF(G674=0,"n.a.",F674/G674-1),"n.a.")</x:f>
        <x:v>-0.01954083745063795</x:v>
      </x:c>
      <x:c r="I674" s="58" t="n">
        <x:f>F674/J674</x:f>
        <x:v>0.13948974379091666</x:v>
      </x:c>
      <x:c r="J674" s="56" t="n">
        <x:v>1021.2021370967742</x:v>
      </x:c>
    </x:row>
    <x:row r="675" ht="65" customHeight="1">
      <x:c r="A675" s="61" t="n">
        <x:v>45992</x:v>
      </x:c>
      <x:c r="B675" s="32" t="str">
        <x:v>Madera y papel</x:v>
      </x:c>
      <x:c r="C675" s="32" t="str">
        <x:v>Industrias sin Aluar</x:v>
      </x:c>
      <x:c r="D675" s="62" t="n">
        <x:v>31</x:v>
      </x:c>
      <x:c r="E675" s="2" t="str">
        <x:v>Completo</x:v>
      </x:c>
      <x:c r="F675" s="56" t="n">
        <x:v>100.32076478494623</x:v>
      </x:c>
      <x:c r="G675" s="56" t="n">
        <x:f>F507</x:f>
        <x:v>102.41868951612904</x:v>
      </x:c>
      <x:c r="H675" s="57" t="n">
        <x:f>IF(ISNUMBER(G675),IF(G675=0,"n.a.",F675/G675-1),"n.a.")</x:f>
        <x:v>-0.020483807604786963</x:v>
      </x:c>
      <x:c r="I675" s="58" t="n">
        <x:f>F675/J675</x:f>
        <x:v>0.09823791112516966</x:v>
      </x:c>
      <x:c r="J675" s="56" t="n">
        <x:v>1021.2021370967742</x:v>
      </x:c>
    </x:row>
    <x:row r="676" ht="65" customHeight="1">
      <x:c r="A676" s="61" t="n">
        <x:v>45992</x:v>
      </x:c>
      <x:c r="B676" s="32" t="str">
        <x:v>Productos metálicos no automotores</x:v>
      </x:c>
      <x:c r="C676" s="32" t="str">
        <x:v>Industrias sin Aluar</x:v>
      </x:c>
      <x:c r="D676" s="62" t="n">
        <x:v>31</x:v>
      </x:c>
      <x:c r="E676" s="2" t="str">
        <x:v>Completo</x:v>
      </x:c>
      <x:c r="F676" s="56" t="n">
        <x:v>33.93799462365591</x:v>
      </x:c>
      <x:c r="G676" s="56" t="n">
        <x:f>F508</x:f>
        <x:v>40.96575268817204</x:v>
      </x:c>
      <x:c r="H676" s="57" t="n">
        <x:f>IF(ISNUMBER(G676),IF(G676=0,"n.a.",F676/G676-1),"n.a.")</x:f>
        <x:v>-0.17155203074165015</x:v>
      </x:c>
      <x:c r="I676" s="58" t="n">
        <x:f>F676/J676</x:f>
        <x:v>0.03323337602890247</x:v>
      </x:c>
      <x:c r="J676" s="56" t="n">
        <x:v>1021.2021370967742</x:v>
      </x:c>
    </x:row>
    <x:row r="677" ht="65" customHeight="1">
      <x:c r="A677" s="61" t="n">
        <x:v>45992</x:v>
      </x:c>
      <x:c r="B677" s="32" t="str">
        <x:v>Gran siderurgia</x:v>
      </x:c>
      <x:c r="C677" s="32" t="str">
        <x:v>Industrias sin Aluar</x:v>
      </x:c>
      <x:c r="D677" s="62" t="n">
        <x:v>31</x:v>
      </x:c>
      <x:c r="E677" s="2" t="str">
        <x:v>Completo</x:v>
      </x:c>
      <x:c r="F677" s="56" t="n">
        <x:v>205.39506048387096</x:v>
      </x:c>
      <x:c r="G677" s="56" t="n">
        <x:f>F509</x:f>
        <x:v>156.9784879032258</x:v>
      </x:c>
      <x:c r="H677" s="57" t="n">
        <x:f>IF(ISNUMBER(G677),IF(G677=0,"n.a.",F677/G677-1),"n.a.")</x:f>
        <x:v>0.30842807334526645</x:v>
      </x:c>
      <x:c r="I677" s="58" t="n">
        <x:f>F677/J677</x:f>
        <x:v>0.20113066064256258</x:v>
      </x:c>
      <x:c r="J677" s="56" t="n">
        <x:v>1021.2021370967742</x:v>
      </x:c>
    </x:row>
    <x:row r="678" ht="65" customHeight="1">
      <x:c r="A678" s="61" t="n">
        <x:v>45992</x:v>
      </x:c>
      <x:c r="B678" s="32" t="str">
        <x:v>Industria textil</x:v>
      </x:c>
      <x:c r="C678" s="32" t="str">
        <x:v>Industrias sin Aluar</x:v>
      </x:c>
      <x:c r="D678" s="62" t="n">
        <x:v>31</x:v>
      </x:c>
      <x:c r="E678" s="2" t="str">
        <x:v>Completo</x:v>
      </x:c>
      <x:c r="F678" s="56" t="n">
        <x:v>31.13709811827957</x:v>
      </x:c>
      <x:c r="G678" s="56" t="n">
        <x:f>F510</x:f>
        <x:v>47.334602150537634</x:v>
      </x:c>
      <x:c r="H678" s="57" t="n">
        <x:f>IF(ISNUMBER(G678),IF(G678=0,"n.a.",F678/G678-1),"n.a.")</x:f>
        <x:v>-0.34219161662636033</x:v>
      </x:c>
      <x:c r="I678" s="58" t="n">
        <x:f>F678/J678</x:f>
        <x:v>0.03049063156761575</x:v>
      </x:c>
      <x:c r="J678" s="56" t="n">
        <x:v>1021.2021370967742</x:v>
      </x:c>
    </x:row>
    <x:row r="679" ht="65" customHeight="1">
      <x:c r="A679" s="61" t="n">
        <x:v>45992</x:v>
      </x:c>
      <x:c r="B679" s="32" t="str">
        <x:v>Químicas, caucho, plástico y otros minerales no metálicos</x:v>
      </x:c>
      <x:c r="C679" s="32" t="str">
        <x:v>Industrias sin Aluar</x:v>
      </x:c>
      <x:c r="D679" s="62" t="n">
        <x:v>31</x:v>
      </x:c>
      <x:c r="E679" s="2" t="str">
        <x:v>Completo</x:v>
      </x:c>
      <x:c r="F679" s="56" t="n">
        <x:v>324.21772849462366</x:v>
      </x:c>
      <x:c r="G679" s="56" t="n">
        <x:f>F511</x:f>
        <x:v>304.2543051075269</x:v>
      </x:c>
      <x:c r="H679" s="57" t="n">
        <x:f>IF(ISNUMBER(G679),IF(G679=0,"n.a.",F679/G679-1),"n.a.")</x:f>
        <x:v>0.0656142675780429</x:v>
      </x:c>
      <x:c r="I679" s="58" t="n">
        <x:f>F679/J679</x:f>
        <x:v>0.317486339596153</x:v>
      </x:c>
      <x:c r="J679" s="56" t="n">
        <x:v>1021.2021370967742</x:v>
      </x:c>
    </x:row>
    <x:row r="680" ht="65" customHeight="1">
      <x:c r="A680" s="61" t="n">
        <x:v>45992</x:v>
      </x:c>
      <x:c r="B680" s="32" t="str">
        <x:v>Extracción de minerales</x:v>
      </x:c>
      <x:c r="C680" s="32" t="str">
        <x:v>Petróleos y minerales</x:v>
      </x:c>
      <x:c r="D680" s="62" t="n">
        <x:v>31</x:v>
      </x:c>
      <x:c r="E680" s="2" t="str">
        <x:v>Completo</x:v>
      </x:c>
      <x:c r="F680" s="56" t="n">
        <x:v>24.229885752688173</x:v>
      </x:c>
      <x:c r="G680" s="56" t="n">
        <x:f>F512</x:f>
        <x:v>24.296728494623654</x:v>
      </x:c>
      <x:c r="H680" s="57" t="n">
        <x:f>IF(ISNUMBER(G680),IF(G680=0,"n.a.",F680/G680-1),"n.a.")</x:f>
        <x:v>-0.002751100501051873</x:v>
      </x:c>
      <x:c r="I680" s="58" t="n">
        <x:f>F680/J680</x:f>
        <x:v>0.13908071352657417</x:v>
      </x:c>
      <x:c r="J680" s="56" t="n">
        <x:v>174.21456317204303</x:v>
      </x:c>
    </x:row>
    <x:row r="681" ht="65" customHeight="1">
      <x:c r="A681" s="61" t="n">
        <x:v>45992</x:v>
      </x:c>
      <x:c r="B681" s="32" t="str">
        <x:v>Extracción de petróleo</x:v>
      </x:c>
      <x:c r="C681" s="32" t="str">
        <x:v>Petróleos y minerales</x:v>
      </x:c>
      <x:c r="D681" s="62" t="n">
        <x:v>31</x:v>
      </x:c>
      <x:c r="E681" s="2" t="str">
        <x:v>Completo</x:v>
      </x:c>
      <x:c r="F681" s="56" t="n">
        <x:v>149.98467741935485</x:v>
      </x:c>
      <x:c r="G681" s="56" t="n">
        <x:f>F513</x:f>
        <x:v>147.85826747311827</x:v>
      </x:c>
      <x:c r="H681" s="57" t="n">
        <x:f>IF(ISNUMBER(G681),IF(G681=0,"n.a.",F681/G681-1),"n.a.")</x:f>
        <x:v>0.014381407158197357</x:v>
      </x:c>
      <x:c r="I681" s="58" t="n">
        <x:f>F681/J681</x:f>
        <x:v>0.8609192864734259</x:v>
      </x:c>
      <x:c r="J681" s="56" t="n">
        <x:v>174.21456317204303</x:v>
      </x:c>
    </x:row>
    <x:row r="682" ht="65" customHeight="1">
      <x:c r="A682" s="61" t="n">
        <x:v>46023</x:v>
      </x:c>
      <x:c r="B682" s="32" t="str">
        <x:v>Cargas y puertos</x:v>
      </x:c>
      <x:c r="C682" s="32" t="str">
        <x:v>Alimentación, comercios y servicios</x:v>
      </x:c>
      <x:c r="D682" s="62" t="n">
        <x:v>31</x:v>
      </x:c>
      <x:c r="E682" s="2" t="str">
        <x:v>Completo</x:v>
      </x:c>
      <x:c r="F682" s="56" t="n">
        <x:v>11.815200268817204</x:v>
      </x:c>
      <x:c r="G682" s="56" t="n">
        <x:f>F514</x:f>
        <x:v>11.843099462365592</x:v>
      </x:c>
      <x:c r="H682" s="57" t="n">
        <x:f>IF(ISNUMBER(G682),IF(G682=0,"n.a.",F682/G682-1),"n.a.")</x:f>
        <x:v>-0.0023557341249260677</x:v>
      </x:c>
      <x:c r="I682" s="58" t="n">
        <x:f>F682/J682</x:f>
        <x:v>0.02877133781347057</x:v>
      </x:c>
      <x:c r="J682" s="56" t="n">
        <x:v>410.65870295698926</x:v>
      </x:c>
    </x:row>
    <x:row r="683" ht="65" customHeight="1">
      <x:c r="A683" s="61" t="n">
        <x:v>46023</x:v>
      </x:c>
      <x:c r="B683" s="32" t="str">
        <x:v>Comercio y servicios: principalmente supermercados y centros comerciales</x:v>
      </x:c>
      <x:c r="C683" s="32" t="str">
        <x:v>Alimentación, comercios y servicios</x:v>
      </x:c>
      <x:c r="D683" s="62" t="n">
        <x:v>31</x:v>
      </x:c>
      <x:c r="E683" s="2" t="str">
        <x:v>Completo</x:v>
      </x:c>
      <x:c r="F683" s="56" t="n">
        <x:v>57.17995833333333</x:v>
      </x:c>
      <x:c r="G683" s="56" t="n">
        <x:f>F515</x:f>
        <x:v>55.509069892473114</x:v>
      </x:c>
      <x:c r="H683" s="57" t="n">
        <x:f>IF(ISNUMBER(G683),IF(G683=0,"n.a.",F683/G683-1),"n.a.")</x:f>
        <x:v>0.030101178854138766</x:v>
      </x:c>
      <x:c r="I683" s="58" t="n">
        <x:f>F683/J683</x:f>
        <x:v>0.13923961168143595</x:v>
      </x:c>
      <x:c r="J683" s="56" t="n">
        <x:v>410.65870295698926</x:v>
      </x:c>
    </x:row>
    <x:row r="684" ht="65" customHeight="1">
      <x:c r="A684" s="61" t="n">
        <x:v>46023</x:v>
      </x:c>
      <x:c r="B684" s="32" t="str">
        <x:v>Alimentación y artículos de consumo masivo</x:v>
      </x:c>
      <x:c r="C684" s="32" t="str">
        <x:v>Alimentación, comercios y servicios</x:v>
      </x:c>
      <x:c r="D684" s="62" t="n">
        <x:v>31</x:v>
      </x:c>
      <x:c r="E684" s="2" t="str">
        <x:v>Completo</x:v>
      </x:c>
      <x:c r="F684" s="56" t="n">
        <x:v>267.87248387096776</x:v>
      </x:c>
      <x:c r="G684" s="56" t="n">
        <x:f>F516</x:f>
        <x:v>268.5709946236559</x:v>
      </x:c>
      <x:c r="H684" s="57" t="n">
        <x:f>IF(ISNUMBER(G684),IF(G684=0,"n.a.",F684/G684-1),"n.a.")</x:f>
        <x:v>-0.0026008421112896363</x:v>
      </x:c>
      <x:c r="I684" s="58" t="n">
        <x:f>F684/J684</x:f>
        <x:v>0.6522995420336279</x:v>
      </x:c>
      <x:c r="J684" s="56" t="n">
        <x:v>410.65870295698926</x:v>
      </x:c>
    </x:row>
    <x:row r="685" ht="65" customHeight="1">
      <x:c r="A685" s="61" t="n">
        <x:v>46023</x:v>
      </x:c>
      <x:c r="B685" s="32" t="str">
        <x:v>Servicios públicos y transporte: agua y transporte en GBA</x:v>
      </x:c>
      <x:c r="C685" s="32" t="str">
        <x:v>Alimentación, comercios y servicios</x:v>
      </x:c>
      <x:c r="D685" s="62" t="n">
        <x:v>31</x:v>
      </x:c>
      <x:c r="E685" s="2" t="str">
        <x:v>Completo</x:v>
      </x:c>
      <x:c r="F685" s="56" t="n">
        <x:v>73.79106048387096</x:v>
      </x:c>
      <x:c r="G685" s="56" t="n">
        <x:f>F517</x:f>
        <x:v>75.60832526881721</x:v>
      </x:c>
      <x:c r="H685" s="57" t="n">
        <x:f>IF(ISNUMBER(G685),IF(G685=0,"n.a.",F685/G685-1),"n.a.")</x:f>
        <x:v>-0.024035247156780182</x:v>
      </x:c>
      <x:c r="I685" s="58" t="n">
        <x:f>F685/J685</x:f>
        <x:v>0.17968950847146553</x:v>
      </x:c>
      <x:c r="J685" s="56" t="n">
        <x:v>410.65870295698926</x:v>
      </x:c>
    </x:row>
    <x:row r="686" ht="65" customHeight="1">
      <x:c r="A686" s="61" t="n">
        <x:v>46023</x:v>
      </x:c>
      <x:c r="B686" s="32" t="str">
        <x:v>Industria automotriz</x:v>
      </x:c>
      <x:c r="C686" s="32" t="str">
        <x:v>Industrias sin Aluar</x:v>
      </x:c>
      <x:c r="D686" s="62" t="n">
        <x:v>31</x:v>
      </x:c>
      <x:c r="E686" s="2" t="str">
        <x:v>Completo</x:v>
      </x:c>
      <x:c r="F686" s="56" t="n">
        <x:v>34.20643279569892</x:v>
      </x:c>
      <x:c r="G686" s="56" t="n">
        <x:f>F518</x:f>
        <x:v>34.79801344086021</x:v>
      </x:c>
      <x:c r="H686" s="57" t="n">
        <x:f>IF(ISNUMBER(G686),IF(G686=0,"n.a.",F686/G686-1),"n.a.")</x:f>
        <x:v>-0.017000414295680666</x:v>
      </x:c>
      <x:c r="I686" s="58" t="n">
        <x:f>F686/J686</x:f>
        <x:v>0.03213606073348081</x:v>
      </x:c>
      <x:c r="J686" s="56" t="n">
        <x:v>1064.425197580645</x:v>
      </x:c>
    </x:row>
    <x:row r="687" ht="65" customHeight="1">
      <x:c r="A687" s="61" t="n">
        <x:v>46023</x:v>
      </x:c>
      <x:c r="B687" s="32" t="str">
        <x:v>Derivados de petróleo</x:v>
      </x:c>
      <x:c r="C687" s="32" t="str">
        <x:v>Industrias sin Aluar</x:v>
      </x:c>
      <x:c r="D687" s="62" t="n">
        <x:v>31</x:v>
      </x:c>
      <x:c r="E687" s="2" t="str">
        <x:v>Completo</x:v>
      </x:c>
      <x:c r="F687" s="56" t="n">
        <x:v>146.23046236559136</x:v>
      </x:c>
      <x:c r="G687" s="56" t="n">
        <x:f>F519</x:f>
        <x:v>158.24590456989247</x:v>
      </x:c>
      <x:c r="H687" s="57" t="n">
        <x:f>IF(ISNUMBER(G687),IF(G687=0,"n.a.",F687/G687-1),"n.a.")</x:f>
        <x:v>-0.07592892995846379</x:v>
      </x:c>
      <x:c r="I687" s="58" t="n">
        <x:f>F687/J687</x:f>
        <x:v>0.1373797451412854</x:v>
      </x:c>
      <x:c r="J687" s="56" t="n">
        <x:v>1064.425197580645</x:v>
      </x:c>
    </x:row>
    <x:row r="688" ht="65" customHeight="1">
      <x:c r="A688" s="61" t="n">
        <x:v>46023</x:v>
      </x:c>
      <x:c r="B688" s="32" t="str">
        <x:v>Construcción: elaboración de cemento y canteras</x:v>
      </x:c>
      <x:c r="C688" s="32" t="str">
        <x:v>Industrias sin Aluar</x:v>
      </x:c>
      <x:c r="D688" s="62" t="n">
        <x:v>31</x:v>
      </x:c>
      <x:c r="E688" s="2" t="str">
        <x:v>Completo</x:v>
      </x:c>
      <x:c r="F688" s="56" t="n">
        <x:v>127.49079435483871</x:v>
      </x:c>
      <x:c r="G688" s="56" t="n">
        <x:f>F520</x:f>
        <x:v>145.85207123655914</x:v>
      </x:c>
      <x:c r="H688" s="57" t="n">
        <x:f>IF(ISNUMBER(G688),IF(G688=0,"n.a.",F688/G688-1),"n.a.")</x:f>
        <x:v>-0.12588972323841785</x:v>
      </x:c>
      <x:c r="I688" s="58" t="n">
        <x:f>F688/J688</x:f>
        <x:v>0.11977431072151926</x:v>
      </x:c>
      <x:c r="J688" s="56" t="n">
        <x:v>1064.425197580645</x:v>
      </x:c>
    </x:row>
    <x:row r="689" ht="65" customHeight="1">
      <x:c r="A689" s="61" t="n">
        <x:v>46023</x:v>
      </x:c>
      <x:c r="B689" s="32" t="str">
        <x:v>Madera y papel</x:v>
      </x:c>
      <x:c r="C689" s="32" t="str">
        <x:v>Industrias sin Aluar</x:v>
      </x:c>
      <x:c r="D689" s="62" t="n">
        <x:v>31</x:v>
      </x:c>
      <x:c r="E689" s="2" t="str">
        <x:v>Completo</x:v>
      </x:c>
      <x:c r="F689" s="56" t="n">
        <x:v>98.8301438172043</x:v>
      </x:c>
      <x:c r="G689" s="56" t="n">
        <x:f>F521</x:f>
        <x:v>92.00697983870968</x:v>
      </x:c>
      <x:c r="H689" s="57" t="n">
        <x:f>IF(ISNUMBER(G689),IF(G689=0,"n.a.",F689/G689-1),"n.a.")</x:f>
        <x:v>0.07415919955698769</x:v>
      </x:c>
      <x:c r="I689" s="58" t="n">
        <x:f>F689/J689</x:f>
        <x:v>0.09284836928122095</x:v>
      </x:c>
      <x:c r="J689" s="56" t="n">
        <x:v>1064.425197580645</x:v>
      </x:c>
    </x:row>
    <x:row r="690" ht="65" customHeight="1">
      <x:c r="A690" s="61" t="n">
        <x:v>46023</x:v>
      </x:c>
      <x:c r="B690" s="32" t="str">
        <x:v>Productos metálicos no automotores</x:v>
      </x:c>
      <x:c r="C690" s="32" t="str">
        <x:v>Industrias sin Aluar</x:v>
      </x:c>
      <x:c r="D690" s="62" t="n">
        <x:v>31</x:v>
      </x:c>
      <x:c r="E690" s="2" t="str">
        <x:v>Completo</x:v>
      </x:c>
      <x:c r="F690" s="56" t="n">
        <x:v>35.44790860215054</x:v>
      </x:c>
      <x:c r="G690" s="56" t="n">
        <x:f>F522</x:f>
        <x:v>40.152334677419354</x:v>
      </x:c>
      <x:c r="H690" s="57" t="n">
        <x:f>IF(ISNUMBER(G690),IF(G690=0,"n.a.",F690/G690-1),"n.a.")</x:f>
        <x:v>-0.11716444667698145</x:v>
      </x:c>
      <x:c r="I690" s="58" t="n">
        <x:f>F690/J690</x:f>
        <x:v>0.033302395210786866</x:v>
      </x:c>
      <x:c r="J690" s="56" t="n">
        <x:v>1064.425197580645</x:v>
      </x:c>
    </x:row>
    <x:row r="691" ht="65" customHeight="1">
      <x:c r="A691" s="61" t="n">
        <x:v>46023</x:v>
      </x:c>
      <x:c r="B691" s="32" t="str">
        <x:v>Gran siderurgia</x:v>
      </x:c>
      <x:c r="C691" s="32" t="str">
        <x:v>Industrias sin Aluar</x:v>
      </x:c>
      <x:c r="D691" s="62" t="n">
        <x:v>31</x:v>
      </x:c>
      <x:c r="E691" s="2" t="str">
        <x:v>Completo</x:v>
      </x:c>
      <x:c r="F691" s="56" t="n">
        <x:v>249.3529637096774</x:v>
      </x:c>
      <x:c r="G691" s="56" t="n">
        <x:f>F523</x:f>
        <x:v>229.55411693548388</x:v>
      </x:c>
      <x:c r="H691" s="57" t="n">
        <x:f>IF(ISNUMBER(G691),IF(G691=0,"n.a.",F691/G691-1),"n.a.")</x:f>
        <x:v>0.08624914699202701</x:v>
      </x:c>
      <x:c r="I691" s="58" t="n">
        <x:f>F691/J691</x:f>
        <x:v>0.2342606735320031</x:v>
      </x:c>
      <x:c r="J691" s="56" t="n">
        <x:v>1064.425197580645</x:v>
      </x:c>
    </x:row>
    <x:row r="692" ht="65" customHeight="1">
      <x:c r="A692" s="61" t="n">
        <x:v>46023</x:v>
      </x:c>
      <x:c r="B692" s="32" t="str">
        <x:v>Industria textil</x:v>
      </x:c>
      <x:c r="C692" s="32" t="str">
        <x:v>Industrias sin Aluar</x:v>
      </x:c>
      <x:c r="D692" s="62" t="n">
        <x:v>31</x:v>
      </x:c>
      <x:c r="E692" s="2" t="str">
        <x:v>Completo</x:v>
      </x:c>
      <x:c r="F692" s="56" t="n">
        <x:v>21.196896505376344</x:v>
      </x:c>
      <x:c r="G692" s="56" t="n">
        <x:f>F524</x:f>
        <x:v>33.99053494623656</x:v>
      </x:c>
      <x:c r="H692" s="57" t="n">
        <x:f>IF(ISNUMBER(G692),IF(G692=0,"n.a.",F692/G692-1),"n.a.")</x:f>
        <x:v>-0.37638826400043845</x:v>
      </x:c>
      <x:c r="I692" s="58" t="n">
        <x:f>F692/J692</x:f>
        <x:v>0.01991393716867585</x:v>
      </x:c>
      <x:c r="J692" s="56" t="n">
        <x:v>1064.425197580645</x:v>
      </x:c>
    </x:row>
    <x:row r="693" ht="65" customHeight="1">
      <x:c r="A693" s="61" t="n">
        <x:v>46023</x:v>
      </x:c>
      <x:c r="B693" s="32" t="str">
        <x:v>Químicas, caucho, plástico y otros minerales no metálicos</x:v>
      </x:c>
      <x:c r="C693" s="32" t="str">
        <x:v>Industrias sin Aluar</x:v>
      </x:c>
      <x:c r="D693" s="62" t="n">
        <x:v>31</x:v>
      </x:c>
      <x:c r="E693" s="2" t="str">
        <x:v>Completo</x:v>
      </x:c>
      <x:c r="F693" s="56" t="n">
        <x:v>351.6695954301075</x:v>
      </x:c>
      <x:c r="G693" s="56" t="n">
        <x:f>F525</x:f>
        <x:v>297.48990860215054</x:v>
      </x:c>
      <x:c r="H693" s="57" t="n">
        <x:f>IF(ISNUMBER(G693),IF(G693=0,"n.a.",F693/G693-1),"n.a.")</x:f>
        <x:v>0.18212277210523609</x:v>
      </x:c>
      <x:c r="I693" s="58" t="n">
        <x:f>F693/J693</x:f>
        <x:v>0.33038450821102777</x:v>
      </x:c>
      <x:c r="J693" s="56" t="n">
        <x:v>1064.425197580645</x:v>
      </x:c>
    </x:row>
    <x:row r="694" ht="65" customHeight="1">
      <x:c r="A694" s="61" t="n">
        <x:v>46023</x:v>
      </x:c>
      <x:c r="B694" s="32" t="str">
        <x:v>Extracción de minerales</x:v>
      </x:c>
      <x:c r="C694" s="32" t="str">
        <x:v>Petróleos y minerales</x:v>
      </x:c>
      <x:c r="D694" s="62" t="n">
        <x:v>31</x:v>
      </x:c>
      <x:c r="E694" s="2" t="str">
        <x:v>Completo</x:v>
      </x:c>
      <x:c r="F694" s="56" t="n">
        <x:v>23.650068548387097</x:v>
      </x:c>
      <x:c r="G694" s="56" t="n">
        <x:f>F526</x:f>
        <x:v>23.10956451612903</x:v>
      </x:c>
      <x:c r="H694" s="57" t="n">
        <x:f>IF(ISNUMBER(G694),IF(G694=0,"n.a.",F694/G694-1),"n.a.")</x:f>
        <x:v>0.023388758878637894</x:v>
      </x:c>
      <x:c r="I694" s="58" t="n">
        <x:f>F694/J694</x:f>
        <x:v>0.13721748398159198</x:v>
      </x:c>
      <x:c r="J694" s="56" t="n">
        <x:v>172.35462903225806</x:v>
      </x:c>
    </x:row>
    <x:row r="695" ht="65" customHeight="1">
      <x:c r="A695" s="61" t="n">
        <x:v>46023</x:v>
      </x:c>
      <x:c r="B695" s="32" t="str">
        <x:v>Extracción de petróleo</x:v>
      </x:c>
      <x:c r="C695" s="32" t="str">
        <x:v>Petróleos y minerales</x:v>
      </x:c>
      <x:c r="D695" s="62" t="n">
        <x:v>31</x:v>
      </x:c>
      <x:c r="E695" s="2" t="str">
        <x:v>Completo</x:v>
      </x:c>
      <x:c r="F695" s="56" t="n">
        <x:v>148.70456048387098</x:v>
      </x:c>
      <x:c r="G695" s="56" t="n">
        <x:f>F527</x:f>
        <x:v>143.25937365591398</x:v>
      </x:c>
      <x:c r="H695" s="57" t="n">
        <x:f>IF(ISNUMBER(G695),IF(G695=0,"n.a.",F695/G695-1),"n.a.")</x:f>
        <x:v>0.03800928825108141</x:v>
      </x:c>
      <x:c r="I695" s="58" t="n">
        <x:f>F695/J695</x:f>
        <x:v>0.8627825160184082</x:v>
      </x:c>
      <x:c r="J695" s="56" t="n">
        <x:v>172.35462903225806</x:v>
      </x:c>
    </x:row>
    <x:row r="696" ht="65" customHeight="1">
      <x:c r="A696" s="61" t="n">
        <x:v>46054</x:v>
      </x:c>
      <x:c r="B696" s="32" t="str">
        <x:v>Cargas y puertos</x:v>
      </x:c>
      <x:c r="C696" s="32" t="str">
        <x:v>Alimentación, comercios y servicios</x:v>
      </x:c>
      <x:c r="D696" s="62" t="n">
        <x:v>28</x:v>
      </x:c>
      <x:c r="E696" s="2" t="str">
        <x:v>Completo</x:v>
      </x:c>
      <x:c r="F696" s="56" t="n">
        <x:v>11.863586309523809</x:v>
      </x:c>
      <x:c r="G696" s="56" t="n">
        <x:f>F528</x:f>
        <x:v>12.233723214285714</x:v>
      </x:c>
      <x:c r="H696" s="57" t="n">
        <x:f>IF(ISNUMBER(G696),IF(G696=0,"n.a.",F696/G696-1),"n.a.")</x:f>
        <x:v>-0.03025545847969524</x:v>
      </x:c>
      <x:c r="I696" s="58" t="n">
        <x:f>F696/J696</x:f>
        <x:v>0.02718537062037452</x:v>
      </x:c>
      <x:c r="J696" s="56" t="n">
        <x:v>436.39597470238095</x:v>
      </x:c>
    </x:row>
    <x:row r="697" ht="65" customHeight="1">
      <x:c r="A697" s="61" t="n">
        <x:v>46054</x:v>
      </x:c>
      <x:c r="B697" s="32" t="str">
        <x:v>Comercio y servicios: principalmente supermercados y centros comerciales</x:v>
      </x:c>
      <x:c r="C697" s="32" t="str">
        <x:v>Alimentación, comercios y servicios</x:v>
      </x:c>
      <x:c r="D697" s="62" t="n">
        <x:v>28</x:v>
      </x:c>
      <x:c r="E697" s="2" t="str">
        <x:v>Completo</x:v>
      </x:c>
      <x:c r="F697" s="56" t="n">
        <x:v>59.89608333333333</x:v>
      </x:c>
      <x:c r="G697" s="56" t="n">
        <x:f>F529</x:f>
        <x:v>56.55740029761905</x:v>
      </x:c>
      <x:c r="H697" s="57" t="n">
        <x:f>IF(ISNUMBER(G697),IF(G697=0,"n.a.",F697/G697-1),"n.a.")</x:f>
        <x:v>0.05903176274272348</x:v>
      </x:c>
      <x:c r="I697" s="58" t="n">
        <x:f>F697/J697</x:f>
        <x:v>0.13725168609582628</x:v>
      </x:c>
      <x:c r="J697" s="56" t="n">
        <x:v>436.39597470238095</x:v>
      </x:c>
    </x:row>
    <x:row r="698" ht="65" customHeight="1">
      <x:c r="A698" s="61" t="n">
        <x:v>46054</x:v>
      </x:c>
      <x:c r="B698" s="32" t="str">
        <x:v>Alimentación y artículos de consumo masivo</x:v>
      </x:c>
      <x:c r="C698" s="32" t="str">
        <x:v>Alimentación, comercios y servicios</x:v>
      </x:c>
      <x:c r="D698" s="62" t="n">
        <x:v>28</x:v>
      </x:c>
      <x:c r="E698" s="2" t="str">
        <x:v>Completo</x:v>
      </x:c>
      <x:c r="F698" s="56" t="n">
        <x:v>293.5263824404762</x:v>
      </x:c>
      <x:c r="G698" s="56" t="n">
        <x:f>F530</x:f>
        <x:v>298.95351488095235</x:v>
      </x:c>
      <x:c r="H698" s="57" t="n">
        <x:f>IF(ISNUMBER(G698),IF(G698=0,"n.a.",F698/G698-1),"n.a.")</x:f>
        <x:v>-0.018153766958175166</x:v>
      </x:c>
      <x:c r="I698" s="58" t="n">
        <x:f>F698/J698</x:f>
        <x:v>0.6726147798238954</x:v>
      </x:c>
      <x:c r="J698" s="56" t="n">
        <x:v>436.39597470238095</x:v>
      </x:c>
    </x:row>
    <x:row r="699" ht="65" customHeight="1">
      <x:c r="A699" s="61" t="n">
        <x:v>46054</x:v>
      </x:c>
      <x:c r="B699" s="32" t="str">
        <x:v>Servicios públicos y transporte: agua y transporte en GBA</x:v>
      </x:c>
      <x:c r="C699" s="32" t="str">
        <x:v>Alimentación, comercios y servicios</x:v>
      </x:c>
      <x:c r="D699" s="62" t="n">
        <x:v>28</x:v>
      </x:c>
      <x:c r="E699" s="2" t="str">
        <x:v>Completo</x:v>
      </x:c>
      <x:c r="F699" s="56" t="n">
        <x:v>71.10992261904762</x:v>
      </x:c>
      <x:c r="G699" s="56" t="n">
        <x:f>F531</x:f>
        <x:v>76.89878422619049</x:v>
      </x:c>
      <x:c r="H699" s="57" t="n">
        <x:f>IF(ISNUMBER(G699),IF(G699=0,"n.a.",F699/G699-1),"n.a.")</x:f>
        <x:v>-0.07527897437384024</x:v>
      </x:c>
      <x:c r="I699" s="58" t="n">
        <x:f>F699/J699</x:f>
        <x:v>0.16294816345990382</x:v>
      </x:c>
      <x:c r="J699" s="56" t="n">
        <x:v>436.39597470238095</x:v>
      </x:c>
    </x:row>
    <x:row r="700" ht="65" customHeight="1">
      <x:c r="A700" s="61" t="n">
        <x:v>46054</x:v>
      </x:c>
      <x:c r="B700" s="32" t="str">
        <x:v>Industria automotriz</x:v>
      </x:c>
      <x:c r="C700" s="32" t="str">
        <x:v>Industrias sin Aluar</x:v>
      </x:c>
      <x:c r="D700" s="62" t="n">
        <x:v>28</x:v>
      </x:c>
      <x:c r="E700" s="2" t="str">
        <x:v>Completo</x:v>
      </x:c>
      <x:c r="F700" s="56" t="n">
        <x:v>42.52677232142857</x:v>
      </x:c>
      <x:c r="G700" s="56" t="n">
        <x:f>F532</x:f>
        <x:v>47.1398556547619</x:v>
      </x:c>
      <x:c r="H700" s="57" t="n">
        <x:f>IF(ISNUMBER(G700),IF(G700=0,"n.a.",F700/G700-1),"n.a.")</x:f>
        <x:v>-0.09785951334085896</x:v>
      </x:c>
      <x:c r="I700" s="58" t="n">
        <x:f>F700/J700</x:f>
        <x:v>0.03925605583128844</x:v>
      </x:c>
      <x:c r="J700" s="56" t="n">
        <x:v>1083.3175014880953</x:v>
      </x:c>
    </x:row>
    <x:row r="701" ht="65" customHeight="1">
      <x:c r="A701" s="61" t="n">
        <x:v>46054</x:v>
      </x:c>
      <x:c r="B701" s="32" t="str">
        <x:v>Derivados de petróleo</x:v>
      </x:c>
      <x:c r="C701" s="32" t="str">
        <x:v>Industrias sin Aluar</x:v>
      </x:c>
      <x:c r="D701" s="62" t="n">
        <x:v>28</x:v>
      </x:c>
      <x:c r="E701" s="2" t="str">
        <x:v>Completo</x:v>
      </x:c>
      <x:c r="F701" s="56" t="n">
        <x:v>144.37152232142856</x:v>
      </x:c>
      <x:c r="G701" s="56" t="n">
        <x:f>F533</x:f>
        <x:v>149.34415773809522</x:v>
      </x:c>
      <x:c r="H701" s="57" t="n">
        <x:f>IF(ISNUMBER(G701),IF(G701=0,"n.a.",F701/G701-1),"n.a.")</x:f>
        <x:v>-0.03329648438867738</x:v>
      </x:c>
      <x:c r="I701" s="58" t="n">
        <x:f>F701/J701</x:f>
        <x:v>0.1332679681839471</x:v>
      </x:c>
      <x:c r="J701" s="56" t="n">
        <x:v>1083.3175014880953</x:v>
      </x:c>
    </x:row>
    <x:row r="702" ht="65" customHeight="1">
      <x:c r="A702" s="61" t="n">
        <x:v>46054</x:v>
      </x:c>
      <x:c r="B702" s="32" t="str">
        <x:v>Construcción: elaboración de cemento y canteras</x:v>
      </x:c>
      <x:c r="C702" s="32" t="str">
        <x:v>Industrias sin Aluar</x:v>
      </x:c>
      <x:c r="D702" s="62" t="n">
        <x:v>28</x:v>
      </x:c>
      <x:c r="E702" s="2" t="str">
        <x:v>Completo</x:v>
      </x:c>
      <x:c r="F702" s="56" t="n">
        <x:v>141.2740148809524</x:v>
      </x:c>
      <x:c r="G702" s="56" t="n">
        <x:f>F534</x:f>
        <x:v>160.91916964285716</x:v>
      </x:c>
      <x:c r="H702" s="57" t="n">
        <x:f>IF(ISNUMBER(G702),IF(G702=0,"n.a.",F702/G702-1),"n.a.")</x:f>
        <x:v>-0.12208088573601938</x:v>
      </x:c>
      <x:c r="I702" s="58" t="n">
        <x:f>F702/J702</x:f>
        <x:v>0.13040868876104358</x:v>
      </x:c>
      <x:c r="J702" s="56" t="n">
        <x:v>1083.3175014880953</x:v>
      </x:c>
    </x:row>
    <x:row r="703" ht="65" customHeight="1">
      <x:c r="A703" s="61" t="n">
        <x:v>46054</x:v>
      </x:c>
      <x:c r="B703" s="32" t="str">
        <x:v>Madera y papel</x:v>
      </x:c>
      <x:c r="C703" s="32" t="str">
        <x:v>Industrias sin Aluar</x:v>
      </x:c>
      <x:c r="D703" s="62" t="n">
        <x:v>28</x:v>
      </x:c>
      <x:c r="E703" s="2" t="str">
        <x:v>Completo</x:v>
      </x:c>
      <x:c r="F703" s="56" t="n">
        <x:v>98.82319345238095</x:v>
      </x:c>
      <x:c r="G703" s="56" t="n">
        <x:f>F535</x:f>
        <x:v>103.7036398809524</x:v>
      </x:c>
      <x:c r="H703" s="57" t="n">
        <x:f>IF(ISNUMBER(G703),IF(G703=0,"n.a.",F703/G703-1),"n.a.")</x:f>
        <x:v>-0.04706147666729921</x:v>
      </x:c>
      <x:c r="I703" s="58" t="n">
        <x:f>F703/J703</x:f>
        <x:v>0.09122274247082024</x:v>
      </x:c>
      <x:c r="J703" s="56" t="n">
        <x:v>1083.3175014880953</x:v>
      </x:c>
    </x:row>
    <x:row r="704" ht="65" customHeight="1">
      <x:c r="A704" s="61" t="n">
        <x:v>46054</x:v>
      </x:c>
      <x:c r="B704" s="32" t="str">
        <x:v>Productos metálicos no automotores</x:v>
      </x:c>
      <x:c r="C704" s="32" t="str">
        <x:v>Industrias sin Aluar</x:v>
      </x:c>
      <x:c r="D704" s="62" t="n">
        <x:v>28</x:v>
      </x:c>
      <x:c r="E704" s="2" t="str">
        <x:v>Completo</x:v>
      </x:c>
      <x:c r="F704" s="56" t="n">
        <x:v>37.35697470238095</x:v>
      </x:c>
      <x:c r="G704" s="56" t="n">
        <x:f>F536</x:f>
        <x:v>42.02423363095238</x:v>
      </x:c>
      <x:c r="H704" s="57" t="n">
        <x:f>IF(ISNUMBER(G704),IF(G704=0,"n.a.",F704/G704-1),"n.a.")</x:f>
        <x:v>-0.11106113128815798</x:v>
      </x:c>
      <x:c r="I704" s="58" t="n">
        <x:f>F704/J704</x:f>
        <x:v>0.0344838652113214</x:v>
      </x:c>
      <x:c r="J704" s="56" t="n">
        <x:v>1083.3175014880953</x:v>
      </x:c>
    </x:row>
    <x:row r="705" ht="65" customHeight="1">
      <x:c r="A705" s="61" t="n">
        <x:v>46054</x:v>
      </x:c>
      <x:c r="B705" s="32" t="str">
        <x:v>Gran siderurgia</x:v>
      </x:c>
      <x:c r="C705" s="32" t="str">
        <x:v>Industrias sin Aluar</x:v>
      </x:c>
      <x:c r="D705" s="62" t="n">
        <x:v>28</x:v>
      </x:c>
      <x:c r="E705" s="2" t="str">
        <x:v>Completo</x:v>
      </x:c>
      <x:c r="F705" s="56" t="n">
        <x:v>213.15809077380953</x:v>
      </x:c>
      <x:c r="G705" s="56" t="n">
        <x:f>F537</x:f>
        <x:v>260.64379761904763</x:v>
      </x:c>
      <x:c r="H705" s="57" t="n">
        <x:f>IF(ISNUMBER(G705),IF(G705=0,"n.a.",F705/G705-1),"n.a.")</x:f>
        <x:v>-0.18218621459253892</x:v>
      </x:c>
      <x:c r="I705" s="58" t="n">
        <x:f>F705/J705</x:f>
        <x:v>0.19676419007447554</x:v>
      </x:c>
      <x:c r="J705" s="56" t="n">
        <x:v>1083.3175014880953</x:v>
      </x:c>
    </x:row>
    <x:row r="706" ht="65" customHeight="1">
      <x:c r="A706" s="61" t="n">
        <x:v>46054</x:v>
      </x:c>
      <x:c r="B706" s="32" t="str">
        <x:v>Industria textil</x:v>
      </x:c>
      <x:c r="C706" s="32" t="str">
        <x:v>Industrias sin Aluar</x:v>
      </x:c>
      <x:c r="D706" s="62" t="n">
        <x:v>28</x:v>
      </x:c>
      <x:c r="E706" s="2" t="str">
        <x:v>Completo</x:v>
      </x:c>
      <x:c r="F706" s="56" t="n">
        <x:v>41.7211875</x:v>
      </x:c>
      <x:c r="G706" s="56" t="n">
        <x:f>F538</x:f>
        <x:v>59.01992857142857</x:v>
      </x:c>
      <x:c r="H706" s="57" t="n">
        <x:f>IF(ISNUMBER(G706),IF(G706=0,"n.a.",F706/G706-1),"n.a.")</x:f>
        <x:v>-0.29310000012102455</x:v>
      </x:c>
      <x:c r="I706" s="58" t="n">
        <x:f>F706/J706</x:f>
        <x:v>0.03851242820566439</x:v>
      </x:c>
      <x:c r="J706" s="56" t="n">
        <x:v>1083.3175014880953</x:v>
      </x:c>
    </x:row>
    <x:row r="707" ht="65" customHeight="1">
      <x:c r="A707" s="61" t="n">
        <x:v>46054</x:v>
      </x:c>
      <x:c r="B707" s="32" t="str">
        <x:v>Químicas, caucho, plástico y otros minerales no metálicos</x:v>
      </x:c>
      <x:c r="C707" s="32" t="str">
        <x:v>Industrias sin Aluar</x:v>
      </x:c>
      <x:c r="D707" s="62" t="n">
        <x:v>28</x:v>
      </x:c>
      <x:c r="E707" s="2" t="str">
        <x:v>Completo</x:v>
      </x:c>
      <x:c r="F707" s="56" t="n">
        <x:v>364.08574553571435</x:v>
      </x:c>
      <x:c r="G707" s="56" t="n">
        <x:f>F539</x:f>
        <x:v>337.19717857142854</x:v>
      </x:c>
      <x:c r="H707" s="57" t="n">
        <x:f>IF(ISNUMBER(G707),IF(G707=0,"n.a.",F707/G707-1),"n.a.")</x:f>
        <x:v>0.07974137588636432</x:v>
      </x:c>
      <x:c r="I707" s="58" t="n">
        <x:f>F707/J707</x:f>
        <x:v>0.33608406126143925</x:v>
      </x:c>
      <x:c r="J707" s="56" t="n">
        <x:v>1083.3175014880953</x:v>
      </x:c>
    </x:row>
    <x:row r="708" ht="65" customHeight="1">
      <x:c r="A708" s="61" t="n">
        <x:v>46054</x:v>
      </x:c>
      <x:c r="B708" s="32" t="str">
        <x:v>Extracción de minerales</x:v>
      </x:c>
      <x:c r="C708" s="32" t="str">
        <x:v>Petróleos y minerales</x:v>
      </x:c>
      <x:c r="D708" s="62" t="n">
        <x:v>28</x:v>
      </x:c>
      <x:c r="E708" s="2" t="str">
        <x:v>Completo</x:v>
      </x:c>
      <x:c r="F708" s="56" t="n">
        <x:v>22.43691369047619</x:v>
      </x:c>
      <x:c r="G708" s="56" t="n">
        <x:f>F540</x:f>
        <x:v>21.88229910714286</x:v>
      </x:c>
      <x:c r="H708" s="57" t="n">
        <x:f>IF(ISNUMBER(G708),IF(G708=0,"n.a.",F708/G708-1),"n.a.")</x:f>
        <x:v>0.02534535245212388</x:v>
      </x:c>
      <x:c r="I708" s="58" t="n">
        <x:f>F708/J708</x:f>
        <x:v>0.12411361461916476</x:v>
      </x:c>
      <x:c r="J708" s="56" t="n">
        <x:v>180.77721577380953</x:v>
      </x:c>
    </x:row>
    <x:row r="709" ht="65" customHeight="1">
      <x:c r="A709" s="61" t="n">
        <x:v>46054</x:v>
      </x:c>
      <x:c r="B709" s="32" t="str">
        <x:v>Extracción de petróleo</x:v>
      </x:c>
      <x:c r="C709" s="32" t="str">
        <x:v>Petróleos y minerales</x:v>
      </x:c>
      <x:c r="D709" s="62" t="n">
        <x:v>28</x:v>
      </x:c>
      <x:c r="E709" s="2" t="str">
        <x:v>Completo</x:v>
      </x:c>
      <x:c r="F709" s="56" t="n">
        <x:v>158.34030208333334</x:v>
      </x:c>
      <x:c r="G709" s="56" t="n">
        <x:f>F541</x:f>
        <x:v>138.9379345238095</x:v>
      </x:c>
      <x:c r="H709" s="57" t="n">
        <x:f>IF(ISNUMBER(G709),IF(G709=0,"n.a.",F709/G709-1),"n.a.")</x:f>
        <x:v>0.1396477328241763</x:v>
      </x:c>
      <x:c r="I709" s="58" t="n">
        <x:f>F709/J709</x:f>
        <x:v>0.8758863853808352</x:v>
      </x:c>
      <x:c r="J709" s="56" t="n">
        <x:v>180.77721577380953</x:v>
      </x:c>
    </x:row>
    <x:row r="710" ht="65" customHeight="1">
      <x:c r="A710" s="61" t="n">
        <x:v>46082</x:v>
      </x:c>
      <x:c r="B710" s="32" t="str">
        <x:v>Cargas y puertos</x:v>
      </x:c>
      <x:c r="C710" s="32" t="str">
        <x:v>Alimentación, comercios y servicios</x:v>
      </x:c>
      <x:c r="D710" s="62" t="n">
        <x:v>31</x:v>
      </x:c>
      <x:c r="E710" s="2" t="str">
        <x:v>Completo</x:v>
      </x:c>
      <x:c r="F710" s="56" t="n">
        <x:v>10.852607526881721</x:v>
      </x:c>
      <x:c r="G710" s="56" t="n">
        <x:f>F542</x:f>
        <x:v>11.341123655913979</x:v>
      </x:c>
      <x:c r="H710" s="57" t="n">
        <x:f>IF(ISNUMBER(G710),IF(G710=0,"n.a.",F710/G710-1),"n.a.")</x:f>
        <x:v>-0.043074755540427834</x:v>
      </x:c>
      <x:c r="I710" s="58" t="n">
        <x:f>F710/J710</x:f>
        <x:v>0.02273752157646854</x:v>
      </x:c>
      <x:c r="J710" s="56" t="n">
        <x:v>477.2994932795699</x:v>
      </x:c>
    </x:row>
    <x:row r="711" ht="65" customHeight="1">
      <x:c r="A711" s="61" t="n">
        <x:v>46082</x:v>
      </x:c>
      <x:c r="B711" s="32" t="str">
        <x:v>Comercio y servicios: principalmente supermercados y centros comerciales</x:v>
      </x:c>
      <x:c r="C711" s="32" t="str">
        <x:v>Alimentación, comercios y servicios</x:v>
      </x:c>
      <x:c r="D711" s="62" t="n">
        <x:v>31</x:v>
      </x:c>
      <x:c r="E711" s="2" t="str">
        <x:v>Completo</x:v>
      </x:c>
      <x:c r="F711" s="56" t="n">
        <x:v>57.47488844086021</x:v>
      </x:c>
      <x:c r="G711" s="56" t="n">
        <x:f>F543</x:f>
        <x:v>50.88724193548387</x:v>
      </x:c>
      <x:c r="H711" s="57" t="n">
        <x:f>IF(ISNUMBER(G711),IF(G711=0,"n.a.",F711/G711-1),"n.a.")</x:f>
        <x:v>0.12945575855198288</x:v>
      </x:c>
      <x:c r="I711" s="58" t="n">
        <x:f>F711/J711</x:f>
        <x:v>0.12041682266608922</x:v>
      </x:c>
      <x:c r="J711" s="56" t="n">
        <x:v>477.2994932795699</x:v>
      </x:c>
    </x:row>
    <x:row r="712" ht="65" customHeight="1">
      <x:c r="A712" s="61" t="n">
        <x:v>46082</x:v>
      </x:c>
      <x:c r="B712" s="32" t="str">
        <x:v>Alimentación y artículos de consumo masivo</x:v>
      </x:c>
      <x:c r="C712" s="32" t="str">
        <x:v>Alimentación, comercios y servicios</x:v>
      </x:c>
      <x:c r="D712" s="62" t="n">
        <x:v>31</x:v>
      </x:c>
      <x:c r="E712" s="2" t="str">
        <x:v>Completo</x:v>
      </x:c>
      <x:c r="F712" s="56" t="n">
        <x:v>339.1743669354839</x:v>
      </x:c>
      <x:c r="G712" s="56" t="n">
        <x:f>F544</x:f>
        <x:v>285.7554690860215</x:v>
      </x:c>
      <x:c r="H712" s="57" t="n">
        <x:f>IF(ISNUMBER(G712),IF(G712=0,"n.a.",F712/G712-1),"n.a.")</x:f>
        <x:v>0.18693919672061154</x:v>
      </x:c>
      <x:c r="I712" s="58" t="n">
        <x:f>F712/J712</x:f>
        <x:v>0.7106112026329313</x:v>
      </x:c>
      <x:c r="J712" s="56" t="n">
        <x:v>477.2994932795699</x:v>
      </x:c>
    </x:row>
    <x:row r="713" ht="65" customHeight="1">
      <x:c r="A713" s="61" t="n">
        <x:v>46082</x:v>
      </x:c>
      <x:c r="B713" s="32" t="str">
        <x:v>Servicios públicos y transporte: agua y transporte en GBA</x:v>
      </x:c>
      <x:c r="C713" s="32" t="str">
        <x:v>Alimentación, comercios y servicios</x:v>
      </x:c>
      <x:c r="D713" s="62" t="n">
        <x:v>31</x:v>
      </x:c>
      <x:c r="E713" s="2" t="str">
        <x:v>Completo</x:v>
      </x:c>
      <x:c r="F713" s="56" t="n">
        <x:v>69.79763037634409</x:v>
      </x:c>
      <x:c r="G713" s="56" t="n">
        <x:f>F545</x:f>
        <x:v>75.19778091397849</x:v>
      </x:c>
      <x:c r="H713" s="57" t="n">
        <x:f>IF(ISNUMBER(G713),IF(G713=0,"n.a.",F713/G713-1),"n.a.")</x:f>
        <x:v>-0.07181263159629447</x:v>
      </x:c>
      <x:c r="I713" s="58" t="n">
        <x:f>F713/J713</x:f>
        <x:v>0.14623445312451094</x:v>
      </x:c>
      <x:c r="J713" s="56" t="n">
        <x:v>477.2994932795699</x:v>
      </x:c>
    </x:row>
    <x:row r="714" ht="65" customHeight="1">
      <x:c r="A714" s="61" t="n">
        <x:v>46082</x:v>
      </x:c>
      <x:c r="B714" s="32" t="str">
        <x:v>Industria automotriz</x:v>
      </x:c>
      <x:c r="C714" s="32" t="str">
        <x:v>Industrias sin Aluar</x:v>
      </x:c>
      <x:c r="D714" s="62" t="n">
        <x:v>31</x:v>
      </x:c>
      <x:c r="E714" s="2" t="str">
        <x:v>Completo</x:v>
      </x:c>
      <x:c r="F714" s="56" t="n">
        <x:v>45.50714112903226</x:v>
      </x:c>
      <x:c r="G714" s="56" t="n">
        <x:f>F546</x:f>
        <x:v>42.55074596774193</x:v>
      </x:c>
      <x:c r="H714" s="57" t="n">
        <x:f>IF(ISNUMBER(G714),IF(G714=0,"n.a.",F714/G714-1),"n.a.")</x:f>
        <x:v>0.0694792792476917</x:v>
      </x:c>
      <x:c r="I714" s="58" t="n">
        <x:f>F714/J714</x:f>
        <x:v>0.037158549592987866</x:v>
      </x:c>
      <x:c r="J714" s="56" t="n">
        <x:v>1224.6748494623657</x:v>
      </x:c>
    </x:row>
    <x:row r="715" ht="65" customHeight="1">
      <x:c r="A715" s="61" t="n">
        <x:v>46082</x:v>
      </x:c>
      <x:c r="B715" s="32" t="str">
        <x:v>Derivados de petróleo</x:v>
      </x:c>
      <x:c r="C715" s="32" t="str">
        <x:v>Industrias sin Aluar</x:v>
      </x:c>
      <x:c r="D715" s="62" t="n">
        <x:v>31</x:v>
      </x:c>
      <x:c r="E715" s="2" t="str">
        <x:v>Completo</x:v>
      </x:c>
      <x:c r="F715" s="56" t="n">
        <x:v>156.12831586021508</x:v>
      </x:c>
      <x:c r="G715" s="56" t="n">
        <x:f>F547</x:f>
        <x:v>149.64575806451614</x:v>
      </x:c>
      <x:c r="H715" s="57" t="n">
        <x:f>IF(ISNUMBER(G715),IF(G715=0,"n.a.",F715/G715-1),"n.a.")</x:f>
        <x:v>0.04331935552028243</x:v>
      </x:c>
      <x:c r="I715" s="58" t="n">
        <x:f>F715/J715</x:f>
        <x:v>0.12748552477317196</x:v>
      </x:c>
      <x:c r="J715" s="56" t="n">
        <x:v>1224.6748494623657</x:v>
      </x:c>
    </x:row>
    <x:row r="716" ht="65" customHeight="1">
      <x:c r="A716" s="61" t="n">
        <x:v>46082</x:v>
      </x:c>
      <x:c r="B716" s="32" t="str">
        <x:v>Construcción: elaboración de cemento y canteras</x:v>
      </x:c>
      <x:c r="C716" s="32" t="str">
        <x:v>Industrias sin Aluar</x:v>
      </x:c>
      <x:c r="D716" s="62" t="n">
        <x:v>31</x:v>
      </x:c>
      <x:c r="E716" s="2" t="str">
        <x:v>Completo</x:v>
      </x:c>
      <x:c r="F716" s="56" t="n">
        <x:v>152.45844220430106</x:v>
      </x:c>
      <x:c r="G716" s="56" t="n">
        <x:f>F548</x:f>
        <x:v>142.41225403225806</x:v>
      </x:c>
      <x:c r="H716" s="57" t="n">
        <x:f>IF(ISNUMBER(G716),IF(G716=0,"n.a.",F716/G716-1),"n.a.")</x:f>
        <x:v>0.07054300376263556</x:v>
      </x:c>
      <x:c r="I716" s="58" t="n">
        <x:f>F716/J716</x:f>
        <x:v>0.12448891415646413</x:v>
      </x:c>
      <x:c r="J716" s="56" t="n">
        <x:v>1224.6748494623657</x:v>
      </x:c>
    </x:row>
    <x:row r="717" ht="65" customHeight="1">
      <x:c r="A717" s="61" t="n">
        <x:v>46082</x:v>
      </x:c>
      <x:c r="B717" s="32" t="str">
        <x:v>Madera y papel</x:v>
      </x:c>
      <x:c r="C717" s="32" t="str">
        <x:v>Industrias sin Aluar</x:v>
      </x:c>
      <x:c r="D717" s="62" t="n">
        <x:v>31</x:v>
      </x:c>
      <x:c r="E717" s="2" t="str">
        <x:v>Completo</x:v>
      </x:c>
      <x:c r="F717" s="56" t="n">
        <x:v>103.47159139784947</x:v>
      </x:c>
      <x:c r="G717" s="56" t="n">
        <x:f>F549</x:f>
        <x:v>98.3025497311828</x:v>
      </x:c>
      <x:c r="H717" s="57" t="n">
        <x:f>IF(ISNUMBER(G717),IF(G717=0,"n.a.",F717/G717-1),"n.a.")</x:f>
        <x:v>0.05258298671603012</x:v>
      </x:c>
      <x:c r="I717" s="58" t="n">
        <x:f>F717/J717</x:f>
        <x:v>0.08448903106263157</x:v>
      </x:c>
      <x:c r="J717" s="56" t="n">
        <x:v>1224.6748494623657</x:v>
      </x:c>
    </x:row>
    <x:row r="718" ht="65" customHeight="1">
      <x:c r="A718" s="61" t="n">
        <x:v>46082</x:v>
      </x:c>
      <x:c r="B718" s="32" t="str">
        <x:v>Productos metálicos no automotores</x:v>
      </x:c>
      <x:c r="C718" s="32" t="str">
        <x:v>Industrias sin Aluar</x:v>
      </x:c>
      <x:c r="D718" s="62" t="n">
        <x:v>31</x:v>
      </x:c>
      <x:c r="E718" s="2" t="str">
        <x:v>Completo</x:v>
      </x:c>
      <x:c r="F718" s="56" t="n">
        <x:v>39.9608440860215</x:v>
      </x:c>
      <x:c r="G718" s="56" t="n">
        <x:f>F550</x:f>
        <x:v>28.755403225806454</x:v>
      </x:c>
      <x:c r="H718" s="57" t="n">
        <x:f>IF(ISNUMBER(G718),IF(G718=0,"n.a.",F718/G718-1),"n.a.")</x:f>
        <x:v>0.3896812286797897</x:v>
      </x:c>
      <x:c r="I718" s="58" t="n">
        <x:f>F718/J718</x:f>
        <x:v>0.03262975809747737</x:v>
      </x:c>
      <x:c r="J718" s="56" t="n">
        <x:v>1224.6748494623657</x:v>
      </x:c>
    </x:row>
    <x:row r="719" ht="65" customHeight="1">
      <x:c r="A719" s="61" t="n">
        <x:v>46082</x:v>
      </x:c>
      <x:c r="B719" s="32" t="str">
        <x:v>Gran siderurgia</x:v>
      </x:c>
      <x:c r="C719" s="32" t="str">
        <x:v>Industrias sin Aluar</x:v>
      </x:c>
      <x:c r="D719" s="62" t="n">
        <x:v>31</x:v>
      </x:c>
      <x:c r="E719" s="2" t="str">
        <x:v>Completo</x:v>
      </x:c>
      <x:c r="F719" s="56" t="n">
        <x:v>321.48939784946236</x:v>
      </x:c>
      <x:c r="G719" s="56" t="n">
        <x:f>F551</x:f>
        <x:v>247.3586586021505</x:v>
      </x:c>
      <x:c r="H719" s="57" t="n">
        <x:f>IF(ISNUMBER(G719),IF(G719=0,"n.a.",F719/G719-1),"n.a.")</x:f>
        <x:v>0.2996892838368075</x:v>
      </x:c>
      <x:c r="I719" s="58" t="n">
        <x:f>F719/J719</x:f>
        <x:v>0.26251000254524437</x:v>
      </x:c>
      <x:c r="J719" s="56" t="n">
        <x:v>1224.6748494623657</x:v>
      </x:c>
    </x:row>
    <x:row r="720" ht="65" customHeight="1">
      <x:c r="A720" s="61" t="n">
        <x:v>46082</x:v>
      </x:c>
      <x:c r="B720" s="32" t="str">
        <x:v>Industria textil</x:v>
      </x:c>
      <x:c r="C720" s="32" t="str">
        <x:v>Industrias sin Aluar</x:v>
      </x:c>
      <x:c r="D720" s="62" t="n">
        <x:v>31</x:v>
      </x:c>
      <x:c r="E720" s="2" t="str">
        <x:v>Completo</x:v>
      </x:c>
      <x:c r="F720" s="56" t="n">
        <x:v>43.3380685483871</x:v>
      </x:c>
      <x:c r="G720" s="56" t="n">
        <x:f>F552</x:f>
        <x:v>55.125762096774196</x:v>
      </x:c>
      <x:c r="H720" s="57" t="n">
        <x:f>IF(ISNUMBER(G720),IF(G720=0,"n.a.",F720/G720-1),"n.a.")</x:f>
        <x:v>-0.2138327544151427</x:v>
      </x:c>
      <x:c r="I720" s="58" t="n">
        <x:f>F720/J720</x:f>
        <x:v>0.03538740798621984</x:v>
      </x:c>
      <x:c r="J720" s="56" t="n">
        <x:v>1224.6748494623657</x:v>
      </x:c>
    </x:row>
    <x:row r="721" ht="65" customHeight="1">
      <x:c r="A721" s="61" t="n">
        <x:v>46082</x:v>
      </x:c>
      <x:c r="B721" s="32" t="str">
        <x:v>Químicas, caucho, plástico y otros minerales no metálicos</x:v>
      </x:c>
      <x:c r="C721" s="32" t="str">
        <x:v>Industrias sin Aluar</x:v>
      </x:c>
      <x:c r="D721" s="62" t="n">
        <x:v>31</x:v>
      </x:c>
      <x:c r="E721" s="2" t="str">
        <x:v>Completo</x:v>
      </x:c>
      <x:c r="F721" s="56" t="n">
        <x:v>362.32104838709677</x:v>
      </x:c>
      <x:c r="G721" s="56" t="n">
        <x:f>F553</x:f>
        <x:v>319.7549583333333</x:v>
      </x:c>
      <x:c r="H721" s="57" t="n">
        <x:f>IF(ISNUMBER(G721),IF(G721=0,"n.a.",F721/G721-1),"n.a.")</x:f>
        <x:v>0.13312096949373897</x:v>
      </x:c>
      <x:c r="I721" s="58" t="n">
        <x:f>F721/J721</x:f>
        <x:v>0.2958508117858028</x:v>
      </x:c>
      <x:c r="J721" s="56" t="n">
        <x:v>1224.6748494623657</x:v>
      </x:c>
    </x:row>
    <x:row r="722" ht="65" customHeight="1">
      <x:c r="A722" s="61" t="n">
        <x:v>46082</x:v>
      </x:c>
      <x:c r="B722" s="32" t="str">
        <x:v>Extracción de minerales</x:v>
      </x:c>
      <x:c r="C722" s="32" t="str">
        <x:v>Petróleos y minerales</x:v>
      </x:c>
      <x:c r="D722" s="62" t="n">
        <x:v>31</x:v>
      </x:c>
      <x:c r="E722" s="2" t="str">
        <x:v>Completo</x:v>
      </x:c>
      <x:c r="F722" s="56" t="n">
        <x:v>24.292866935483868</x:v>
      </x:c>
      <x:c r="G722" s="56" t="n">
        <x:f>F554</x:f>
        <x:v>22.25468548387097</x:v>
      </x:c>
      <x:c r="H722" s="57" t="n">
        <x:f>IF(ISNUMBER(G722),IF(G722=0,"n.a.",F722/G722-1),"n.a.")</x:f>
        <x:v>0.09158437458440227</x:v>
      </x:c>
      <x:c r="I722" s="58" t="n">
        <x:f>F722/J722</x:f>
        <x:v>0.13398958073237696</x:v>
      </x:c>
      <x:c r="J722" s="56" t="n">
        <x:v>181.30414919354837</x:v>
      </x:c>
    </x:row>
    <x:row r="723" ht="65" customHeight="1">
      <x:c r="A723" s="61" t="n">
        <x:v>46082</x:v>
      </x:c>
      <x:c r="B723" s="32" t="str">
        <x:v>Extracción de petróleo</x:v>
      </x:c>
      <x:c r="C723" s="32" t="str">
        <x:v>Petróleos y minerales</x:v>
      </x:c>
      <x:c r="D723" s="62" t="n">
        <x:v>31</x:v>
      </x:c>
      <x:c r="E723" s="2" t="str">
        <x:v>Completo</x:v>
      </x:c>
      <x:c r="F723" s="56" t="n">
        <x:v>157.01128225806454</x:v>
      </x:c>
      <x:c r="G723" s="56" t="n">
        <x:f>F555</x:f>
        <x:v>145.48089516129033</x:v>
      </x:c>
      <x:c r="H723" s="57" t="n">
        <x:f>IF(ISNUMBER(G723),IF(G723=0,"n.a.",F723/G723-1),"n.a.")</x:f>
        <x:v>0.07925705353950985</x:v>
      </x:c>
      <x:c r="I723" s="58" t="n">
        <x:f>F723/J723</x:f>
        <x:v>0.8660104192676232</x:v>
      </x:c>
      <x:c r="J723" s="56" t="n">
        <x:v>181.30414919354837</x:v>
      </x:c>
    </x:row>
    <x:row r="724" ht="65" customHeight="1">
      <x:c r="A724" s="61" t="n">
        <x:v>46113</x:v>
      </x:c>
      <x:c r="B724" s="32" t="str">
        <x:v>Cargas y puertos</x:v>
      </x:c>
      <x:c r="C724" s="32" t="str">
        <x:v>Alimentación, comercios y servicios</x:v>
      </x:c>
      <x:c r="D724" s="62" t="n">
        <x:v>30</x:v>
      </x:c>
      <x:c r="E724" s="2" t="str">
        <x:v>Completo</x:v>
      </x:c>
      <x:c r="F724" s="56" t="n">
        <x:v>9.61821388888889</x:v>
      </x:c>
      <x:c r="G724" s="56" t="n">
        <x:f>F556</x:f>
        <x:v>9.5680125</x:v>
      </x:c>
      <x:c r="H724" s="57" t="n">
        <x:f>IF(ISNUMBER(G724),IF(G724=0,"n.a.",F724/G724-1),"n.a.")</x:f>
        <x:v>0.00524679382357518</x:v>
      </x:c>
      <x:c r="I724" s="58" t="n">
        <x:f>F724/J724</x:f>
        <x:v>0.02066007861566017</x:v>
      </x:c>
      <x:c r="J724" s="56" t="n">
        <x:v>465.5458513888889</x:v>
      </x:c>
    </x:row>
    <x:row r="725" ht="65" customHeight="1">
      <x:c r="A725" s="61" t="n">
        <x:v>46113</x:v>
      </x:c>
      <x:c r="B725" s="32" t="str">
        <x:v>Comercio y servicios: principalmente supermercados y centros comerciales</x:v>
      </x:c>
      <x:c r="C725" s="32" t="str">
        <x:v>Alimentación, comercios y servicios</x:v>
      </x:c>
      <x:c r="D725" s="62" t="n">
        <x:v>30</x:v>
      </x:c>
      <x:c r="E725" s="2" t="str">
        <x:v>Completo</x:v>
      </x:c>
      <x:c r="F725" s="56" t="n">
        <x:v>53.40403333333333</x:v>
      </x:c>
      <x:c r="G725" s="56" t="n">
        <x:f>F557</x:f>
        <x:v>45.60965138888889</x:v>
      </x:c>
      <x:c r="H725" s="57" t="n">
        <x:f>IF(ISNUMBER(G725),IF(G725=0,"n.a.",F725/G725-1),"n.a.")</x:f>
        <x:v>0.1708932584900935</x:v>
      </x:c>
      <x:c r="I725" s="58" t="n">
        <x:f>F725/J725</x:f>
        <x:v>0.11471272523213363</x:v>
      </x:c>
      <x:c r="J725" s="56" t="n">
        <x:v>465.5458513888889</x:v>
      </x:c>
    </x:row>
    <x:row r="726" ht="65" customHeight="1">
      <x:c r="A726" s="61" t="n">
        <x:v>46113</x:v>
      </x:c>
      <x:c r="B726" s="32" t="str">
        <x:v>Alimentación y artículos de consumo masivo</x:v>
      </x:c>
      <x:c r="C726" s="32" t="str">
        <x:v>Alimentación, comercios y servicios</x:v>
      </x:c>
      <x:c r="D726" s="62" t="n">
        <x:v>30</x:v>
      </x:c>
      <x:c r="E726" s="2" t="str">
        <x:v>Completo</x:v>
      </x:c>
      <x:c r="F726" s="56" t="n">
        <x:v>332.8327541666667</x:v>
      </x:c>
      <x:c r="G726" s="56" t="n">
        <x:f>F558</x:f>
        <x:v>275.5870055555555</x:v>
      </x:c>
      <x:c r="H726" s="57" t="n">
        <x:f>IF(ISNUMBER(G726),IF(G726=0,"n.a.",F726/G726-1),"n.a.")</x:f>
        <x:v>0.20772296028874648</x:v>
      </x:c>
      <x:c r="I726" s="58" t="n">
        <x:f>F726/J726</x:f>
        <x:v>0.7149301259450775</x:v>
      </x:c>
      <x:c r="J726" s="56" t="n">
        <x:v>465.5458513888889</x:v>
      </x:c>
    </x:row>
    <x:row r="727" ht="65" customHeight="1">
      <x:c r="A727" s="61" t="n">
        <x:v>46113</x:v>
      </x:c>
      <x:c r="B727" s="32" t="str">
        <x:v>Servicios públicos y transporte: agua y transporte en GBA</x:v>
      </x:c>
      <x:c r="C727" s="32" t="str">
        <x:v>Alimentación, comercios y servicios</x:v>
      </x:c>
      <x:c r="D727" s="62" t="n">
        <x:v>30</x:v>
      </x:c>
      <x:c r="E727" s="2" t="str">
        <x:v>Completo</x:v>
      </x:c>
      <x:c r="F727" s="56" t="n">
        <x:v>69.69085</x:v>
      </x:c>
      <x:c r="G727" s="56" t="n">
        <x:f>F559</x:f>
        <x:v>75.51788333333334</x:v>
      </x:c>
      <x:c r="H727" s="57" t="n">
        <x:f>IF(ISNUMBER(G727),IF(G727=0,"n.a.",F727/G727-1),"n.a.")</x:f>
        <x:v>-0.07716097268792643</x:v>
      </x:c>
      <x:c r="I727" s="58" t="n">
        <x:f>F727/J727</x:f>
        <x:v>0.1496970702071287</x:v>
      </x:c>
      <x:c r="J727" s="56" t="n">
        <x:v>465.5458513888889</x:v>
      </x:c>
    </x:row>
    <x:row r="728" ht="65" customHeight="1">
      <x:c r="A728" s="61" t="n">
        <x:v>46113</x:v>
      </x:c>
      <x:c r="B728" s="32" t="str">
        <x:v>Industria automotriz</x:v>
      </x:c>
      <x:c r="C728" s="32" t="str">
        <x:v>Industrias sin Aluar</x:v>
      </x:c>
      <x:c r="D728" s="62" t="n">
        <x:v>30</x:v>
      </x:c>
      <x:c r="E728" s="2" t="str">
        <x:v>Completo</x:v>
      </x:c>
      <x:c r="F728" s="56" t="n">
        <x:v>43.119731944444446</x:v>
      </x:c>
      <x:c r="G728" s="56" t="n">
        <x:f>F560</x:f>
        <x:v>41.18686388888889</x:v>
      </x:c>
      <x:c r="H728" s="57" t="n">
        <x:f>IF(ISNUMBER(G728),IF(G728=0,"n.a.",F728/G728-1),"n.a.")</x:f>
        <x:v>0.04692923600034038</x:v>
      </x:c>
      <x:c r="I728" s="58" t="n">
        <x:f>F728/J728</x:f>
        <x:v>0.0358798895709745</x:v>
      </x:c>
      <x:c r="J728" s="56" t="n">
        <x:v>1201.779951388889</x:v>
      </x:c>
    </x:row>
    <x:row r="729" ht="65" customHeight="1">
      <x:c r="A729" s="61" t="n">
        <x:v>46113</x:v>
      </x:c>
      <x:c r="B729" s="32" t="str">
        <x:v>Derivados de petróleo</x:v>
      </x:c>
      <x:c r="C729" s="32" t="str">
        <x:v>Industrias sin Aluar</x:v>
      </x:c>
      <x:c r="D729" s="62" t="n">
        <x:v>30</x:v>
      </x:c>
      <x:c r="E729" s="2" t="str">
        <x:v>Completo</x:v>
      </x:c>
      <x:c r="F729" s="56" t="n">
        <x:v>148.55879166666668</x:v>
      </x:c>
      <x:c r="G729" s="56" t="n">
        <x:f>F561</x:f>
        <x:v>153.31479305555555</x:v>
      </x:c>
      <x:c r="H729" s="57" t="n">
        <x:f>IF(ISNUMBER(G729),IF(G729=0,"n.a.",F729/G729-1),"n.a.")</x:f>
        <x:v>-0.031021151280330006</x:v>
      </x:c>
      <x:c r="I729" s="58" t="n">
        <x:f>F729/J729</x:f>
        <x:v>0.12361563487140743</x:v>
      </x:c>
      <x:c r="J729" s="56" t="n">
        <x:v>1201.779951388889</x:v>
      </x:c>
    </x:row>
    <x:row r="730" ht="65" customHeight="1">
      <x:c r="A730" s="61" t="n">
        <x:v>46113</x:v>
      </x:c>
      <x:c r="B730" s="32" t="str">
        <x:v>Construcción: elaboración de cemento y canteras</x:v>
      </x:c>
      <x:c r="C730" s="32" t="str">
        <x:v>Industrias sin Aluar</x:v>
      </x:c>
      <x:c r="D730" s="62" t="n">
        <x:v>30</x:v>
      </x:c>
      <x:c r="E730" s="2" t="str">
        <x:v>Completo</x:v>
      </x:c>
      <x:c r="F730" s="56" t="n">
        <x:v>159.3088763888889</x:v>
      </x:c>
      <x:c r="G730" s="56" t="n">
        <x:f>F562</x:f>
        <x:v>149.36918888888889</x:v>
      </x:c>
      <x:c r="H730" s="57" t="n">
        <x:f>IF(ISNUMBER(G730),IF(G730=0,"n.a.",F730/G730-1),"n.a.")</x:f>
        <x:v>0.066544429771215</x:v>
      </x:c>
      <x:c r="I730" s="58" t="n">
        <x:f>F730/J730</x:f>
        <x:v>0.13256077055102866</x:v>
      </x:c>
      <x:c r="J730" s="56" t="n">
        <x:v>1201.779951388889</x:v>
      </x:c>
    </x:row>
    <x:row r="731" ht="65" customHeight="1">
      <x:c r="A731" s="61" t="n">
        <x:v>46113</x:v>
      </x:c>
      <x:c r="B731" s="32" t="str">
        <x:v>Madera y papel</x:v>
      </x:c>
      <x:c r="C731" s="32" t="str">
        <x:v>Industrias sin Aluar</x:v>
      </x:c>
      <x:c r="D731" s="62" t="n">
        <x:v>30</x:v>
      </x:c>
      <x:c r="E731" s="2" t="str">
        <x:v>Completo</x:v>
      </x:c>
      <x:c r="F731" s="56" t="n">
        <x:v>99.75455277777777</x:v>
      </x:c>
      <x:c r="G731" s="56" t="n">
        <x:f>F563</x:f>
        <x:v>100.82068472222223</x:v>
      </x:c>
      <x:c r="H731" s="57" t="n">
        <x:f>IF(ISNUMBER(G731),IF(G731=0,"n.a.",F731/G731-1),"n.a.")</x:f>
        <x:v>-0.010574535844324218</x:v>
      </x:c>
      <x:c r="I731" s="58" t="n">
        <x:f>F731/J731</x:f>
        <x:v>0.08300567226345565</x:v>
      </x:c>
      <x:c r="J731" s="56" t="n">
        <x:v>1201.779951388889</x:v>
      </x:c>
    </x:row>
    <x:row r="732" ht="65" customHeight="1">
      <x:c r="A732" s="61" t="n">
        <x:v>46113</x:v>
      </x:c>
      <x:c r="B732" s="32" t="str">
        <x:v>Productos metálicos no automotores</x:v>
      </x:c>
      <x:c r="C732" s="32" t="str">
        <x:v>Industrias sin Aluar</x:v>
      </x:c>
      <x:c r="D732" s="62" t="n">
        <x:v>30</x:v>
      </x:c>
      <x:c r="E732" s="2" t="str">
        <x:v>Completo</x:v>
      </x:c>
      <x:c r="F732" s="56" t="n">
        <x:v>39.24199861111111</x:v>
      </x:c>
      <x:c r="G732" s="56" t="n">
        <x:f>F564</x:f>
        <x:v>31.430494444444445</x:v>
      </x:c>
      <x:c r="H732" s="57" t="n">
        <x:f>IF(ISNUMBER(G732),IF(G732=0,"n.a.",F732/G732-1),"n.a.")</x:f>
        <x:v>0.24853265291368642</x:v>
      </x:c>
      <x:c r="I732" s="58" t="n">
        <x:f>F732/J732</x:f>
        <x:v>0.032653231205728966</x:v>
      </x:c>
      <x:c r="J732" s="56" t="n">
        <x:v>1201.779951388889</x:v>
      </x:c>
    </x:row>
    <x:row r="733" ht="65" customHeight="1">
      <x:c r="A733" s="61" t="n">
        <x:v>46113</x:v>
      </x:c>
      <x:c r="B733" s="32" t="str">
        <x:v>Gran siderurgia</x:v>
      </x:c>
      <x:c r="C733" s="32" t="str">
        <x:v>Industrias sin Aluar</x:v>
      </x:c>
      <x:c r="D733" s="62" t="n">
        <x:v>30</x:v>
      </x:c>
      <x:c r="E733" s="2" t="str">
        <x:v>Completo</x:v>
      </x:c>
      <x:c r="F733" s="56" t="n">
        <x:v>321.0619152777778</x:v>
      </x:c>
      <x:c r="G733" s="56" t="n">
        <x:f>F565</x:f>
        <x:v>247.63442222222224</x:v>
      </x:c>
      <x:c r="H733" s="57" t="n">
        <x:f>IF(ISNUMBER(G733),IF(G733=0,"n.a.",F733/G733-1),"n.a.")</x:f>
        <x:v>0.2965156959869788</x:v>
      </x:c>
      <x:c r="I733" s="58" t="n">
        <x:f>F733/J733</x:f>
        <x:v>0.2671553264861248</x:v>
      </x:c>
      <x:c r="J733" s="56" t="n">
        <x:v>1201.779951388889</x:v>
      </x:c>
    </x:row>
    <x:row r="734" ht="65" customHeight="1">
      <x:c r="A734" s="61" t="n">
        <x:v>46113</x:v>
      </x:c>
      <x:c r="B734" s="32" t="str">
        <x:v>Industria textil</x:v>
      </x:c>
      <x:c r="C734" s="32" t="str">
        <x:v>Industrias sin Aluar</x:v>
      </x:c>
      <x:c r="D734" s="62" t="n">
        <x:v>30</x:v>
      </x:c>
      <x:c r="E734" s="2" t="str">
        <x:v>Completo</x:v>
      </x:c>
      <x:c r="F734" s="56" t="n">
        <x:v>40.06480972222222</x:v>
      </x:c>
      <x:c r="G734" s="56" t="n">
        <x:f>F566</x:f>
        <x:v>50.211259722222216</x:v>
      </x:c>
      <x:c r="H734" s="57" t="n">
        <x:f>IF(ISNUMBER(G734),IF(G734=0,"n.a.",F734/G734-1),"n.a.")</x:f>
        <x:v>-0.20207519301710397</x:v>
      </x:c>
      <x:c r="I734" s="58" t="n">
        <x:f>F734/J734</x:f>
        <x:v>0.03333789157983505</x:v>
      </x:c>
      <x:c r="J734" s="56" t="n">
        <x:v>1201.779951388889</x:v>
      </x:c>
    </x:row>
    <x:row r="735" ht="65" customHeight="1">
      <x:c r="A735" s="61" t="n">
        <x:v>46113</x:v>
      </x:c>
      <x:c r="B735" s="32" t="str">
        <x:v>Químicas, caucho, plástico y otros minerales no metálicos</x:v>
      </x:c>
      <x:c r="C735" s="32" t="str">
        <x:v>Industrias sin Aluar</x:v>
      </x:c>
      <x:c r="D735" s="62" t="n">
        <x:v>30</x:v>
      </x:c>
      <x:c r="E735" s="2" t="str">
        <x:v>Completo</x:v>
      </x:c>
      <x:c r="F735" s="56" t="n">
        <x:v>350.669275</x:v>
      </x:c>
      <x:c r="G735" s="56" t="n">
        <x:f>F567</x:f>
        <x:v>326.77516249999996</x:v>
      </x:c>
      <x:c r="H735" s="57" t="n">
        <x:f>IF(ISNUMBER(G735),IF(G735=0,"n.a.",F735/G735-1),"n.a.")</x:f>
        <x:v>0.07312095667613683</x:v>
      </x:c>
      <x:c r="I735" s="58" t="n">
        <x:f>F735/J735</x:f>
        <x:v>0.2917915834714449</x:v>
      </x:c>
      <x:c r="J735" s="56" t="n">
        <x:v>1201.779951388889</x:v>
      </x:c>
    </x:row>
    <x:row r="736" ht="65" customHeight="1">
      <x:c r="A736" s="61" t="n">
        <x:v>46113</x:v>
      </x:c>
      <x:c r="B736" s="32" t="str">
        <x:v>Extracción de minerales</x:v>
      </x:c>
      <x:c r="C736" s="32" t="str">
        <x:v>Petróleos y minerales</x:v>
      </x:c>
      <x:c r="D736" s="62" t="n">
        <x:v>30</x:v>
      </x:c>
      <x:c r="E736" s="2" t="str">
        <x:v>Completo</x:v>
      </x:c>
      <x:c r="F736" s="56" t="n">
        <x:v>25.52247638888889</x:v>
      </x:c>
      <x:c r="G736" s="56" t="n">
        <x:f>F568</x:f>
        <x:v>24.467341666666666</x:v>
      </x:c>
      <x:c r="H736" s="57" t="n">
        <x:f>IF(ISNUMBER(G736),IF(G736=0,"n.a.",F736/G736-1),"n.a.")</x:f>
        <x:v>0.043124207631419775</x:v>
      </x:c>
      <x:c r="I736" s="58" t="n">
        <x:f>F736/J736</x:f>
        <x:v>0.13971105144086726</x:v>
      </x:c>
      <x:c r="J736" s="56" t="n">
        <x:v>182.6804402777778</x:v>
      </x:c>
    </x:row>
    <x:row r="737" ht="65" customHeight="1">
      <x:c r="A737" s="61" t="n">
        <x:v>46113</x:v>
      </x:c>
      <x:c r="B737" s="32" t="str">
        <x:v>Extracción de petróleo</x:v>
      </x:c>
      <x:c r="C737" s="32" t="str">
        <x:v>Petróleos y minerales</x:v>
      </x:c>
      <x:c r="D737" s="62" t="n">
        <x:v>30</x:v>
      </x:c>
      <x:c r="E737" s="2" t="str">
        <x:v>Completo</x:v>
      </x:c>
      <x:c r="F737" s="56" t="n">
        <x:v>157.15796388888887</x:v>
      </x:c>
      <x:c r="G737" s="56" t="n">
        <x:f>F569</x:f>
        <x:v>141.92951944444445</x:v>
      </x:c>
      <x:c r="H737" s="57" t="n">
        <x:f>IF(ISNUMBER(G737),IF(G737=0,"n.a.",F737/G737-1),"n.a.")</x:f>
        <x:v>0.107295821926638</x:v>
      </x:c>
      <x:c r="I737" s="58" t="n">
        <x:f>F737/J737</x:f>
        <x:v>0.8602889485591326</x:v>
      </x:c>
      <x:c r="J737" s="56" t="n">
        <x:v>182.6804402777778</x:v>
      </x:c>
    </x:row>
    <x:row r="738" ht="65" customHeight="1">
      <x:c r="A738" s="61" t="n">
        <x:v>46143</x:v>
      </x:c>
      <x:c r="B738" s="32" t="str">
        <x:v>Cargas y puertos</x:v>
      </x:c>
      <x:c r="C738" s="32" t="str">
        <x:v>Alimentación, comercios y servicios</x:v>
      </x:c>
      <x:c r="D738" s="62" t="n">
        <x:v>31</x:v>
      </x:c>
      <x:c r="E738" s="2" t="str">
        <x:v>Completo</x:v>
      </x:c>
      <x:c r="F738" s="56" t="n">
        <x:v>9.218932795698926</x:v>
      </x:c>
      <x:c r="G738" s="56" t="n">
        <x:f>F570</x:f>
        <x:v>9.245549731182795</x:v>
      </x:c>
      <x:c r="H738" s="57" t="n">
        <x:f>IF(ISNUMBER(G738),IF(G738=0,"n.a.",F738/G738-1),"n.a.")</x:f>
        <x:v>-0.00287889160274557</x:v>
      </x:c>
      <x:c r="I738" s="58" t="n">
        <x:f>F738/J738</x:f>
        <x:v>0.020550464501249498</x:v>
      </x:c>
      <x:c r="J738" s="56" t="n">
        <x:v>448.59972849462366</x:v>
      </x:c>
    </x:row>
    <x:row r="739" ht="65" customHeight="1">
      <x:c r="A739" s="61" t="n">
        <x:v>46143</x:v>
      </x:c>
      <x:c r="B739" s="32" t="str">
        <x:v>Comercio y servicios: principalmente supermercados y centros comerciales</x:v>
      </x:c>
      <x:c r="C739" s="32" t="str">
        <x:v>Alimentación, comercios y servicios</x:v>
      </x:c>
      <x:c r="D739" s="62" t="n">
        <x:v>31</x:v>
      </x:c>
      <x:c r="E739" s="2" t="str">
        <x:v>Completo</x:v>
      </x:c>
      <x:c r="F739" s="56" t="n">
        <x:v>48.978276881720426</x:v>
      </x:c>
      <x:c r="G739" s="56" t="n">
        <x:f>F571</x:f>
        <x:v>44.32232123655914</x:v>
      </x:c>
      <x:c r="H739" s="57" t="n">
        <x:f>IF(ISNUMBER(G739),IF(G739=0,"n.a.",F739/G739-1),"n.a.")</x:f>
        <x:v>0.10504764902341868</x:v>
      </x:c>
      <x:c r="I739" s="58" t="n">
        <x:f>F739/J739</x:f>
        <x:v>0.1091803533766682</x:v>
      </x:c>
      <x:c r="J739" s="56" t="n">
        <x:v>448.59972849462366</x:v>
      </x:c>
    </x:row>
    <x:row r="740" ht="65" customHeight="1">
      <x:c r="A740" s="61" t="n">
        <x:v>46143</x:v>
      </x:c>
      <x:c r="B740" s="32" t="str">
        <x:v>Alimentación y artículos de consumo masivo</x:v>
      </x:c>
      <x:c r="C740" s="32" t="str">
        <x:v>Alimentación, comercios y servicios</x:v>
      </x:c>
      <x:c r="D740" s="62" t="n">
        <x:v>31</x:v>
      </x:c>
      <x:c r="E740" s="2" t="str">
        <x:v>Completo</x:v>
      </x:c>
      <x:c r="F740" s="56" t="n">
        <x:v>320.1168373655914</x:v>
      </x:c>
      <x:c r="G740" s="56" t="n">
        <x:f>F572</x:f>
        <x:v>277.0284045698925</x:v>
      </x:c>
      <x:c r="H740" s="57" t="n">
        <x:f>IF(ISNUMBER(G740),IF(G740=0,"n.a.",F740/G740-1),"n.a.")</x:f>
        <x:v>0.15553795959153338</x:v>
      </x:c>
      <x:c r="I740" s="58" t="n">
        <x:f>F740/J740</x:f>
        <x:v>0.7135912418846413</x:v>
      </x:c>
      <x:c r="J740" s="56" t="n">
        <x:v>448.59972849462366</x:v>
      </x:c>
    </x:row>
    <x:row r="741" ht="65" customHeight="1">
      <x:c r="A741" s="61" t="n">
        <x:v>46143</x:v>
      </x:c>
      <x:c r="B741" s="32" t="str">
        <x:v>Servicios públicos y transporte: agua y transporte en GBA</x:v>
      </x:c>
      <x:c r="C741" s="32" t="str">
        <x:v>Alimentación, comercios y servicios</x:v>
      </x:c>
      <x:c r="D741" s="62" t="n">
        <x:v>31</x:v>
      </x:c>
      <x:c r="E741" s="2" t="str">
        <x:v>Completo</x:v>
      </x:c>
      <x:c r="F741" s="56" t="n">
        <x:v>70.2856814516129</x:v>
      </x:c>
      <x:c r="G741" s="56" t="n">
        <x:f>F573</x:f>
        <x:v>71.67712634408602</x:v>
      </x:c>
      <x:c r="H741" s="57" t="n">
        <x:f>IF(ISNUMBER(G741),IF(G741=0,"n.a.",F741/G741-1),"n.a.")</x:f>
        <x:v>-0.01941267686700343</x:v>
      </x:c>
      <x:c r="I741" s="58" t="n">
        <x:f>F741/J741</x:f>
        <x:v>0.156677940237441</x:v>
      </x:c>
      <x:c r="J741" s="56" t="n">
        <x:v>448.59972849462366</x:v>
      </x:c>
    </x:row>
    <x:row r="742" ht="65" customHeight="1">
      <x:c r="A742" s="61" t="n">
        <x:v>46143</x:v>
      </x:c>
      <x:c r="B742" s="32" t="str">
        <x:v>Industria automotriz</x:v>
      </x:c>
      <x:c r="C742" s="32" t="str">
        <x:v>Industrias sin Aluar</x:v>
      </x:c>
      <x:c r="D742" s="62" t="n">
        <x:v>31</x:v>
      </x:c>
      <x:c r="E742" s="2" t="str">
        <x:v>Completo</x:v>
      </x:c>
      <x:c r="F742" s="56" t="n">
        <x:v>44.11443548387096</x:v>
      </x:c>
      <x:c r="G742" s="56" t="n">
        <x:f>F574</x:f>
        <x:v>43.09435887096774</x:v>
      </x:c>
      <x:c r="H742" s="57" t="n">
        <x:f>IF(ISNUMBER(G742),IF(G742=0,"n.a.",F742/G742-1),"n.a.")</x:f>
        <x:v>0.023670768973672818</x:v>
      </x:c>
      <x:c r="I742" s="58" t="n">
        <x:f>F742/J742</x:f>
        <x:v>0.037948605223354345</x:v>
      </x:c>
      <x:c r="J742" s="56" t="n">
        <x:v>1162.478442204301</x:v>
      </x:c>
    </x:row>
    <x:row r="743" ht="65" customHeight="1">
      <x:c r="A743" s="61" t="n">
        <x:v>46143</x:v>
      </x:c>
      <x:c r="B743" s="32" t="str">
        <x:v>Derivados de petróleo</x:v>
      </x:c>
      <x:c r="C743" s="32" t="str">
        <x:v>Industrias sin Aluar</x:v>
      </x:c>
      <x:c r="D743" s="62" t="n">
        <x:v>31</x:v>
      </x:c>
      <x:c r="E743" s="2" t="str">
        <x:v>Completo</x:v>
      </x:c>
      <x:c r="F743" s="56" t="n">
        <x:v>153.14805510752686</x:v>
      </x:c>
      <x:c r="G743" s="56" t="n">
        <x:f>F575</x:f>
        <x:v>144.58043548387099</x:v>
      </x:c>
      <x:c r="H743" s="57" t="n">
        <x:f>IF(ISNUMBER(G743),IF(G743=0,"n.a.",F743/G743-1),"n.a.")</x:f>
        <x:v>0.05925849922212789</x:v>
      </x:c>
      <x:c r="I743" s="58" t="n">
        <x:f>F743/J743</x:f>
        <x:v>0.13174270553966255</x:v>
      </x:c>
      <x:c r="J743" s="56" t="n">
        <x:v>1162.478442204301</x:v>
      </x:c>
    </x:row>
    <x:row r="744" ht="65" customHeight="1">
      <x:c r="A744" s="61" t="n">
        <x:v>46143</x:v>
      </x:c>
      <x:c r="B744" s="32" t="str">
        <x:v>Construcción: elaboración de cemento y canteras</x:v>
      </x:c>
      <x:c r="C744" s="32" t="str">
        <x:v>Industrias sin Aluar</x:v>
      </x:c>
      <x:c r="D744" s="62" t="n">
        <x:v>31</x:v>
      </x:c>
      <x:c r="E744" s="2" t="str">
        <x:v>Completo</x:v>
      </x:c>
      <x:c r="F744" s="56" t="n">
        <x:v>106.31837365591397</x:v>
      </x:c>
      <x:c r="G744" s="56" t="n">
        <x:f>F576</x:f>
        <x:v>109.74640591397849</x:v>
      </x:c>
      <x:c r="H744" s="57" t="n">
        <x:f>IF(ISNUMBER(G744),IF(G744=0,"n.a.",F744/G744-1),"n.a.")</x:f>
        <x:v>-0.03123594098153415</x:v>
      </x:c>
      <x:c r="I744" s="58" t="n">
        <x:f>F744/J744</x:f>
        <x:v>0.0914583615454513</x:v>
      </x:c>
      <x:c r="J744" s="56" t="n">
        <x:v>1162.478442204301</x:v>
      </x:c>
    </x:row>
    <x:row r="745" ht="65" customHeight="1">
      <x:c r="A745" s="61" t="n">
        <x:v>46143</x:v>
      </x:c>
      <x:c r="B745" s="32" t="str">
        <x:v>Madera y papel</x:v>
      </x:c>
      <x:c r="C745" s="32" t="str">
        <x:v>Industrias sin Aluar</x:v>
      </x:c>
      <x:c r="D745" s="62" t="n">
        <x:v>31</x:v>
      </x:c>
      <x:c r="E745" s="2" t="str">
        <x:v>Completo</x:v>
      </x:c>
      <x:c r="F745" s="56" t="n">
        <x:v>105.15008198924731</x:v>
      </x:c>
      <x:c r="G745" s="56" t="n">
        <x:f>F577</x:f>
        <x:v>102.44226612903226</x:v>
      </x:c>
      <x:c r="H745" s="57" t="n">
        <x:f>IF(ISNUMBER(G745),IF(G745=0,"n.a.",F745/G745-1),"n.a.")</x:f>
        <x:v>0.026432604066024767</x:v>
      </x:c>
      <x:c r="I745" s="58" t="n">
        <x:f>F745/J745</x:f>
        <x:v>0.09045336082952289</x:v>
      </x:c>
      <x:c r="J745" s="56" t="n">
        <x:v>1162.478442204301</x:v>
      </x:c>
    </x:row>
    <x:row r="746" ht="65" customHeight="1">
      <x:c r="A746" s="61" t="n">
        <x:v>46143</x:v>
      </x:c>
      <x:c r="B746" s="32" t="str">
        <x:v>Productos metálicos no automotores</x:v>
      </x:c>
      <x:c r="C746" s="32" t="str">
        <x:v>Industrias sin Aluar</x:v>
      </x:c>
      <x:c r="D746" s="62" t="n">
        <x:v>31</x:v>
      </x:c>
      <x:c r="E746" s="2" t="str">
        <x:v>Completo</x:v>
      </x:c>
      <x:c r="F746" s="56" t="n">
        <x:v>39.53677688172043</x:v>
      </x:c>
      <x:c r="G746" s="56" t="n">
        <x:f>F578</x:f>
        <x:v>30.53157258064516</x:v>
      </x:c>
      <x:c r="H746" s="57" t="n">
        <x:f>IF(ISNUMBER(G746),IF(G746=0,"n.a.",F746/G746-1),"n.a.")</x:f>
        <x:v>0.2949472804680857</x:v>
      </x:c>
      <x:c r="I746" s="58" t="n">
        <x:f>F746/J746</x:f>
        <x:v>0.03401076135807772</x:v>
      </x:c>
      <x:c r="J746" s="56" t="n">
        <x:v>1162.478442204301</x:v>
      </x:c>
    </x:row>
    <x:row r="747" ht="65" customHeight="1">
      <x:c r="A747" s="61" t="n">
        <x:v>46143</x:v>
      </x:c>
      <x:c r="B747" s="32" t="str">
        <x:v>Gran siderurgia</x:v>
      </x:c>
      <x:c r="C747" s="32" t="str">
        <x:v>Industrias sin Aluar</x:v>
      </x:c>
      <x:c r="D747" s="62" t="n">
        <x:v>31</x:v>
      </x:c>
      <x:c r="E747" s="2" t="str">
        <x:v>Completo</x:v>
      </x:c>
      <x:c r="F747" s="56" t="n">
        <x:v>318.2533346774194</x:v>
      </x:c>
      <x:c r="G747" s="56" t="n">
        <x:f>F579</x:f>
        <x:v>287.72241935483873</x:v>
      </x:c>
      <x:c r="H747" s="57" t="n">
        <x:f>IF(ISNUMBER(G747),IF(G747=0,"n.a.",F747/G747-1),"n.a.")</x:f>
        <x:v>0.10611239607619138</x:v>
      </x:c>
      <x:c r="I747" s="58" t="n">
        <x:f>F747/J747</x:f>
        <x:v>0.2737713863097064</x:v>
      </x:c>
      <x:c r="J747" s="56" t="n">
        <x:v>1162.478442204301</x:v>
      </x:c>
    </x:row>
    <x:row r="748" ht="65" customHeight="1">
      <x:c r="A748" s="61" t="n">
        <x:v>46143</x:v>
      </x:c>
      <x:c r="B748" s="32" t="str">
        <x:v>Industria textil</x:v>
      </x:c>
      <x:c r="C748" s="32" t="str">
        <x:v>Industrias sin Aluar</x:v>
      </x:c>
      <x:c r="D748" s="62" t="n">
        <x:v>31</x:v>
      </x:c>
      <x:c r="E748" s="2" t="str">
        <x:v>Completo</x:v>
      </x:c>
      <x:c r="F748" s="56" t="n">
        <x:v>38.682069892473116</x:v>
      </x:c>
      <x:c r="G748" s="56" t="n">
        <x:f>F580</x:f>
        <x:v>55.273020161290326</x:v>
      </x:c>
      <x:c r="H748" s="57" t="n">
        <x:f>IF(ISNUMBER(G748),IF(G748=0,"n.a.",F748/G748-1),"n.a.")</x:f>
        <x:v>-0.3001636281209842</x:v>
      </x:c>
      <x:c r="I748" s="58" t="n">
        <x:f>F748/J748</x:f>
        <x:v>0.0332755159047284</x:v>
      </x:c>
      <x:c r="J748" s="56" t="n">
        <x:v>1162.478442204301</x:v>
      </x:c>
    </x:row>
    <x:row r="749" ht="65" customHeight="1">
      <x:c r="A749" s="61" t="n">
        <x:v>46143</x:v>
      </x:c>
      <x:c r="B749" s="32" t="str">
        <x:v>Químicas, caucho, plástico y otros minerales no metálicos</x:v>
      </x:c>
      <x:c r="C749" s="32" t="str">
        <x:v>Industrias sin Aluar</x:v>
      </x:c>
      <x:c r="D749" s="62" t="n">
        <x:v>31</x:v>
      </x:c>
      <x:c r="E749" s="2" t="str">
        <x:v>Completo</x:v>
      </x:c>
      <x:c r="F749" s="56" t="n">
        <x:v>357.275314516129</x:v>
      </x:c>
      <x:c r="G749" s="56" t="n">
        <x:f>F581</x:f>
        <x:v>332.53623790322575</x:v>
      </x:c>
      <x:c r="H749" s="57" t="n">
        <x:f>IF(ISNUMBER(G749),IF(G749=0,"n.a.",F749/G749-1),"n.a.")</x:f>
        <x:v>0.07439512989288932</x:v>
      </x:c>
      <x:c r="I749" s="58" t="n">
        <x:f>F749/J749</x:f>
        <x:v>0.30733930328949643</x:v>
      </x:c>
      <x:c r="J749" s="56" t="n">
        <x:v>1162.478442204301</x:v>
      </x:c>
    </x:row>
    <x:row r="750" ht="65" customHeight="1">
      <x:c r="A750" s="61" t="n">
        <x:v>46143</x:v>
      </x:c>
      <x:c r="B750" s="32" t="str">
        <x:v>Extracción de minerales</x:v>
      </x:c>
      <x:c r="C750" s="32" t="str">
        <x:v>Petróleos y minerales</x:v>
      </x:c>
      <x:c r="D750" s="62" t="n">
        <x:v>31</x:v>
      </x:c>
      <x:c r="E750" s="2" t="str">
        <x:v>Completo</x:v>
      </x:c>
      <x:c r="F750" s="56" t="n">
        <x:v>37.073040322580646</x:v>
      </x:c>
      <x:c r="G750" s="56" t="n">
        <x:f>F582</x:f>
        <x:v>24.52288306451613</x:v>
      </x:c>
      <x:c r="H750" s="57" t="n">
        <x:f>IF(ISNUMBER(G750),IF(G750=0,"n.a.",F750/G750-1),"n.a.")</x:f>
        <x:v>0.5117733190280638</x:v>
      </x:c>
      <x:c r="I750" s="58" t="n">
        <x:f>F750/J750</x:f>
        <x:v>0.1965098930625259</x:v>
      </x:c>
      <x:c r="J750" s="56" t="n">
        <x:v>188.65737365591397</x:v>
      </x:c>
    </x:row>
    <x:row r="751" ht="65" customHeight="1">
      <x:c r="A751" s="61" t="n">
        <x:v>46143</x:v>
      </x:c>
      <x:c r="B751" s="32" t="str">
        <x:v>Extracción de petróleo</x:v>
      </x:c>
      <x:c r="C751" s="32" t="str">
        <x:v>Petróleos y minerales</x:v>
      </x:c>
      <x:c r="D751" s="62" t="n">
        <x:v>31</x:v>
      </x:c>
      <x:c r="E751" s="2" t="str">
        <x:v>Completo</x:v>
      </x:c>
      <x:c r="F751" s="56" t="n">
        <x:v>151.58433333333332</x:v>
      </x:c>
      <x:c r="G751" s="56" t="n">
        <x:f>F583</x:f>
        <x:v>155.61768279569893</x:v>
      </x:c>
      <x:c r="H751" s="57" t="n">
        <x:f>IF(ISNUMBER(G751),IF(G751=0,"n.a.",F751/G751-1),"n.a.")</x:f>
        <x:v>-0.025918323611467398</x:v>
      </x:c>
      <x:c r="I751" s="58" t="n">
        <x:f>F751/J751</x:f>
        <x:v>0.803490106937474</x:v>
      </x:c>
      <x:c r="J751" s="56" t="n">
        <x:v>188.65737365591397</x:v>
      </x:c>
    </x:row>
    <x:row r="752" ht="65" customHeight="1">
      <x:c r="A752" s="61" t="n">
        <x:v>46174</x:v>
      </x:c>
      <x:c r="B752" s="32" t="str">
        <x:v>Cargas y puertos</x:v>
      </x:c>
      <x:c r="C752" s="32" t="str">
        <x:v>Alimentación, comercios y servicios</x:v>
      </x:c>
      <x:c r="D752" s="62" t="n">
        <x:v>30</x:v>
      </x:c>
      <x:c r="E752" s="2" t="str">
        <x:v>Completo</x:v>
      </x:c>
      <x:c r="F752" s="56" t="n">
        <x:v>9.483913888888887</x:v>
      </x:c>
      <x:c r="G752" s="56" t="n">
        <x:f>F584</x:f>
        <x:v>9.643102777777779</x:v>
      </x:c>
      <x:c r="H752" s="57" t="n">
        <x:f>IF(ISNUMBER(G752),IF(G752=0,"n.a.",F752/G752-1),"n.a.")</x:f>
        <x:v>-0.016508056852379216</x:v>
      </x:c>
      <x:c r="I752" s="58" t="n">
        <x:f>F752/J752</x:f>
        <x:v>0.02062204630222473</x:v>
      </x:c>
      <x:c r="J752" s="56" t="n">
        <x:v>459.8919888888889</x:v>
      </x:c>
    </x:row>
    <x:row r="753" ht="65" customHeight="1">
      <x:c r="A753" s="61" t="n">
        <x:v>46174</x:v>
      </x:c>
      <x:c r="B753" s="32" t="str">
        <x:v>Comercio y servicios: principalmente supermercados y centros comerciales</x:v>
      </x:c>
      <x:c r="C753" s="32" t="str">
        <x:v>Alimentación, comercios y servicios</x:v>
      </x:c>
      <x:c r="D753" s="62" t="n">
        <x:v>30</x:v>
      </x:c>
      <x:c r="E753" s="2" t="str">
        <x:v>Completo</x:v>
      </x:c>
      <x:c r="F753" s="56" t="n">
        <x:v>49.477943055555556</x:v>
      </x:c>
      <x:c r="G753" s="56" t="n">
        <x:f>F585</x:f>
        <x:v>44.043680555555554</x:v>
      </x:c>
      <x:c r="H753" s="57" t="n">
        <x:f>IF(ISNUMBER(G753),IF(G753=0,"n.a.",F753/G753-1),"n.a.")</x:f>
        <x:v>0.12338347820739837</x:v>
      </x:c>
      <x:c r="I753" s="58" t="n">
        <x:f>F753/J753</x:f>
        <x:v>0.10758600769518853</x:v>
      </x:c>
      <x:c r="J753" s="56" t="n">
        <x:v>459.8919888888889</x:v>
      </x:c>
    </x:row>
    <x:row r="754" ht="65" customHeight="1">
      <x:c r="A754" s="61" t="n">
        <x:v>46174</x:v>
      </x:c>
      <x:c r="B754" s="32" t="str">
        <x:v>Alimentación y artículos de consumo masivo</x:v>
      </x:c>
      <x:c r="C754" s="32" t="str">
        <x:v>Alimentación, comercios y servicios</x:v>
      </x:c>
      <x:c r="D754" s="62" t="n">
        <x:v>30</x:v>
      </x:c>
      <x:c r="E754" s="2" t="str">
        <x:v>Completo</x:v>
      </x:c>
      <x:c r="F754" s="56" t="n">
        <x:v>330.7736902777778</x:v>
      </x:c>
      <x:c r="G754" s="56" t="n">
        <x:f>F586</x:f>
        <x:v>279.086475</x:v>
      </x:c>
      <x:c r="H754" s="57" t="n">
        <x:f>IF(ISNUMBER(G754),IF(G754=0,"n.a.",F754/G754-1),"n.a.")</x:f>
        <x:v>0.18520143363370734</x:v>
      </x:c>
      <x:c r="I754" s="58" t="n">
        <x:f>F754/J754</x:f>
        <x:v>0.7192421226491371</x:v>
      </x:c>
      <x:c r="J754" s="56" t="n">
        <x:v>459.8919888888889</x:v>
      </x:c>
    </x:row>
    <x:row r="755" ht="65" customHeight="1">
      <x:c r="A755" s="61" t="n">
        <x:v>46174</x:v>
      </x:c>
      <x:c r="B755" s="32" t="str">
        <x:v>Servicios públicos y transporte: agua y transporte en GBA</x:v>
      </x:c>
      <x:c r="C755" s="32" t="str">
        <x:v>Alimentación, comercios y servicios</x:v>
      </x:c>
      <x:c r="D755" s="62" t="n">
        <x:v>30</x:v>
      </x:c>
      <x:c r="E755" s="2" t="str">
        <x:v>Completo</x:v>
      </x:c>
      <x:c r="F755" s="56" t="n">
        <x:v>70.15644166666668</x:v>
      </x:c>
      <x:c r="G755" s="56" t="n">
        <x:f>F587</x:f>
        <x:v>74.01151527777778</x:v>
      </x:c>
      <x:c r="H755" s="57" t="n">
        <x:f>IF(ISNUMBER(G755),IF(G755=0,"n.a.",F755/G755-1),"n.a.")</x:f>
        <x:v>-0.05208748390898832</x:v>
      </x:c>
      <x:c r="I755" s="58" t="n">
        <x:f>F755/J755</x:f>
        <x:v>0.15254982335344977</x:v>
      </x:c>
      <x:c r="J755" s="56" t="n">
        <x:v>459.8919888888889</x:v>
      </x:c>
    </x:row>
    <x:row r="756" ht="65" customHeight="1">
      <x:c r="A756" s="61" t="n">
        <x:v>46174</x:v>
      </x:c>
      <x:c r="B756" s="32" t="str">
        <x:v>Industria automotriz</x:v>
      </x:c>
      <x:c r="C756" s="32" t="str">
        <x:v>Industrias sin Aluar</x:v>
      </x:c>
      <x:c r="D756" s="62" t="n">
        <x:v>30</x:v>
      </x:c>
      <x:c r="E756" s="2" t="str">
        <x:v>Completo</x:v>
      </x:c>
      <x:c r="F756" s="56" t="n">
        <x:v>44.93822222222222</x:v>
      </x:c>
      <x:c r="G756" s="56" t="n">
        <x:f>F588</x:f>
        <x:v>42.16368333333333</x:v>
      </x:c>
      <x:c r="H756" s="57" t="n">
        <x:f>IF(ISNUMBER(G756),IF(G756=0,"n.a.",F756/G756-1),"n.a.")</x:f>
        <x:v>0.0658039969362787</x:v>
      </x:c>
      <x:c r="I756" s="58" t="n">
        <x:f>F756/J756</x:f>
        <x:v>0.039511325479011865</x:v>
      </x:c>
      <x:c r="J756" s="56" t="n">
        <x:v>1137.3504097222221</x:v>
      </x:c>
    </x:row>
    <x:row r="757" ht="65" customHeight="1">
      <x:c r="A757" s="61" t="n">
        <x:v>46174</x:v>
      </x:c>
      <x:c r="B757" s="32" t="str">
        <x:v>Derivados de petróleo</x:v>
      </x:c>
      <x:c r="C757" s="32" t="str">
        <x:v>Industrias sin Aluar</x:v>
      </x:c>
      <x:c r="D757" s="62" t="n">
        <x:v>30</x:v>
      </x:c>
      <x:c r="E757" s="2" t="str">
        <x:v>Completo</x:v>
      </x:c>
      <x:c r="F757" s="56" t="n">
        <x:v>154.25398611111112</x:v>
      </x:c>
      <x:c r="G757" s="56" t="n">
        <x:f>F589</x:f>
        <x:v>151.43318055555557</x:v>
      </x:c>
      <x:c r="H757" s="57" t="n">
        <x:f>IF(ISNUMBER(G757),IF(G757=0,"n.a.",F757/G757-1),"n.a.")</x:f>
        <x:v>0.018627394242179962</x:v>
      </x:c>
      <x:c r="I757" s="58" t="n">
        <x:f>F757/J757</x:f>
        <x:v>0.13562573573854425</x:v>
      </x:c>
      <x:c r="J757" s="56" t="n">
        <x:v>1137.3504097222221</x:v>
      </x:c>
    </x:row>
    <x:row r="758" ht="65" customHeight="1">
      <x:c r="A758" s="61" t="n">
        <x:v>46174</x:v>
      </x:c>
      <x:c r="B758" s="32" t="str">
        <x:v>Construcción: elaboración de cemento y canteras</x:v>
      </x:c>
      <x:c r="C758" s="32" t="str">
        <x:v>Industrias sin Aluar</x:v>
      </x:c>
      <x:c r="D758" s="62" t="n">
        <x:v>30</x:v>
      </x:c>
      <x:c r="E758" s="2" t="str">
        <x:v>Completo</x:v>
      </x:c>
      <x:c r="F758" s="56" t="n">
        <x:v>101.10380416666666</x:v>
      </x:c>
      <x:c r="G758" s="56" t="n">
        <x:f>F590</x:f>
        <x:v>111.61258055555555</x:v>
      </x:c>
      <x:c r="H758" s="57" t="n">
        <x:f>IF(ISNUMBER(G758),IF(G758=0,"n.a.",F758/G758-1),"n.a.")</x:f>
        <x:v>-0.0941540490917877</x:v>
      </x:c>
      <x:c r="I758" s="58" t="n">
        <x:f>F758/J758</x:f>
        <x:v>0.0888941554884211</x:v>
      </x:c>
      <x:c r="J758" s="56" t="n">
        <x:v>1137.3504097222221</x:v>
      </x:c>
    </x:row>
    <x:row r="759" ht="65" customHeight="1">
      <x:c r="A759" s="61" t="n">
        <x:v>46174</x:v>
      </x:c>
      <x:c r="B759" s="32" t="str">
        <x:v>Madera y papel</x:v>
      </x:c>
      <x:c r="C759" s="32" t="str">
        <x:v>Industrias sin Aluar</x:v>
      </x:c>
      <x:c r="D759" s="62" t="n">
        <x:v>30</x:v>
      </x:c>
      <x:c r="E759" s="2" t="str">
        <x:v>Completo</x:v>
      </x:c>
      <x:c r="F759" s="56" t="n">
        <x:v>107.18345416666668</x:v>
      </x:c>
      <x:c r="G759" s="56" t="n">
        <x:f>F591</x:f>
        <x:v>100.88241666666666</x:v>
      </x:c>
      <x:c r="H759" s="57" t="n">
        <x:f>IF(ISNUMBER(G759),IF(G759=0,"n.a.",F759/G759-1),"n.a.")</x:f>
        <x:v>0.06245922439407625</x:v>
      </x:c>
      <x:c r="I759" s="58" t="n">
        <x:f>F759/J759</x:f>
        <x:v>0.09423960571029676</x:v>
      </x:c>
      <x:c r="J759" s="56" t="n">
        <x:v>1137.3504097222221</x:v>
      </x:c>
    </x:row>
    <x:row r="760" ht="65" customHeight="1">
      <x:c r="A760" s="61" t="n">
        <x:v>46174</x:v>
      </x:c>
      <x:c r="B760" s="32" t="str">
        <x:v>Productos metálicos no automotores</x:v>
      </x:c>
      <x:c r="C760" s="32" t="str">
        <x:v>Industrias sin Aluar</x:v>
      </x:c>
      <x:c r="D760" s="62" t="n">
        <x:v>30</x:v>
      </x:c>
      <x:c r="E760" s="2" t="str">
        <x:v>Completo</x:v>
      </x:c>
      <x:c r="F760" s="56" t="n">
        <x:v>40.7641</x:v>
      </x:c>
      <x:c r="G760" s="56" t="n">
        <x:f>F592</x:f>
        <x:v>38.19257777777777</x:v>
      </x:c>
      <x:c r="H760" s="57" t="n">
        <x:f>IF(ISNUMBER(G760),IF(G760=0,"n.a.",F760/G760-1),"n.a.")</x:f>
        <x:v>0.06733041789387828</x:v>
      </x:c>
      <x:c r="I760" s="58" t="n">
        <x:f>F760/J760</x:f>
        <x:v>0.03584128484198279</x:v>
      </x:c>
      <x:c r="J760" s="56" t="n">
        <x:v>1137.3504097222221</x:v>
      </x:c>
    </x:row>
    <x:row r="761" ht="65" customHeight="1">
      <x:c r="A761" s="61" t="n">
        <x:v>46174</x:v>
      </x:c>
      <x:c r="B761" s="32" t="str">
        <x:v>Gran siderurgia</x:v>
      </x:c>
      <x:c r="C761" s="32" t="str">
        <x:v>Industrias sin Aluar</x:v>
      </x:c>
      <x:c r="D761" s="62" t="n">
        <x:v>30</x:v>
      </x:c>
      <x:c r="E761" s="2" t="str">
        <x:v>Completo</x:v>
      </x:c>
      <x:c r="F761" s="56" t="n">
        <x:v>293.9984777777778</x:v>
      </x:c>
      <x:c r="G761" s="56" t="n">
        <x:f>F593</x:f>
        <x:v>266.9037902777778</x:v>
      </x:c>
      <x:c r="H761" s="57" t="n">
        <x:f>IF(ISNUMBER(G761),IF(G761=0,"n.a.",F761/G761-1),"n.a.")</x:f>
        <x:v>0.10151480978146266</x:v>
      </x:c>
      <x:c r="I761" s="58" t="n">
        <x:f>F761/J761</x:f>
        <x:v>0.25849419428228965</x:v>
      </x:c>
      <x:c r="J761" s="56" t="n">
        <x:v>1137.3504097222221</x:v>
      </x:c>
    </x:row>
    <x:row r="762" ht="65" customHeight="1">
      <x:c r="A762" s="61" t="n">
        <x:v>46174</x:v>
      </x:c>
      <x:c r="B762" s="32" t="str">
        <x:v>Industria textil</x:v>
      </x:c>
      <x:c r="C762" s="32" t="str">
        <x:v>Industrias sin Aluar</x:v>
      </x:c>
      <x:c r="D762" s="62" t="n">
        <x:v>30</x:v>
      </x:c>
      <x:c r="E762" s="2" t="str">
        <x:v>Completo</x:v>
      </x:c>
      <x:c r="F762" s="56" t="n">
        <x:v>40.55865138888889</x:v>
      </x:c>
      <x:c r="G762" s="56" t="n">
        <x:f>F594</x:f>
        <x:v>53.01022777777778</x:v>
      </x:c>
      <x:c r="H762" s="57" t="n">
        <x:f>IF(ISNUMBER(G762),IF(G762=0,"n.a.",F762/G762-1),"n.a.")</x:f>
        <x:v>-0.23489007519618066</x:v>
      </x:c>
      <x:c r="I762" s="58" t="n">
        <x:f>F762/J762</x:f>
        <x:v>0.035660646923048656</x:v>
      </x:c>
      <x:c r="J762" s="56" t="n">
        <x:v>1137.3504097222221</x:v>
      </x:c>
    </x:row>
    <x:row r="763" ht="65" customHeight="1">
      <x:c r="A763" s="61" t="n">
        <x:v>46174</x:v>
      </x:c>
      <x:c r="B763" s="32" t="str">
        <x:v>Químicas, caucho, plástico y otros minerales no metálicos</x:v>
      </x:c>
      <x:c r="C763" s="32" t="str">
        <x:v>Industrias sin Aluar</x:v>
      </x:c>
      <x:c r="D763" s="62" t="n">
        <x:v>30</x:v>
      </x:c>
      <x:c r="E763" s="2" t="str">
        <x:v>Completo</x:v>
      </x:c>
      <x:c r="F763" s="56" t="n">
        <x:v>354.5497138888889</x:v>
      </x:c>
      <x:c r="G763" s="56" t="n">
        <x:f>F595</x:f>
        <x:v>317.5846305555555</x:v>
      </x:c>
      <x:c r="H763" s="57" t="n">
        <x:f>IF(ISNUMBER(G763),IF(G763=0,"n.a.",F763/G763-1),"n.a.")</x:f>
        <x:v>0.11639443404005356</x:v>
      </x:c>
      <x:c r="I763" s="58" t="n">
        <x:f>F763/J763</x:f>
        <x:v>0.31173305153640507</x:v>
      </x:c>
      <x:c r="J763" s="56" t="n">
        <x:v>1137.3504097222221</x:v>
      </x:c>
    </x:row>
    <x:row r="764" ht="65" customHeight="1">
      <x:c r="A764" s="61" t="n">
        <x:v>46174</x:v>
      </x:c>
      <x:c r="B764" s="32" t="str">
        <x:v>Extracción de minerales</x:v>
      </x:c>
      <x:c r="C764" s="32" t="str">
        <x:v>Petróleos y minerales</x:v>
      </x:c>
      <x:c r="D764" s="62" t="n">
        <x:v>30</x:v>
      </x:c>
      <x:c r="E764" s="2" t="str">
        <x:v>Completo</x:v>
      </x:c>
      <x:c r="F764" s="56" t="n">
        <x:v>35.924308333333336</x:v>
      </x:c>
      <x:c r="G764" s="56" t="n">
        <x:f>F596</x:f>
        <x:v>25.42856388888889</x:v>
      </x:c>
      <x:c r="H764" s="57" t="n">
        <x:f>IF(ISNUMBER(G764),IF(G764=0,"n.a.",F764/G764-1),"n.a.")</x:f>
        <x:v>0.41275411738964163</x:v>
      </x:c>
      <x:c r="I764" s="58" t="n">
        <x:f>F764/J764</x:f>
        <x:v>0.18583118625185424</x:v>
      </x:c>
      <x:c r="J764" s="56" t="n">
        <x:v>193.3168972222222</x:v>
      </x:c>
    </x:row>
    <x:row r="765" ht="65" customHeight="1">
      <x:c r="A765" s="61" t="n">
        <x:v>46174</x:v>
      </x:c>
      <x:c r="B765" s="32" t="str">
        <x:v>Extracción de petróleo</x:v>
      </x:c>
      <x:c r="C765" s="32" t="str">
        <x:v>Petróleos y minerales</x:v>
      </x:c>
      <x:c r="D765" s="62" t="n">
        <x:v>30</x:v>
      </x:c>
      <x:c r="E765" s="2" t="str">
        <x:v>Completo</x:v>
      </x:c>
      <x:c r="F765" s="56" t="n">
        <x:v>157.3925888888889</x:v>
      </x:c>
      <x:c r="G765" s="56" t="n">
        <x:f>F597</x:f>
        <x:v>151.82418888888887</x:v>
      </x:c>
      <x:c r="H765" s="57" t="n">
        <x:f>IF(ISNUMBER(G765),IF(G765=0,"n.a.",F765/G765-1),"n.a.")</x:f>
        <x:v>0.03667663262851484</x:v>
      </x:c>
      <x:c r="I765" s="58" t="n">
        <x:f>F765/J765</x:f>
        <x:v>0.814168813748146</x:v>
      </x:c>
      <x:c r="J765" s="56" t="n">
        <x:v>193.3168972222222</x:v>
      </x:c>
    </x:row>
    <x:row r="766" ht="65" customHeight="1">
      <x:c r="A766" s="61" t="n">
        <x:v>46204</x:v>
      </x:c>
      <x:c r="B766" s="32" t="str">
        <x:v>Cargas y puertos</x:v>
      </x:c>
      <x:c r="C766" s="32" t="str">
        <x:v>Alimentación, comercios y servicios</x:v>
      </x:c>
      <x:c r="D766" s="62" t="n">
        <x:v>31</x:v>
      </x:c>
      <x:c r="E766" s="2" t="str">
        <x:v>Completo</x:v>
      </x:c>
      <x:c r="F766" s="56" t="n">
        <x:v>9.82797311827957</x:v>
      </x:c>
      <x:c r="G766" s="56" t="n">
        <x:f>F598</x:f>
        <x:v>9.712587365591398</x:v>
      </x:c>
      <x:c r="H766" s="57" t="n">
        <x:f>IF(ISNUMBER(G766),IF(G766=0,"n.a.",F766/G766-1),"n.a.")</x:f>
        <x:v>0.011880022114081124</x:v>
      </x:c>
      <x:c r="I766" s="58" t="n">
        <x:f>F766/J766</x:f>
        <x:v>0.021275306279891854</x:v>
      </x:c>
      <x:c r="J766" s="56" t="n">
        <x:v>461.94273252688174</x:v>
      </x:c>
    </x:row>
    <x:row r="767" ht="65" customHeight="1">
      <x:c r="A767" s="61" t="n">
        <x:v>46204</x:v>
      </x:c>
      <x:c r="B767" s="32" t="str">
        <x:v>Comercio y servicios: principalmente supermercados y centros comerciales</x:v>
      </x:c>
      <x:c r="C767" s="32" t="str">
        <x:v>Alimentación, comercios y servicios</x:v>
      </x:c>
      <x:c r="D767" s="62" t="n">
        <x:v>31</x:v>
      </x:c>
      <x:c r="E767" s="2" t="str">
        <x:v>Completo</x:v>
      </x:c>
      <x:c r="F767" s="56" t="n">
        <x:v>50.19701344086022</x:v>
      </x:c>
      <x:c r="G767" s="56" t="n">
        <x:f>F599</x:f>
        <x:v>43.9786935483871</x:v>
      </x:c>
      <x:c r="H767" s="57" t="n">
        <x:f>IF(ISNUMBER(G767),IF(G767=0,"n.a.",F767/G767-1),"n.a.")</x:f>
        <x:v>0.14139392034534803</x:v>
      </x:c>
      <x:c r="I767" s="58" t="n">
        <x:f>F767/J767</x:f>
        <x:v>0.10866501387796833</x:v>
      </x:c>
      <x:c r="J767" s="56" t="n">
        <x:v>461.94273252688174</x:v>
      </x:c>
    </x:row>
    <x:row r="768" ht="65" customHeight="1">
      <x:c r="A768" s="61" t="n">
        <x:v>46204</x:v>
      </x:c>
      <x:c r="B768" s="32" t="str">
        <x:v>Alimentación y artículos de consumo masivo</x:v>
      </x:c>
      <x:c r="C768" s="32" t="str">
        <x:v>Alimentación, comercios y servicios</x:v>
      </x:c>
      <x:c r="D768" s="62" t="n">
        <x:v>31</x:v>
      </x:c>
      <x:c r="E768" s="2" t="str">
        <x:v>Completo</x:v>
      </x:c>
      <x:c r="F768" s="56" t="n">
        <x:v>332.2968857526882</x:v>
      </x:c>
      <x:c r="G768" s="56" t="n">
        <x:f>F600</x:f>
        <x:v>288.0569758064516</x:v>
      </x:c>
      <x:c r="H768" s="57" t="n">
        <x:f>IF(ISNUMBER(G768),IF(G768=0,"n.a.",F768/G768-1),"n.a.")</x:f>
        <x:v>0.15358041520217114</x:v>
      </x:c>
      <x:c r="I768" s="58" t="n">
        <x:f>F768/J768</x:f>
        <x:v>0.7193464954735507</x:v>
      </x:c>
      <x:c r="J768" s="56" t="n">
        <x:v>461.94273252688174</x:v>
      </x:c>
    </x:row>
    <x:row r="769" ht="65" customHeight="1">
      <x:c r="A769" s="61" t="n">
        <x:v>46204</x:v>
      </x:c>
      <x:c r="B769" s="32" t="str">
        <x:v>Servicios públicos y transporte: agua y transporte en GBA</x:v>
      </x:c>
      <x:c r="C769" s="32" t="str">
        <x:v>Alimentación, comercios y servicios</x:v>
      </x:c>
      <x:c r="D769" s="62" t="n">
        <x:v>31</x:v>
      </x:c>
      <x:c r="E769" s="2" t="str">
        <x:v>Completo</x:v>
      </x:c>
      <x:c r="F769" s="56" t="n">
        <x:v>69.62086021505375</x:v>
      </x:c>
      <x:c r="G769" s="56" t="n">
        <x:f>F601</x:f>
        <x:v>73.52754032258065</x:v>
      </x:c>
      <x:c r="H769" s="57" t="n">
        <x:f>IF(ISNUMBER(G769),IF(G769=0,"n.a.",F769/G769-1),"n.a.")</x:f>
        <x:v>-0.0531322017625977</x:v>
      </x:c>
      <x:c r="I769" s="58" t="n">
        <x:f>F769/J769</x:f>
        <x:v>0.15071318436858908</x:v>
      </x:c>
      <x:c r="J769" s="56" t="n">
        <x:v>461.94273252688174</x:v>
      </x:c>
    </x:row>
    <x:row r="770" ht="65" customHeight="1">
      <x:c r="A770" s="61" t="n">
        <x:v>46204</x:v>
      </x:c>
      <x:c r="B770" s="32" t="str">
        <x:v>Industria automotriz</x:v>
      </x:c>
      <x:c r="C770" s="32" t="str">
        <x:v>Industrias sin Aluar</x:v>
      </x:c>
      <x:c r="D770" s="62" t="n">
        <x:v>31</x:v>
      </x:c>
      <x:c r="E770" s="2" t="str">
        <x:v>Completo</x:v>
      </x:c>
      <x:c r="F770" s="56" t="n">
        <x:v>43.14829301075269</x:v>
      </x:c>
      <x:c r="G770" s="56" t="n">
        <x:f>F602</x:f>
        <x:v>38.95674059139785</x:v>
      </x:c>
      <x:c r="H770" s="57" t="n">
        <x:f>IF(ISNUMBER(G770),IF(G770=0,"n.a.",F770/G770-1),"n.a.")</x:f>
        <x:v>0.10759504916795803</x:v>
      </x:c>
      <x:c r="I770" s="58" t="n">
        <x:f>F770/J770</x:f>
        <x:v>0.03938638266122125</x:v>
      </x:c>
      <x:c r="J770" s="56" t="n">
        <x:v>1095.5129690860215</x:v>
      </x:c>
    </x:row>
    <x:row r="771" ht="65" customHeight="1">
      <x:c r="A771" s="61" t="n">
        <x:v>46204</x:v>
      </x:c>
      <x:c r="B771" s="32" t="str">
        <x:v>Derivados de petróleo</x:v>
      </x:c>
      <x:c r="C771" s="32" t="str">
        <x:v>Industrias sin Aluar</x:v>
      </x:c>
      <x:c r="D771" s="62" t="n">
        <x:v>31</x:v>
      </x:c>
      <x:c r="E771" s="2" t="str">
        <x:v>Completo</x:v>
      </x:c>
      <x:c r="F771" s="56" t="n">
        <x:v>157.7597620967742</x:v>
      </x:c>
      <x:c r="G771" s="56" t="n">
        <x:f>F603</x:f>
        <x:v>173.21219220430106</x:v>
      </x:c>
      <x:c r="H771" s="57" t="n">
        <x:f>IF(ISNUMBER(G771),IF(G771=0,"n.a.",F771/G771-1),"n.a.")</x:f>
        <x:v>-0.08921098400106242</x:v>
      </x:c>
      <x:c r="I771" s="58" t="n">
        <x:f>F771/J771</x:f>
        <x:v>0.14400538062857626</x:v>
      </x:c>
      <x:c r="J771" s="56" t="n">
        <x:v>1095.5129690860215</x:v>
      </x:c>
    </x:row>
    <x:row r="772" ht="65" customHeight="1">
      <x:c r="A772" s="61" t="n">
        <x:v>46204</x:v>
      </x:c>
      <x:c r="B772" s="32" t="str">
        <x:v>Construcción: elaboración de cemento y canteras</x:v>
      </x:c>
      <x:c r="C772" s="32" t="str">
        <x:v>Industrias sin Aluar</x:v>
      </x:c>
      <x:c r="D772" s="62" t="n">
        <x:v>31</x:v>
      </x:c>
      <x:c r="E772" s="2" t="str">
        <x:v>Completo</x:v>
      </x:c>
      <x:c r="F772" s="56" t="n">
        <x:v>102.73809677419355</x:v>
      </x:c>
      <x:c r="G772" s="56" t="n">
        <x:f>F604</x:f>
        <x:v>122.29569086021505</x:v>
      </x:c>
      <x:c r="H772" s="57" t="n">
        <x:f>IF(ISNUMBER(G772),IF(G772=0,"n.a.",F772/G772-1),"n.a.")</x:f>
        <x:v>-0.1599205495177748</x:v>
      </x:c>
      <x:c r="I772" s="58" t="n">
        <x:f>F772/J772</x:f>
        <x:v>0.09378081289161479</x:v>
      </x:c>
      <x:c r="J772" s="56" t="n">
        <x:v>1095.5129690860215</x:v>
      </x:c>
    </x:row>
    <x:row r="773" ht="65" customHeight="1">
      <x:c r="A773" s="61" t="n">
        <x:v>46204</x:v>
      </x:c>
      <x:c r="B773" s="32" t="str">
        <x:v>Madera y papel</x:v>
      </x:c>
      <x:c r="C773" s="32" t="str">
        <x:v>Industrias sin Aluar</x:v>
      </x:c>
      <x:c r="D773" s="62" t="n">
        <x:v>31</x:v>
      </x:c>
      <x:c r="E773" s="2" t="str">
        <x:v>Completo</x:v>
      </x:c>
      <x:c r="F773" s="56" t="n">
        <x:v>103.40906989247313</x:v>
      </x:c>
      <x:c r="G773" s="56" t="n">
        <x:f>F605</x:f>
        <x:v>99.60840456989249</x:v>
      </x:c>
      <x:c r="H773" s="57" t="n">
        <x:f>IF(ISNUMBER(G773),IF(G773=0,"n.a.",F773/G773-1),"n.a.")</x:f>
        <x:v>0.0381560706547992</x:v>
      </x:c>
      <x:c r="I773" s="58" t="n">
        <x:f>F773/J773</x:f>
        <x:v>0.09439328680768294</x:v>
      </x:c>
      <x:c r="J773" s="56" t="n">
        <x:v>1095.5129690860215</x:v>
      </x:c>
    </x:row>
    <x:row r="774" ht="65" customHeight="1">
      <x:c r="A774" s="61" t="n">
        <x:v>46204</x:v>
      </x:c>
      <x:c r="B774" s="32" t="str">
        <x:v>Productos metálicos no automotores</x:v>
      </x:c>
      <x:c r="C774" s="32" t="str">
        <x:v>Industrias sin Aluar</x:v>
      </x:c>
      <x:c r="D774" s="62" t="n">
        <x:v>31</x:v>
      </x:c>
      <x:c r="E774" s="2" t="str">
        <x:v>Completo</x:v>
      </x:c>
      <x:c r="F774" s="56" t="n">
        <x:v>24.68722311827957</x:v>
      </x:c>
      <x:c r="G774" s="56" t="n">
        <x:f>F606</x:f>
        <x:v>43.541455645161285</x:v>
      </x:c>
      <x:c r="H774" s="57" t="n">
        <x:f>IF(ISNUMBER(G774),IF(G774=0,"n.a.",F774/G774-1),"n.a.")</x:f>
        <x:v>-0.4330179652360099</x:v>
      </x:c>
      <x:c r="I774" s="58" t="n">
        <x:f>F774/J774</x:f>
        <x:v>0.022534852452614905</x:v>
      </x:c>
      <x:c r="J774" s="56" t="n">
        <x:v>1095.5129690860215</x:v>
      </x:c>
    </x:row>
    <x:row r="775" ht="65" customHeight="1">
      <x:c r="A775" s="61" t="n">
        <x:v>46204</x:v>
      </x:c>
      <x:c r="B775" s="32" t="str">
        <x:v>Gran siderurgia</x:v>
      </x:c>
      <x:c r="C775" s="32" t="str">
        <x:v>Industrias sin Aluar</x:v>
      </x:c>
      <x:c r="D775" s="62" t="n">
        <x:v>31</x:v>
      </x:c>
      <x:c r="E775" s="2" t="str">
        <x:v>Completo</x:v>
      </x:c>
      <x:c r="F775" s="56" t="n">
        <x:v>287.02912499999996</x:v>
      </x:c>
      <x:c r="G775" s="56" t="n">
        <x:f>F607</x:f>
        <x:v>261.25713440860216</x:v>
      </x:c>
      <x:c r="H775" s="57" t="n">
        <x:f>IF(ISNUMBER(G775),IF(G775=0,"n.a.",F775/G775-1),"n.a.")</x:f>
        <x:v>0.0986460739138737</x:v>
      </x:c>
      <x:c r="I775" s="58" t="n">
        <x:f>F775/J775</x:f>
        <x:v>0.2620043149644009</x:v>
      </x:c>
      <x:c r="J775" s="56" t="n">
        <x:v>1095.5129690860215</x:v>
      </x:c>
    </x:row>
    <x:row r="776" ht="65" customHeight="1">
      <x:c r="A776" s="61" t="n">
        <x:v>46204</x:v>
      </x:c>
      <x:c r="B776" s="32" t="str">
        <x:v>Industria textil</x:v>
      </x:c>
      <x:c r="C776" s="32" t="str">
        <x:v>Industrias sin Aluar</x:v>
      </x:c>
      <x:c r="D776" s="62" t="n">
        <x:v>31</x:v>
      </x:c>
      <x:c r="E776" s="2" t="str">
        <x:v>Completo</x:v>
      </x:c>
      <x:c r="F776" s="56" t="n">
        <x:v>41.2665685483871</x:v>
      </x:c>
      <x:c r="G776" s="56" t="n">
        <x:f>F608</x:f>
        <x:v>49.99107795698925</x:v>
      </x:c>
      <x:c r="H776" s="57" t="n">
        <x:f>IF(ISNUMBER(G776),IF(G776=0,"n.a.",F776/G776-1),"n.a.")</x:f>
        <x:v>-0.17452132990827773</x:v>
      </x:c>
      <x:c r="I776" s="58" t="n">
        <x:f>F776/J776</x:f>
        <x:v>0.03766871749844778</x:v>
      </x:c>
      <x:c r="J776" s="56" t="n">
        <x:v>1095.5129690860215</x:v>
      </x:c>
    </x:row>
    <x:row r="777" ht="65" customHeight="1">
      <x:c r="A777" s="61" t="n">
        <x:v>46204</x:v>
      </x:c>
      <x:c r="B777" s="32" t="str">
        <x:v>Químicas, caucho, plástico y otros minerales no metálicos</x:v>
      </x:c>
      <x:c r="C777" s="32" t="str">
        <x:v>Industrias sin Aluar</x:v>
      </x:c>
      <x:c r="D777" s="62" t="n">
        <x:v>31</x:v>
      </x:c>
      <x:c r="E777" s="2" t="str">
        <x:v>Completo</x:v>
      </x:c>
      <x:c r="F777" s="56" t="n">
        <x:v>335.4748306451613</x:v>
      </x:c>
      <x:c r="G777" s="56" t="n">
        <x:f>F609</x:f>
        <x:v>316.4524690860215</x:v>
      </x:c>
      <x:c r="H777" s="57" t="n">
        <x:f>IF(ISNUMBER(G777),IF(G777=0,"n.a.",F777/G777-1),"n.a.")</x:f>
        <x:v>0.06011127552292517</x:v>
      </x:c>
      <x:c r="I777" s="58" t="n">
        <x:f>F777/J777</x:f>
        <x:v>0.30622625209544124</x:v>
      </x:c>
      <x:c r="J777" s="56" t="n">
        <x:v>1095.5129690860215</x:v>
      </x:c>
    </x:row>
    <x:row r="778" ht="65" customHeight="1">
      <x:c r="A778" s="61" t="n">
        <x:v>46204</x:v>
      </x:c>
      <x:c r="B778" s="32" t="str">
        <x:v>Extracción de minerales</x:v>
      </x:c>
      <x:c r="C778" s="32" t="str">
        <x:v>Petróleos y minerales</x:v>
      </x:c>
      <x:c r="D778" s="62" t="n">
        <x:v>31</x:v>
      </x:c>
      <x:c r="E778" s="2" t="str">
        <x:v>Completo</x:v>
      </x:c>
      <x:c r="F778" s="56" t="n">
        <x:v>31.457631720430108</x:v>
      </x:c>
      <x:c r="G778" s="56" t="n">
        <x:f>F610</x:f>
        <x:v>25.554833333333335</x:v>
      </x:c>
      <x:c r="H778" s="57" t="n">
        <x:f>IF(ISNUMBER(G778),IF(G778=0,"n.a.",F778/G778-1),"n.a.")</x:f>
        <x:v>0.23098559517495465</x:v>
      </x:c>
      <x:c r="I778" s="58" t="n">
        <x:f>F778/J778</x:f>
        <x:v>0.16878274322130343</x:v>
      </x:c>
      <x:c r="J778" s="56" t="n">
        <x:v>186.3794314516129</x:v>
      </x:c>
    </x:row>
    <x:row r="779" ht="65" customHeight="1">
      <x:c r="A779" s="61" t="n">
        <x:v>46204</x:v>
      </x:c>
      <x:c r="B779" s="32" t="str">
        <x:v>Extracción de petróleo</x:v>
      </x:c>
      <x:c r="C779" s="32" t="str">
        <x:v>Petróleos y minerales</x:v>
      </x:c>
      <x:c r="D779" s="62" t="n">
        <x:v>31</x:v>
      </x:c>
      <x:c r="E779" s="2" t="str">
        <x:v>Completo</x:v>
      </x:c>
      <x:c r="F779" s="56" t="n">
        <x:v>154.9217997311828</x:v>
      </x:c>
      <x:c r="G779" s="56" t="n">
        <x:f>F611</x:f>
        <x:v>145.85157123655912</x:v>
      </x:c>
      <x:c r="H779" s="57" t="n">
        <x:f>IF(ISNUMBER(G779),IF(G779=0,"n.a.",F779/G779-1),"n.a.")</x:f>
        <x:v>0.06218807529959691</x:v>
      </x:c>
      <x:c r="I779" s="58" t="n">
        <x:f>F779/J779</x:f>
        <x:v>0.8312172567786966</x:v>
      </x:c>
      <x:c r="J779" s="56" t="n">
        <x:v>186.3794314516129</x:v>
      </x:c>
    </x:row>
    <x:row r="780" ht="65" customHeight="1">
      <x:c r="A780" s="61" t="n">
        <x:v>46235</x:v>
      </x:c>
      <x:c r="B780" s="32" t="str">
        <x:v>Cargas y puertos</x:v>
      </x:c>
      <x:c r="C780" s="32" t="str">
        <x:v>Alimentación, comercios y servicios</x:v>
      </x:c>
      <x:c r="D780" s="62" t="n">
        <x:v>31</x:v>
      </x:c>
      <x:c r="E780" s="2" t="str">
        <x:v>Completo</x:v>
      </x:c>
      <x:c r="F780" s="56" t="n">
        <x:v>9.595604838709678</x:v>
      </x:c>
      <x:c r="G780" s="56" t="n">
        <x:f>F612</x:f>
        <x:v>9.285111559139786</x:v>
      </x:c>
      <x:c r="H780" s="57" t="n">
        <x:f>IF(ISNUMBER(G780),IF(G780=0,"n.a.",F780/G780-1),"n.a.")</x:f>
        <x:v>0.03343990835137123</x:v>
      </x:c>
      <x:c r="I780" s="58" t="n">
        <x:f>F780/J780</x:f>
        <x:v>0.02082532294487866</x:v>
      </x:c>
      <x:c r="J780" s="56" t="n">
        <x:v>460.7661962365591</x:v>
      </x:c>
    </x:row>
    <x:row r="781" ht="65" customHeight="1">
      <x:c r="A781" s="61" t="n">
        <x:v>46235</x:v>
      </x:c>
      <x:c r="B781" s="32" t="str">
        <x:v>Comercio y servicios: principalmente supermercados y centros comerciales</x:v>
      </x:c>
      <x:c r="C781" s="32" t="str">
        <x:v>Alimentación, comercios y servicios</x:v>
      </x:c>
      <x:c r="D781" s="62" t="n">
        <x:v>31</x:v>
      </x:c>
      <x:c r="E781" s="2" t="str">
        <x:v>Completo</x:v>
      </x:c>
      <x:c r="F781" s="56" t="n">
        <x:v>50.93604704301075</x:v>
      </x:c>
      <x:c r="G781" s="56" t="n">
        <x:f>F613</x:f>
        <x:v>45.42779838709677</x:v>
      </x:c>
      <x:c r="H781" s="57" t="n">
        <x:f>IF(ISNUMBER(G781),IF(G781=0,"n.a.",F781/G781-1),"n.a.")</x:f>
        <x:v>0.12125281989185144</x:v>
      </x:c>
      <x:c r="I781" s="58" t="n">
        <x:f>F781/J781</x:f>
        <x:v>0.11054640609282022</x:v>
      </x:c>
      <x:c r="J781" s="56" t="n">
        <x:v>460.7661962365591</x:v>
      </x:c>
    </x:row>
    <x:row r="782" ht="65" customHeight="1">
      <x:c r="A782" s="61" t="n">
        <x:v>46235</x:v>
      </x:c>
      <x:c r="B782" s="32" t="str">
        <x:v>Alimentación y artículos de consumo masivo</x:v>
      </x:c>
      <x:c r="C782" s="32" t="str">
        <x:v>Alimentación, comercios y servicios</x:v>
      </x:c>
      <x:c r="D782" s="62" t="n">
        <x:v>31</x:v>
      </x:c>
      <x:c r="E782" s="2" t="str">
        <x:v>Completo</x:v>
      </x:c>
      <x:c r="F782" s="56" t="n">
        <x:v>330.6915510752688</x:v>
      </x:c>
      <x:c r="G782" s="56" t="n">
        <x:f>F614</x:f>
        <x:v>285.3702419354838</x:v>
      </x:c>
      <x:c r="H782" s="57" t="n">
        <x:f>IF(ISNUMBER(G782),IF(G782=0,"n.a.",F782/G782-1),"n.a.")</x:f>
        <x:v>0.15881582057189836</x:v>
      </x:c>
      <x:c r="I782" s="58" t="n">
        <x:f>F782/J782</x:f>
        <x:v>0.7176992448150222</x:v>
      </x:c>
      <x:c r="J782" s="56" t="n">
        <x:v>460.7661962365591</x:v>
      </x:c>
    </x:row>
    <x:row r="783" ht="65" customHeight="1">
      <x:c r="A783" s="61" t="n">
        <x:v>46235</x:v>
      </x:c>
      <x:c r="B783" s="32" t="str">
        <x:v>Servicios públicos y transporte: agua y transporte en GBA</x:v>
      </x:c>
      <x:c r="C783" s="32" t="str">
        <x:v>Alimentación, comercios y servicios</x:v>
      </x:c>
      <x:c r="D783" s="62" t="n">
        <x:v>31</x:v>
      </x:c>
      <x:c r="E783" s="2" t="str">
        <x:v>Completo</x:v>
      </x:c>
      <x:c r="F783" s="56" t="n">
        <x:v>69.5429932795699</x:v>
      </x:c>
      <x:c r="G783" s="56" t="n">
        <x:f>F615</x:f>
        <x:v>72.79087096774194</x:v>
      </x:c>
      <x:c r="H783" s="57" t="n">
        <x:f>IF(ISNUMBER(G783),IF(G783=0,"n.a.",F783/G783-1),"n.a.")</x:f>
        <x:v>-0.04461929971426459</x:v>
      </x:c>
      <x:c r="I783" s="58" t="n">
        <x:f>F783/J783</x:f>
        <x:v>0.15092902614727896</x:v>
      </x:c>
      <x:c r="J783" s="56" t="n">
        <x:v>460.7661962365591</x:v>
      </x:c>
    </x:row>
    <x:row r="784" ht="65" customHeight="1">
      <x:c r="A784" s="61" t="n">
        <x:v>46235</x:v>
      </x:c>
      <x:c r="B784" s="32" t="str">
        <x:v>Industria automotriz</x:v>
      </x:c>
      <x:c r="C784" s="32" t="str">
        <x:v>Industrias sin Aluar</x:v>
      </x:c>
      <x:c r="D784" s="62" t="n">
        <x:v>31</x:v>
      </x:c>
      <x:c r="E784" s="2" t="str">
        <x:v>Completo</x:v>
      </x:c>
      <x:c r="F784" s="56" t="n">
        <x:v>44.86576612903225</x:v>
      </x:c>
      <x:c r="G784" s="56" t="n">
        <x:f>F616</x:f>
        <x:v>40.71383198924732</x:v>
      </x:c>
      <x:c r="H784" s="57" t="n">
        <x:f>IF(ISNUMBER(G784),IF(G784=0,"n.a.",F784/G784-1),"n.a.")</x:f>
        <x:v>0.10197846620975093</x:v>
      </x:c>
      <x:c r="I784" s="58" t="n">
        <x:f>F784/J784</x:f>
        <x:v>0.04103699996700947</x:v>
      </x:c>
      <x:c r="J784" s="56" t="n">
        <x:v>1093.3003427419355</x:v>
      </x:c>
    </x:row>
    <x:row r="785" ht="65" customHeight="1">
      <x:c r="A785" s="61" t="n">
        <x:v>46235</x:v>
      </x:c>
      <x:c r="B785" s="32" t="str">
        <x:v>Derivados de petróleo</x:v>
      </x:c>
      <x:c r="C785" s="32" t="str">
        <x:v>Industrias sin Aluar</x:v>
      </x:c>
      <x:c r="D785" s="62" t="n">
        <x:v>31</x:v>
      </x:c>
      <x:c r="E785" s="2" t="str">
        <x:v>Completo</x:v>
      </x:c>
      <x:c r="F785" s="56" t="n">
        <x:v>158.5797862903226</x:v>
      </x:c>
      <x:c r="G785" s="56" t="n">
        <x:f>F617</x:f>
        <x:v>144.79486559139784</x:v>
      </x:c>
      <x:c r="H785" s="57" t="n">
        <x:f>IF(ISNUMBER(G785),IF(G785=0,"n.a.",F785/G785-1),"n.a.")</x:f>
        <x:v>0.0952031043547148</x:v>
      </x:c>
      <x:c r="I785" s="58" t="n">
        <x:f>F785/J785</x:f>
        <x:v>0.14504686415135795</x:v>
      </x:c>
      <x:c r="J785" s="56" t="n">
        <x:v>1093.3003427419355</x:v>
      </x:c>
    </x:row>
    <x:row r="786" ht="65" customHeight="1">
      <x:c r="A786" s="61" t="n">
        <x:v>46235</x:v>
      </x:c>
      <x:c r="B786" s="32" t="str">
        <x:v>Construcción: elaboración de cemento y canteras</x:v>
      </x:c>
      <x:c r="C786" s="32" t="str">
        <x:v>Industrias sin Aluar</x:v>
      </x:c>
      <x:c r="D786" s="62" t="n">
        <x:v>31</x:v>
      </x:c>
      <x:c r="E786" s="2" t="str">
        <x:v>Completo</x:v>
      </x:c>
      <x:c r="F786" s="56" t="n">
        <x:v>90.21100403225807</x:v>
      </x:c>
      <x:c r="G786" s="56" t="n">
        <x:f>F618</x:f>
        <x:v>122.58155241935485</x:v>
      </x:c>
      <x:c r="H786" s="57" t="n">
        <x:f>IF(ISNUMBER(G786),IF(G786=0,"n.a.",F786/G786-1),"n.a.")</x:f>
        <x:v>-0.2640735718238927</x:v>
      </x:c>
      <x:c r="I786" s="58" t="n">
        <x:f>F786/J786</x:f>
        <x:v>0.08251255442398743</x:v>
      </x:c>
      <x:c r="J786" s="56" t="n">
        <x:v>1093.3003427419355</x:v>
      </x:c>
    </x:row>
    <x:row r="787" ht="65" customHeight="1">
      <x:c r="A787" s="61" t="n">
        <x:v>46235</x:v>
      </x:c>
      <x:c r="B787" s="32" t="str">
        <x:v>Madera y papel</x:v>
      </x:c>
      <x:c r="C787" s="32" t="str">
        <x:v>Industrias sin Aluar</x:v>
      </x:c>
      <x:c r="D787" s="62" t="n">
        <x:v>31</x:v>
      </x:c>
      <x:c r="E787" s="2" t="str">
        <x:v>Completo</x:v>
      </x:c>
      <x:c r="F787" s="56" t="n">
        <x:v>105.26906989247311</x:v>
      </x:c>
      <x:c r="G787" s="56" t="n">
        <x:f>F619</x:f>
        <x:v>104.69448521505376</x:v>
      </x:c>
      <x:c r="H787" s="57" t="n">
        <x:f>IF(ISNUMBER(G787),IF(G787=0,"n.a.",F787/G787-1),"n.a.")</x:f>
        <x:v>0.0054882038556194335</x:v>
      </x:c>
      <x:c r="I787" s="58" t="n">
        <x:f>F787/J787</x:f>
        <x:v>0.09628559122963798</x:v>
      </x:c>
      <x:c r="J787" s="56" t="n">
        <x:v>1093.3003427419355</x:v>
      </x:c>
    </x:row>
    <x:row r="788" ht="65" customHeight="1">
      <x:c r="A788" s="61" t="n">
        <x:v>46235</x:v>
      </x:c>
      <x:c r="B788" s="32" t="str">
        <x:v>Productos metálicos no automotores</x:v>
      </x:c>
      <x:c r="C788" s="32" t="str">
        <x:v>Industrias sin Aluar</x:v>
      </x:c>
      <x:c r="D788" s="62" t="n">
        <x:v>31</x:v>
      </x:c>
      <x:c r="E788" s="2" t="str">
        <x:v>Completo</x:v>
      </x:c>
      <x:c r="F788" s="56" t="n">
        <x:v>36.33427688172043</x:v>
      </x:c>
      <x:c r="G788" s="56" t="n">
        <x:f>F620</x:f>
        <x:v>47.62105241935484</x:v>
      </x:c>
      <x:c r="H788" s="57" t="n">
        <x:f>IF(ISNUMBER(G788),IF(G788=0,"n.a.",F788/G788-1),"n.a.")</x:f>
        <x:v>-0.2370123078810219</x:v>
      </x:c>
      <x:c r="I788" s="58" t="n">
        <x:f>F788/J788</x:f>
        <x:v>0.033233573119163314</x:v>
      </x:c>
      <x:c r="J788" s="56" t="n">
        <x:v>1093.3003427419355</x:v>
      </x:c>
    </x:row>
    <x:row r="789" ht="65" customHeight="1">
      <x:c r="A789" s="61" t="n">
        <x:v>46235</x:v>
      </x:c>
      <x:c r="B789" s="32" t="str">
        <x:v>Gran siderurgia</x:v>
      </x:c>
      <x:c r="C789" s="32" t="str">
        <x:v>Industrias sin Aluar</x:v>
      </x:c>
      <x:c r="D789" s="62" t="n">
        <x:v>31</x:v>
      </x:c>
      <x:c r="E789" s="2" t="str">
        <x:v>Completo</x:v>
      </x:c>
      <x:c r="F789" s="56" t="n">
        <x:v>286.66648387096774</x:v>
      </x:c>
      <x:c r="G789" s="56" t="n">
        <x:f>F621</x:f>
        <x:v>274.7639919354839</x:v>
      </x:c>
      <x:c r="H789" s="57" t="n">
        <x:f>IF(ISNUMBER(G789),IF(G789=0,"n.a.",F789/G789-1),"n.a.")</x:f>
        <x:v>0.04331896567538096</x:v>
      </x:c>
      <x:c r="I789" s="58" t="n">
        <x:f>F789/J789</x:f>
        <x:v>0.262202866553599</x:v>
      </x:c>
      <x:c r="J789" s="56" t="n">
        <x:v>1093.3003427419355</x:v>
      </x:c>
    </x:row>
    <x:row r="790" ht="65" customHeight="1">
      <x:c r="A790" s="61" t="n">
        <x:v>46235</x:v>
      </x:c>
      <x:c r="B790" s="32" t="str">
        <x:v>Industria textil</x:v>
      </x:c>
      <x:c r="C790" s="32" t="str">
        <x:v>Industrias sin Aluar</x:v>
      </x:c>
      <x:c r="D790" s="62" t="n">
        <x:v>31</x:v>
      </x:c>
      <x:c r="E790" s="2" t="str">
        <x:v>Completo</x:v>
      </x:c>
      <x:c r="F790" s="56" t="n">
        <x:v>40.63267741935484</x:v>
      </x:c>
      <x:c r="G790" s="56" t="n">
        <x:f>F622</x:f>
        <x:v>50.04054166666667</x:v>
      </x:c>
      <x:c r="H790" s="57" t="n">
        <x:f>IF(ISNUMBER(G790),IF(G790=0,"n.a.",F790/G790-1),"n.a.")</x:f>
        <x:v>-0.18800484435160814</x:v>
      </x:c>
      <x:c r="I790" s="58" t="n">
        <x:f>F790/J790</x:f>
        <x:v>0.037165155658371404</x:v>
      </x:c>
      <x:c r="J790" s="56" t="n">
        <x:v>1093.3003427419355</x:v>
      </x:c>
    </x:row>
    <x:row r="791" ht="65" customHeight="1">
      <x:c r="A791" s="61" t="n">
        <x:v>46235</x:v>
      </x:c>
      <x:c r="B791" s="32" t="str">
        <x:v>Químicas, caucho, plástico y otros minerales no metálicos</x:v>
      </x:c>
      <x:c r="C791" s="32" t="str">
        <x:v>Industrias sin Aluar</x:v>
      </x:c>
      <x:c r="D791" s="62" t="n">
        <x:v>31</x:v>
      </x:c>
      <x:c r="E791" s="2" t="str">
        <x:v>Completo</x:v>
      </x:c>
      <x:c r="F791" s="56" t="n">
        <x:v>330.74127822580647</x:v>
      </x:c>
      <x:c r="G791" s="56" t="n">
        <x:f>F623</x:f>
        <x:v>317.85408333333334</x:v>
      </x:c>
      <x:c r="H791" s="57" t="n">
        <x:f>IF(ISNUMBER(G791),IF(G791=0,"n.a.",F791/G791-1),"n.a.")</x:f>
        <x:v>0.040544374189959154</x:v>
      </x:c>
      <x:c r="I791" s="58" t="n">
        <x:f>F791/J791</x:f>
        <x:v>0.30251639489687343</x:v>
      </x:c>
      <x:c r="J791" s="56" t="n">
        <x:v>1093.3003427419355</x:v>
      </x:c>
    </x:row>
    <x:row r="792" ht="65" customHeight="1">
      <x:c r="A792" s="61" t="n">
        <x:v>46235</x:v>
      </x:c>
      <x:c r="B792" s="32" t="str">
        <x:v>Extracción de minerales</x:v>
      </x:c>
      <x:c r="C792" s="32" t="str">
        <x:v>Petróleos y minerales</x:v>
      </x:c>
      <x:c r="D792" s="62" t="n">
        <x:v>31</x:v>
      </x:c>
      <x:c r="E792" s="2" t="str">
        <x:v>Completo</x:v>
      </x:c>
      <x:c r="F792" s="56" t="n">
        <x:v>36.16088037634408</x:v>
      </x:c>
      <x:c r="G792" s="56" t="n">
        <x:f>F624</x:f>
        <x:v>25.329064516129034</x:v>
      </x:c>
      <x:c r="H792" s="57" t="n">
        <x:f>IF(ISNUMBER(G792),IF(G792=0,"n.a.",F792/G792-1),"n.a.")</x:f>
        <x:v>0.42764373920393184</x:v>
      </x:c>
      <x:c r="I792" s="58" t="n">
        <x:f>F792/J792</x:f>
        <x:v>0.18952084242884953</x:v>
      </x:c>
      <x:c r="J792" s="56" t="n">
        <x:v>190.80160215053763</x:v>
      </x:c>
    </x:row>
    <x:row r="793" ht="65" customHeight="1">
      <x:c r="A793" s="61" t="n">
        <x:v>46235</x:v>
      </x:c>
      <x:c r="B793" s="32" t="str">
        <x:v>Extracción de petróleo</x:v>
      </x:c>
      <x:c r="C793" s="32" t="str">
        <x:v>Petróleos y minerales</x:v>
      </x:c>
      <x:c r="D793" s="62" t="n">
        <x:v>31</x:v>
      </x:c>
      <x:c r="E793" s="2" t="str">
        <x:v>Completo</x:v>
      </x:c>
      <x:c r="F793" s="56" t="n">
        <x:v>154.64072177419354</x:v>
      </x:c>
      <x:c r="G793" s="56" t="n">
        <x:f>F625</x:f>
        <x:v>145.03430913978497</x:v>
      </x:c>
      <x:c r="H793" s="57" t="n">
        <x:f>IF(ISNUMBER(G793),IF(G793=0,"n.a.",F793/G793-1),"n.a.")</x:f>
        <x:v>0.06623544933185332</x:v>
      </x:c>
      <x:c r="I793" s="58" t="n">
        <x:f>F793/J793</x:f>
        <x:v>0.8104791575711504</x:v>
      </x:c>
      <x:c r="J793" s="56" t="n">
        <x:v>190.80160215053763</x:v>
      </x:c>
    </x:row>
    <x:row r="794" ht="65" customHeight="1">
      <x:c r="A794" s="61" t="n">
        <x:v>46266</x:v>
      </x:c>
      <x:c r="B794" s="32" t="str">
        <x:v>Cargas y puertos</x:v>
      </x:c>
      <x:c r="C794" s="32" t="str">
        <x:v>Alimentación, comercios y servicios</x:v>
      </x:c>
      <x:c r="D794" s="62" t="n">
        <x:v>23</x:v>
      </x:c>
      <x:c r="E794" s="2" t="str">
        <x:v>Parcial</x:v>
      </x:c>
      <x:c r="F794" s="56" t="n">
        <x:v>9.498222826086957</x:v>
      </x:c>
      <x:c r="G794" s="56" t="str">
        <x:f>"n.a."</x:f>
        <x:v>n.a.</x:v>
      </x:c>
      <x:c r="H794" s="57" t="str">
        <x:f>IF(ISNUMBER(G794),IF(G794=0,"n.a.",F794/G794-1),"n.a.")</x:f>
        <x:v>n.a.</x:v>
      </x:c>
      <x:c r="I794" s="58" t="n">
        <x:f>F794/J794</x:f>
        <x:v>0.02025242902245611</x:v>
      </x:c>
      <x:c r="J794" s="56" t="n">
        <x:v>468.9917844202899</x:v>
      </x:c>
    </x:row>
    <x:row r="795" ht="65" customHeight="1">
      <x:c r="A795" s="61" t="n">
        <x:v>46266</x:v>
      </x:c>
      <x:c r="B795" s="32" t="str">
        <x:v>Comercio y servicios: principalmente supermercados y centros comerciales</x:v>
      </x:c>
      <x:c r="C795" s="32" t="str">
        <x:v>Alimentación, comercios y servicios</x:v>
      </x:c>
      <x:c r="D795" s="62" t="n">
        <x:v>23</x:v>
      </x:c>
      <x:c r="E795" s="2" t="str">
        <x:v>Parcial</x:v>
      </x:c>
      <x:c r="F795" s="56" t="n">
        <x:v>51.811088768115944</x:v>
      </x:c>
      <x:c r="G795" s="56" t="str">
        <x:f>"n.a."</x:f>
        <x:v>n.a.</x:v>
      </x:c>
      <x:c r="H795" s="57" t="str">
        <x:f>IF(ISNUMBER(G795),IF(G795=0,"n.a.",F795/G795-1),"n.a.")</x:f>
        <x:v>n.a.</x:v>
      </x:c>
      <x:c r="I795" s="58" t="n">
        <x:f>F795/J795</x:f>
        <x:v>0.11047333980947759</x:v>
      </x:c>
      <x:c r="J795" s="56" t="n">
        <x:v>468.9917844202899</x:v>
      </x:c>
    </x:row>
    <x:row r="796" ht="65" customHeight="1">
      <x:c r="A796" s="61" t="n">
        <x:v>46266</x:v>
      </x:c>
      <x:c r="B796" s="32" t="str">
        <x:v>Alimentación y artículos de consumo masivo</x:v>
      </x:c>
      <x:c r="C796" s="32" t="str">
        <x:v>Alimentación, comercios y servicios</x:v>
      </x:c>
      <x:c r="D796" s="62" t="n">
        <x:v>23</x:v>
      </x:c>
      <x:c r="E796" s="2" t="str">
        <x:v>Parcial</x:v>
      </x:c>
      <x:c r="F796" s="56" t="n">
        <x:v>340.94956884057973</x:v>
      </x:c>
      <x:c r="G796" s="56" t="str">
        <x:f>"n.a."</x:f>
        <x:v>n.a.</x:v>
      </x:c>
      <x:c r="H796" s="57" t="str">
        <x:f>IF(ISNUMBER(G796),IF(G796=0,"n.a.",F796/G796-1),"n.a.")</x:f>
        <x:v>n.a.</x:v>
      </x:c>
      <x:c r="I796" s="58" t="n">
        <x:f>F796/J796</x:f>
        <x:v>0.7269840968792657</x:v>
      </x:c>
      <x:c r="J796" s="56" t="n">
        <x:v>468.9917844202899</x:v>
      </x:c>
    </x:row>
    <x:row r="797" ht="65" customHeight="1">
      <x:c r="A797" s="61" t="n">
        <x:v>46266</x:v>
      </x:c>
      <x:c r="B797" s="32" t="str">
        <x:v>Servicios públicos y transporte: agua y transporte en GBA</x:v>
      </x:c>
      <x:c r="C797" s="32" t="str">
        <x:v>Alimentación, comercios y servicios</x:v>
      </x:c>
      <x:c r="D797" s="62" t="n">
        <x:v>23</x:v>
      </x:c>
      <x:c r="E797" s="2" t="str">
        <x:v>Parcial</x:v>
      </x:c>
      <x:c r="F797" s="56" t="n">
        <x:v>66.73290398550725</x:v>
      </x:c>
      <x:c r="G797" s="56" t="str">
        <x:f>"n.a."</x:f>
        <x:v>n.a.</x:v>
      </x:c>
      <x:c r="H797" s="57" t="str">
        <x:f>IF(ISNUMBER(G797),IF(G797=0,"n.a.",F797/G797-1),"n.a.")</x:f>
        <x:v>n.a.</x:v>
      </x:c>
      <x:c r="I797" s="58" t="n">
        <x:f>F797/J797</x:f>
        <x:v>0.14229013428880055</x:v>
      </x:c>
      <x:c r="J797" s="56" t="n">
        <x:v>468.9917844202899</x:v>
      </x:c>
    </x:row>
    <x:row r="798" ht="65" customHeight="1">
      <x:c r="A798" s="61" t="n">
        <x:v>46266</x:v>
      </x:c>
      <x:c r="B798" s="32" t="str">
        <x:v>Industria automotriz</x:v>
      </x:c>
      <x:c r="C798" s="32" t="str">
        <x:v>Industrias sin Aluar</x:v>
      </x:c>
      <x:c r="D798" s="62" t="n">
        <x:v>23</x:v>
      </x:c>
      <x:c r="E798" s="2" t="str">
        <x:v>Parcial</x:v>
      </x:c>
      <x:c r="F798" s="56" t="n">
        <x:v>45.3049384057971</x:v>
      </x:c>
      <x:c r="G798" s="56" t="str">
        <x:f>"n.a."</x:f>
        <x:v>n.a.</x:v>
      </x:c>
      <x:c r="H798" s="57" t="str">
        <x:f>IF(ISNUMBER(G798),IF(G798=0,"n.a.",F798/G798-1),"n.a.")</x:f>
        <x:v>n.a.</x:v>
      </x:c>
      <x:c r="I798" s="58" t="n">
        <x:f>F798/J798</x:f>
        <x:v>0.03790291311129912</x:v>
      </x:c>
      <x:c r="J798" s="56" t="n">
        <x:v>1195.2890869565217</x:v>
      </x:c>
    </x:row>
    <x:row r="799" ht="65" customHeight="1">
      <x:c r="A799" s="61" t="n">
        <x:v>46266</x:v>
      </x:c>
      <x:c r="B799" s="32" t="str">
        <x:v>Derivados de petróleo</x:v>
      </x:c>
      <x:c r="C799" s="32" t="str">
        <x:v>Industrias sin Aluar</x:v>
      </x:c>
      <x:c r="D799" s="62" t="n">
        <x:v>23</x:v>
      </x:c>
      <x:c r="E799" s="2" t="str">
        <x:v>Parcial</x:v>
      </x:c>
      <x:c r="F799" s="56" t="n">
        <x:v>147.44721557971016</x:v>
      </x:c>
      <x:c r="G799" s="56" t="str">
        <x:f>"n.a."</x:f>
        <x:v>n.a.</x:v>
      </x:c>
      <x:c r="H799" s="57" t="str">
        <x:f>IF(ISNUMBER(G799),IF(G799=0,"n.a.",F799/G799-1),"n.a.")</x:f>
        <x:v>n.a.</x:v>
      </x:c>
      <x:c r="I799" s="58" t="n">
        <x:f>F799/J799</x:f>
        <x:v>0.12335694953523282</x:v>
      </x:c>
      <x:c r="J799" s="56" t="n">
        <x:v>1195.2890869565217</x:v>
      </x:c>
    </x:row>
    <x:row r="800" ht="65" customHeight="1">
      <x:c r="A800" s="61" t="n">
        <x:v>46266</x:v>
      </x:c>
      <x:c r="B800" s="32" t="str">
        <x:v>Construcción: elaboración de cemento y canteras</x:v>
      </x:c>
      <x:c r="C800" s="32" t="str">
        <x:v>Industrias sin Aluar</x:v>
      </x:c>
      <x:c r="D800" s="62" t="n">
        <x:v>23</x:v>
      </x:c>
      <x:c r="E800" s="2" t="str">
        <x:v>Parcial</x:v>
      </x:c>
      <x:c r="F800" s="56" t="n">
        <x:v>144.19701992753625</x:v>
      </x:c>
      <x:c r="G800" s="56" t="str">
        <x:f>"n.a."</x:f>
        <x:v>n.a.</x:v>
      </x:c>
      <x:c r="H800" s="57" t="str">
        <x:f>IF(ISNUMBER(G800),IF(G800=0,"n.a.",F800/G800-1),"n.a.")</x:f>
        <x:v>n.a.</x:v>
      </x:c>
      <x:c r="I800" s="58" t="n">
        <x:f>F800/J800</x:f>
        <x:v>0.12063777834255536</x:v>
      </x:c>
      <x:c r="J800" s="56" t="n">
        <x:v>1195.2890869565217</x:v>
      </x:c>
    </x:row>
    <x:row r="801" ht="65" customHeight="1">
      <x:c r="A801" s="61" t="n">
        <x:v>46266</x:v>
      </x:c>
      <x:c r="B801" s="32" t="str">
        <x:v>Madera y papel</x:v>
      </x:c>
      <x:c r="C801" s="32" t="str">
        <x:v>Industrias sin Aluar</x:v>
      </x:c>
      <x:c r="D801" s="62" t="n">
        <x:v>23</x:v>
      </x:c>
      <x:c r="E801" s="2" t="str">
        <x:v>Parcial</x:v>
      </x:c>
      <x:c r="F801" s="56" t="n">
        <x:v>104.72883876811593</x:v>
      </x:c>
      <x:c r="G801" s="56" t="str">
        <x:f>"n.a."</x:f>
        <x:v>n.a.</x:v>
      </x:c>
      <x:c r="H801" s="57" t="str">
        <x:f>IF(ISNUMBER(G801),IF(G801=0,"n.a.",F801/G801-1),"n.a.")</x:f>
        <x:v>n.a.</x:v>
      </x:c>
      <x:c r="I801" s="58" t="n">
        <x:f>F801/J801</x:f>
        <x:v>0.08761799962114555</x:v>
      </x:c>
      <x:c r="J801" s="56" t="n">
        <x:v>1195.2890869565217</x:v>
      </x:c>
    </x:row>
    <x:row r="802" ht="65" customHeight="1">
      <x:c r="A802" s="61" t="n">
        <x:v>46266</x:v>
      </x:c>
      <x:c r="B802" s="32" t="str">
        <x:v>Productos metálicos no automotores</x:v>
      </x:c>
      <x:c r="C802" s="32" t="str">
        <x:v>Industrias sin Aluar</x:v>
      </x:c>
      <x:c r="D802" s="62" t="n">
        <x:v>23</x:v>
      </x:c>
      <x:c r="E802" s="2" t="str">
        <x:v>Parcial</x:v>
      </x:c>
      <x:c r="F802" s="56" t="n">
        <x:v>39.162083333333335</x:v>
      </x:c>
      <x:c r="G802" s="56" t="str">
        <x:f>"n.a."</x:f>
        <x:v>n.a.</x:v>
      </x:c>
      <x:c r="H802" s="57" t="str">
        <x:f>IF(ISNUMBER(G802),IF(G802=0,"n.a.",F802/G802-1),"n.a.")</x:f>
        <x:v>n.a.</x:v>
      </x:c>
      <x:c r="I802" s="58" t="n">
        <x:f>F802/J802</x:f>
        <x:v>0.032763691863906264</x:v>
      </x:c>
      <x:c r="J802" s="56" t="n">
        <x:v>1195.2890869565217</x:v>
      </x:c>
    </x:row>
    <x:row r="803" ht="65" customHeight="1">
      <x:c r="A803" s="61" t="n">
        <x:v>46266</x:v>
      </x:c>
      <x:c r="B803" s="32" t="str">
        <x:v>Gran siderurgia</x:v>
      </x:c>
      <x:c r="C803" s="32" t="str">
        <x:v>Industrias sin Aluar</x:v>
      </x:c>
      <x:c r="D803" s="62" t="n">
        <x:v>23</x:v>
      </x:c>
      <x:c r="E803" s="2" t="str">
        <x:v>Parcial</x:v>
      </x:c>
      <x:c r="F803" s="56" t="n">
        <x:v>332.23489130434785</x:v>
      </x:c>
      <x:c r="G803" s="56" t="str">
        <x:f>"n.a."</x:f>
        <x:v>n.a.</x:v>
      </x:c>
      <x:c r="H803" s="57" t="str">
        <x:f>IF(ISNUMBER(G803),IF(G803=0,"n.a.",F803/G803-1),"n.a.")</x:f>
        <x:v>n.a.</x:v>
      </x:c>
      <x:c r="I803" s="58" t="n">
        <x:f>F803/J803</x:f>
        <x:v>0.2779535887425305</x:v>
      </x:c>
      <x:c r="J803" s="56" t="n">
        <x:v>1195.2890869565217</x:v>
      </x:c>
    </x:row>
    <x:row r="804" ht="65" customHeight="1">
      <x:c r="A804" s="61" t="n">
        <x:v>46266</x:v>
      </x:c>
      <x:c r="B804" s="32" t="str">
        <x:v>Industria textil</x:v>
      </x:c>
      <x:c r="C804" s="32" t="str">
        <x:v>Industrias sin Aluar</x:v>
      </x:c>
      <x:c r="D804" s="62" t="n">
        <x:v>23</x:v>
      </x:c>
      <x:c r="E804" s="2" t="str">
        <x:v>Parcial</x:v>
      </x:c>
      <x:c r="F804" s="56" t="n">
        <x:v>41.69286050724638</x:v>
      </x:c>
      <x:c r="G804" s="56" t="str">
        <x:f>"n.a."</x:f>
        <x:v>n.a.</x:v>
      </x:c>
      <x:c r="H804" s="57" t="str">
        <x:f>IF(ISNUMBER(G804),IF(G804=0,"n.a.",F804/G804-1),"n.a.")</x:f>
        <x:v>n.a.</x:v>
      </x:c>
      <x:c r="I804" s="58" t="n">
        <x:f>F804/J804</x:f>
        <x:v>0.034880984828035116</x:v>
      </x:c>
      <x:c r="J804" s="56" t="n">
        <x:v>1195.2890869565217</x:v>
      </x:c>
    </x:row>
    <x:row r="805" ht="65" customHeight="1">
      <x:c r="A805" s="61" t="n">
        <x:v>46266</x:v>
      </x:c>
      <x:c r="B805" s="32" t="str">
        <x:v>Químicas, caucho, plástico y otros minerales no metálicos</x:v>
      </x:c>
      <x:c r="C805" s="32" t="str">
        <x:v>Industrias sin Aluar</x:v>
      </x:c>
      <x:c r="D805" s="62" t="n">
        <x:v>23</x:v>
      </x:c>
      <x:c r="E805" s="2" t="str">
        <x:v>Parcial</x:v>
      </x:c>
      <x:c r="F805" s="56" t="n">
        <x:v>340.52123913043476</x:v>
      </x:c>
      <x:c r="G805" s="56" t="str">
        <x:f>"n.a."</x:f>
        <x:v>n.a.</x:v>
      </x:c>
      <x:c r="H805" s="57" t="str">
        <x:f>IF(ISNUMBER(G805),IF(G805=0,"n.a.",F805/G805-1),"n.a.")</x:f>
        <x:v>n.a.</x:v>
      </x:c>
      <x:c r="I805" s="58" t="n">
        <x:f>F805/J805</x:f>
        <x:v>0.2848860939552953</x:v>
      </x:c>
      <x:c r="J805" s="56" t="n">
        <x:v>1195.2890869565217</x:v>
      </x:c>
    </x:row>
    <x:row r="806" ht="65" customHeight="1">
      <x:c r="A806" s="61" t="n">
        <x:v>46266</x:v>
      </x:c>
      <x:c r="B806" s="32" t="str">
        <x:v>Extracción de minerales</x:v>
      </x:c>
      <x:c r="C806" s="32" t="str">
        <x:v>Petróleos y minerales</x:v>
      </x:c>
      <x:c r="D806" s="62" t="n">
        <x:v>23</x:v>
      </x:c>
      <x:c r="E806" s="2" t="str">
        <x:v>Parcial</x:v>
      </x:c>
      <x:c r="F806" s="56" t="n">
        <x:v>38.26511775362319</x:v>
      </x:c>
      <x:c r="G806" s="56" t="str">
        <x:f>"n.a."</x:f>
        <x:v>n.a.</x:v>
      </x:c>
      <x:c r="H806" s="57" t="str">
        <x:f>IF(ISNUMBER(G806),IF(G806=0,"n.a.",F806/G806-1),"n.a.")</x:f>
        <x:v>n.a.</x:v>
      </x:c>
      <x:c r="I806" s="58" t="n">
        <x:f>F806/J806</x:f>
        <x:v>0.20257229428825566</x:v>
      </x:c>
      <x:c r="J806" s="56" t="n">
        <x:v>188.89610688405799</x:v>
      </x:c>
    </x:row>
    <x:row r="807" ht="65" customHeight="1">
      <x:c r="A807" s="61" t="n">
        <x:v>46266</x:v>
      </x:c>
      <x:c r="B807" s="32" t="str">
        <x:v>Extracción de petróleo</x:v>
      </x:c>
      <x:c r="C807" s="32" t="str">
        <x:v>Petróleos y minerales</x:v>
      </x:c>
      <x:c r="D807" s="62" t="n">
        <x:v>23</x:v>
      </x:c>
      <x:c r="E807" s="2" t="str">
        <x:v>Parcial</x:v>
      </x:c>
      <x:c r="F807" s="56" t="n">
        <x:v>150.63098913043478</x:v>
      </x:c>
      <x:c r="G807" s="56" t="str">
        <x:f>"n.a."</x:f>
        <x:v>n.a.</x:v>
      </x:c>
      <x:c r="H807" s="57" t="str">
        <x:f>IF(ISNUMBER(G807),IF(G807=0,"n.a.",F807/G807-1),"n.a.")</x:f>
        <x:v>n.a.</x:v>
      </x:c>
      <x:c r="I807" s="58" t="n">
        <x:f>F807/J807</x:f>
        <x:v>0.7974277057117443</x:v>
      </x:c>
      <x:c r="J807" s="56" t="n">
        <x:v>188.89610688405799</x:v>
      </x:c>
    </x:row>
    <x:row r="808" ht="24" customHeight="1">
      <x:c r="A808" s="2"/>
      <x:c r="B808" s="2"/>
      <x:c r="C808" s="2"/>
      <x:c r="D808" s="2"/>
      <x:c r="E808" s="2"/>
      <x:c r="F808" s="2"/>
      <x:c r="G808" s="2"/>
      <x:c r="H808" s="2"/>
      <x:c r="I808" s="2"/>
      <x:c r="J808" s="2"/>
    </x:row>
    <x:row r="809" ht="24" customHeight="1">
      <x:c r="A809" s="2"/>
      <x:c r="B809" s="2"/>
      <x:c r="C809" s="2"/>
      <x:c r="D809" s="2"/>
      <x:c r="E809" s="2"/>
      <x:c r="F809" s="2"/>
      <x:c r="G809" s="2"/>
      <x:c r="H809" s="2"/>
      <x:c r="I809" s="2"/>
      <x:c r="J809" s="2"/>
    </x:row>
    <x:row r="810" ht="24" customHeight="1">
      <x:c r="A810" s="2"/>
      <x:c r="B810" s="2"/>
      <x:c r="C810" s="2"/>
      <x:c r="D810" s="2"/>
      <x:c r="E810" s="2"/>
      <x:c r="F810" s="2"/>
      <x:c r="G810" s="2"/>
      <x:c r="H810" s="2"/>
      <x:c r="I810" s="2"/>
      <x:c r="J810" s="2"/>
    </x:row>
    <x:row r="811" ht="24" customHeight="1">
      <x:c r="A811" s="2"/>
      <x:c r="B811" s="2"/>
      <x:c r="C811" s="2"/>
      <x:c r="D811" s="2"/>
      <x:c r="E811" s="2"/>
      <x:c r="F811" s="2"/>
      <x:c r="G811" s="2"/>
      <x:c r="H811" s="2"/>
      <x:c r="I811" s="2"/>
      <x:c r="J811" s="2"/>
    </x:row>
    <x:row r="812" ht="24" customHeight="1">
      <x:c r="A812" s="2"/>
      <x:c r="B812" s="2"/>
      <x:c r="C812" s="2"/>
      <x:c r="D812" s="2"/>
      <x:c r="E812" s="2"/>
      <x:c r="F812" s="2"/>
      <x:c r="G812" s="2"/>
      <x:c r="H812" s="2"/>
      <x:c r="I812" s="2"/>
      <x:c r="J812" s="2"/>
    </x:row>
  </x:sheetData>
  <x:pageMargins left="0.7" right="0.7" top="0.75" bottom="0.75" header="0.3" footer="0.3"/>
  <x:tableParts count="1">
    <x:tablePart xmlns:r="http://schemas.openxmlformats.org/officeDocument/2006/relationships" r:id="Rd7c272abd0c04878"/>
  </x:tableParts>
</x:worksheet>
</file>